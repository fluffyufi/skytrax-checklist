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Flights!$A$4:$AY$26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Status" vbProcedure="false">Settings!$H$4:$H$9</definedName>
    <definedName function="false" hidden="false" name="T12EarlyH" vbProcedure="false">Settings!$B$9</definedName>
    <definedName function="false" hidden="false" name="T24EarlyH" vbProcedure="false">Settings!$B$8</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Settings!$B$7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<sst xmlns="http://schemas.openxmlformats.org/spreadsheetml/2006/main" count="12316" uniqueCount="1649">
  <si>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</si>
  <si>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</si>
  <si>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</si>
  <si>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</si>
  <si>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</si>
  <si>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</si>
  <si>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</si>
  <si>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</si>
  <si>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</si>
  <si>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</si>
  <si>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</si>
  <si>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</si>
  <si>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</si>
  <si>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</si>
  <si>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</si>
  <si>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</si>
  <si>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</si>
  <si>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</si>
  <si>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</si>
  <si>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</si>
  <si>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</si>
  <si>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</si>
  <si>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</si>
  <si>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</si>
  <si>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</si>
  <si>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</si>
  <si>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</si>
  <si>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</si>
  <si>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</si>
  <si>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</si>
  <si>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</si>
  <si>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</si>
  <si>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</si>
  <si>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latest possible KUL departure (STD minus the KUL-PEN / KUL-LGK block).</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</si>
  <si>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</si>
  <si>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</si>
  <si>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</si>
  <si>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</si>
  <si>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</si>
  <si>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</si>
  <si>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</si>
  <si>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22:10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</si>
  <si>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</si>
  <si>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</si>
  <si>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</si>
  <si>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</si>
  <si>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</si>
  <si>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</si>
  <si>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</si>
  <si>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</si>
  <si>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</si>
  <si>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</si>
  <si>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</si>
  <si>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</si>
  <si>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</si>
  <si>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</si>
  <si>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</si>
  <si>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</si>
  <si>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</si>
  <si>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</si>
  <si>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</si>
  <si>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</si>
  <si>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</si>
  <si>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</si>
  <si>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</si>
  <si>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</si>
  <si>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</si>
  <si>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</si>
  <si>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</si>
  <si>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</si>
  <si>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</si>
  <si>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</si>
  <si>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</si>
  <si>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</si>
  <si>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</si>
  <si>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</si>
  <si>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</si>
  <si>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</si>
  <si>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</si>
  <si>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</si>
  <si>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</si>
  <si>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</si>
  <si>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</si>
  <si>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</si>
  <si>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</si>
  <si>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</si>
  <si>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</si>
  <si>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</si>
  <si>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</si>
  <si>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</si>
  <si>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</si>
  <si>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</si>
  <si>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</si>
  <si>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</si>
  <si>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</si>
  <si>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</si>
  <si>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</si>
  <si>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</si>
  <si>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</si>
  <si>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</si>
  <si>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</si>
  <si>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</si>
  <si>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</si>
  <si>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</si>
  <si>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</si>
  <si>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</si>
  <si>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</si>
  <si>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</si>
  <si>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</si>
  <si>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</si>
  <si>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</si>
  <si>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</si>
  <si>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</si>
  <si>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</si>
  <si>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</si>
  <si>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</si>
  <si>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</si>
  <si>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</si>
  <si>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</si>
  <si>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</si>
  <si>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</si>
  <si>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</si>
  <si>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</si>
  <si>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</si>
  <si>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</si>
  <si>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</si>
  <si>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</si>
  <si>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</si>
  <si>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</si>
  <si>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</si>
  <si>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</si>
  <si>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</si>
  <si>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</si>
  <si>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</si>
  <si>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</si>
  <si>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</si>
  <si>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</si>
  <si>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</si>
  <si>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</si>
  <si>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</si>
  <si>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</si>
  <si>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</si>
  <si>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</si>
  <si>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</si>
  <si>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</si>
  <si>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</si>
  <si>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</si>
  <si>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</si>
  <si>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</si>
  <si>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</si>
  <si>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</si>
  <si>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</si>
  <si>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</si>
  <si>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</si>
  <si>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</si>
  <si>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</si>
  <si>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</si>
  <si>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</si>
  <si>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</si>
  <si>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</si>
  <si>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</si>
  <si>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</si>
  <si>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</si>
  <si>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</si>
  <si>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</si>
  <si>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</si>
  <si>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</si>
  <si>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</si>
  <si>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</si>
  <si>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</si>
  <si>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</si>
  <si>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</si>
  <si>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</si>
  <si>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</si>
  <si>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</si>
  <si>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</si>
  <si>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</si>
  <si>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</si>
  <si>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</si>
  <si>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</si>
  <si>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</si>
  <si>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</si>
  <si>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</si>
  <si>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</si>
  <si>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</si>
  <si>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</si>
  <si>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</si>
  <si>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</si>
  <si>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</si>
  <si>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</si>
  <si>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</si>
  <si>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</si>
  <si>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</si>
  <si>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</si>
  <si>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</si>
  <si>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</si>
  <si>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</si>
  <si>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</si>
  <si>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</si>
  <si>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</si>
  <si>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</si>
  <si>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</si>
  <si>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</si>
  <si>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</si>
  <si>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</si>
  <si>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</si>
  <si>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</si>
  <si>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</si>
  <si>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</si>
  <si>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</si>
  <si>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</si>
  <si>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</si>
  <si>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</si>
  <si>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</si>
  <si>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</si>
  <si>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</si>
  <si>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</si>
  <si>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</si>
  <si>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</si>
  <si>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</si>
  <si>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</si>
  <si>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</si>
  <si>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</si>
  <si>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</si>
  <si>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</si>
  <si>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</si>
  <si>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</si>
  <si>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</si>
  <si>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</si>
  <si>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</si>
  <si>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</si>
  <si>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</si>
  <si>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</si>
  <si>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</si>
  <si>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</si>
  <si>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</si>
  <si>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</si>
  <si>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</si>
  <si>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</si>
  <si>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</si>
  <si>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</si>
  <si>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</si>
  <si>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</si>
  <si>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</si>
  <si>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</si>
  <si>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</si>
  <si>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</si>
  <si>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</si>
  <si>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</si>
  <si>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</si>
  <si>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</si>
  <si>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</si>
  <si>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</si>
  <si>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</si>
  <si>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</si>
  <si>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</si>
  <si>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</si>
  <si>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</si>
  <si>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</si>
  <si>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</si>
  <si>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</si>
  <si>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</si>
  <si>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</si>
  <si>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</si>
  <si>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</si>
  <si>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</si>
  <si>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</si>
  <si>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</si>
  <si>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</si>
  <si>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</si>
  <si>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</si>
  <si>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</si>
  <si>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</si>
  <si>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</si>
  <si>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</si>
  <si>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</si>
  <si>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</si>
  <si>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</si>
  <si>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</si>
  <si>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</si>
  <si>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</si>
  <si>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</si>
  <si>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</si>
  <si>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</si>
  <si>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</si>
  <si>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</si>
  <si>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</si>
  <si>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</si>
  <si>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</si>
  <si>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</si>
  <si>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</si>
  <si>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</si>
  <si>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</si>
  <si>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</si>
  <si>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</si>
  <si>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</si>
  <si>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</si>
  <si>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</si>
  <si>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</si>
  <si>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</si>
  <si>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</si>
  <si>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</si>
  <si>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</si>
  <si>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</si>
  <si>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</si>
  <si>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</si>
  <si>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</si>
  <si>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</si>
  <si>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</si>
  <si>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</si>
  <si>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</si>
  <si>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</si>
  <si>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</si>
  <si>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</si>
  <si>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</si>
  <si>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</si>
  <si>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</si>
  <si>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</si>
  <si>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</si>
  <si>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</si>
  <si>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</si>
  <si>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</si>
  <si>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</si>
  <si>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</si>
  <si>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</si>
  <si>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</si>
  <si>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</si>
  <si>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</si>
  <si>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</si>
  <si>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</si>
  <si>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</si>
  <si>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</si>
  <si>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</si>
  <si>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</si>
  <si>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</si>
  <si>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</si>
  <si>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</si>
  <si>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</si>
  <si>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</si>
  <si>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</si>
  <si>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</si>
  <si>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</si>
  <si>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</si>
  <si>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</si>
  <si>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</si>
  <si>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</si>
  <si>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</si>
  <si>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</si>
  <si>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</si>
  <si>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</si>
  <si>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</si>
  <si>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</si>
  <si>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</si>
  <si>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</si>
  <si>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</si>
  <si>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</si>
  <si>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</si>
  <si>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</si>
  <si>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</si>
  <si>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</si>
  <si>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</si>
  <si>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</si>
  <si>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</si>
  <si>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</si>
  <si>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</si>
  <si>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</si>
  <si>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</si>
  <si>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</si>
  <si>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</si>
  <si>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</si>
  <si>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</si>
  <si>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</si>
  <si>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</si>
  <si>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</si>
  <si>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</si>
  <si>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</si>
  <si>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</si>
  <si>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</si>
  <si>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</si>
  <si>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</si>
  <si>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</si>
  <si>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</si>
  <si>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</si>
  <si>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</si>
  <si>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</si>
  <si>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</si>
  <si>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</si>
  <si>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</si>
  <si>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</si>
  <si>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</si>
  <si>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</si>
  <si>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</si>
  <si>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</si>
  <si>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</si>
  <si>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</si>
  <si>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</si>
  <si>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</si>
  <si>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</si>
  <si>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</si>
  <si>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</si>
  <si>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</si>
  <si>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</si>
  <si>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</si>
  <si>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</si>
  <si>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</si>
  <si>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</si>
  <si>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</si>
  <si>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</si>
  <si>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</si>
  <si>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</si>
  <si>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</si>
  <si>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</si>
  <si>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</si>
  <si>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</si>
  <si>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</si>
  <si>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</si>
  <si>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</si>
  <si>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</si>
  <si>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</si>
  <si>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</si>
  <si>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</si>
  <si>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</si>
  <si>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</si>
  <si>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</si>
  <si>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</si>
  <si>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</si>
  <si>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</si>
  <si>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</si>
  <si>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</si>
  <si>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</si>
  <si>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</si>
  <si>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</si>
  <si>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</si>
  <si>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</si>
  <si>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</si>
  <si>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</si>
  <si>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</si>
  <si>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</si>
  <si>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</si>
  <si>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</si>
  <si>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</si>
  <si>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</si>
  <si>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</si>
  <si>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</si>
  <si>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</si>
  <si>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</si>
  <si>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</si>
  <si>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</si>
  <si>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</si>
  <si>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</si>
  <si>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</si>
  <si>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</si>
  <si>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</si>
  <si>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</si>
  <si>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</si>
  <si>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</si>
  <si>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</si>
  <si>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</si>
  <si>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</si>
  <si>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</si>
  <si>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</si>
  <si>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</si>
  <si>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</si>
  <si>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</si>
  <si>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</si>
  <si>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</si>
  <si>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</si>
  <si>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</si>
  <si>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</si>
  <si>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</si>
  <si>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</si>
  <si>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</si>
  <si>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</si>
  <si>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</si>
  <si>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</si>
  <si>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</si>
  <si>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</si>
  <si>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</si>
  <si>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</si>
  <si>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</si>
  <si>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</si>
  <si>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</si>
  <si>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</si>
  <si>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</si>
  <si>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</si>
  <si>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</si>
  <si>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</si>
  <si>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</si>
  <si>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</si>
  <si>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</si>
  <si>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</si>
  <si>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</si>
  <si>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</si>
  <si>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</si>
  <si>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</si>
  <si>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</si>
  <si>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</si>
  <si>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</si>
  <si>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</si>
  <si>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</si>
  <si>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</si>
  <si>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</si>
  <si>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</si>
  <si>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</si>
  <si>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</si>
  <si>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</si>
  <si>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</si>
  <si>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_/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</si>
  <si>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</si>
  <si>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</si>
  <si>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</si>
  <si>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</si>
  <si>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</si>
  <si>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</si>
  <si>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</si>
  <si>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</si>
  <si>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</si>
  <si>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</si>
  <si>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</si>
  <si>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</si>
  <si>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</si>
  <si>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</si>
  <si>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</si>
  <si>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</si>
  <si>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</si>
  <si>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</si>
  <si>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</si>
  <si>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</si>
  <si>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</si>
  <si>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</si>
  <si>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</si>
  <si>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</si>
  <si>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</si>
  <si>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</si>
  <si>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</si>
  <si>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</si>
  <si>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</si>
  <si>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</si>
  <si>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</si>
  <si>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</si>
  <si>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</si>
  <si>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</si>
  <si>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</si>
  <si>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</si>
  <si>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</si>
  <si>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</si>
  <si>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</si>
  <si>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</si>
  <si>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</si>
  <si>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</si>
  <si>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</si>
  <si>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</si>
  <si>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</si>
  <si>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</si>
  <si>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</si>
  <si>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</si>
  <si>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</si>
  <si>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</si>
  <si>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</si>
  <si>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</si>
  <si>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</si>
  <si>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</si>
  <si>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</si>
  <si>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</si>
  <si>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</si>
  <si>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</si>
  <si>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</si>
  <si>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</si>
  <si>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</si>
  <si>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</si>
  <si>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</si>
  <si>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</si>
  <si>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</si>
  <si>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</si>
  <si>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</si>
  <si>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</si>
  <si>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</si>
  <si>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</si>
  <si>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</si>
  <si>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</si>
  <si>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</si>
  <si>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</si>
  <si>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</si>
  <si>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</si>
  <si>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</si>
  <si>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</si>
  <si>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</si>
  <si>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</si>
  <si>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</si>
  <si>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</si>
  <si>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</si>
  <si>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</si>
  <si>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</si>
  <si>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</si>
  <si>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</si>
  <si>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</si>
  <si>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</si>
  <si>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</si>
  <si>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</si>
  <si>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</si>
  <si>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</si>
  <si>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</si>
  <si>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</si>
  <si>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</si>
  <si>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</si>
  <si>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</si>
  <si>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</si>
  <si>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</si>
  <si>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</si>
  <si>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</si>
  <si>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</si>
  <si>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</si>
  <si>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</si>
  <si>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</si>
  <si>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</si>
  <si>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</si>
  <si>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</si>
  <si>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</si>
  <si>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</si>
  <si>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</si>
  <si>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</si>
  <si>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</si>
  <si>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</si>
  <si>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</si>
  <si>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</si>
  <si>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</si>
  <si>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</si>
  <si>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</si>
  <si>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</si>
  <si>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</si>
  <si>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</si>
  <si>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</si>
  <si>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</si>
  <si>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</si>
  <si>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</si>
  <si>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</si>
  <si>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</si>
  <si>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</si>
  <si>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</si>
  <si>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</si>
  <si>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</si>
  <si>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</si>
  <si>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</si>
  <si>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</si>
  <si>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</si>
  <si>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</si>
  <si>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</si>
  <si>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</si>
  <si>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</si>
  <si>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</si>
  <si>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</si>
  <si>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</si>
  <si>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</si>
  <si>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</si>
  <si>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</si>
  <si>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</si>
  <si>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</si>
  <si>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</si>
  <si>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</si>
  <si>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</si>
  <si>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</si>
  <si>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</si>
  <si>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</si>
  <si>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</si>
  <si>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</si>
  <si>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</si>
  <si>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</si>
  <si>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</si>
  <si>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</si>
  <si>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</si>
  <si>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</si>
  <si>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</si>
  <si>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</si>
  <si>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</si>
  <si>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</si>
  <si>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</si>
  <si>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</si>
  <si>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</si>
  <si>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</si>
  <si>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</si>
  <si>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</si>
  <si>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</si>
  <si>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</si>
  <si>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</si>
  <si>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</si>
  <si>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</si>
  <si>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</si>
  <si>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</si>
  <si>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</si>
  <si>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</si>
  <si>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</si>
  <si>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</si>
  <si>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</si>
  <si>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</si>
  <si>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</si>
  <si>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</si>
  <si>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</si>
  <si>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</si>
  <si>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</si>
  <si>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</si>
  <si>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</si>
  <si>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</si>
  <si>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</si>
  <si>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</si>
  <si>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</si>
  <si>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</si>
  <si>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</si>
  <si>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</si>
  <si>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</si>
  <si>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</si>
  <si>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</si>
  <si>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</si>
  <si>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</si>
  <si>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</si>
  <si>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</si>
  <si>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</si>
  <si>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</si>
  <si>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</si>
  <si>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</si>
  <si>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</si>
  <si>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</si>
  <si>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</si>
  <si>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</si>
  <si>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</si>
  <si>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</si>
  <si>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</si>
  <si>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</si>
  <si>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</si>
  <si>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</si>
  <si>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</si>
  <si>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</si>
  <si>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</si>
  <si>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</si>
  <si>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</si>
  <si>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</si>
  <si>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</si>
  <si>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</si>
  <si>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</si>
  <si>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</si>
  <si>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</si>
  <si>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</si>
  <si>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</si>
  <si>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</si>
  <si>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</si>
  <si>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</si>
  <si>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</si>
  <si>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</si>
  <si>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</si>
  <si>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</si>
  <si>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</si>
  <si>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</si>
  <si>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</si>
  <si>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</si>
  <si>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</si>
  <si>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</si>
  <si>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</si>
  <si>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</si>
  <si>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</si>
  <si>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</si>
  <si>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</si>
  <si>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</si>
  <si>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</si>
  <si>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</si>
  <si>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</si>
  <si>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</si>
  <si>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</si>
  <si>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</si>
  <si>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</si>
  <si>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</si>
  <si>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</si>
  <si>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</si>
  <si>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</si>
  <si>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</si>
  <si>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</si>
  <si>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</si>
  <si>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</si>
  <si>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</si>
  <si>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</si>
  <si>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</si>
  <si>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</si>
  <si>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</si>
  <si>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</si>
  <si>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</si>
  <si>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</si>
  <si>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</si>
  <si>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</si>
  <si>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</si>
  <si>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</si>
  <si>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</si>
  <si>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</si>
  <si>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</si>
  <si>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</si>
  <si>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</si>
  <si>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</si>
  <si>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</si>
  <si>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</si>
  <si>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</si>
  <si>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</si>
  <si>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</si>
  <si>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</si>
  <si>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</si>
  <si>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</si>
  <si>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</si>
  <si>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</si>
  <si>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</si>
  <si>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</si>
  <si>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</si>
  <si>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</si>
  <si>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</si>
  <si>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</si>
  <si>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</si>
  <si>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</si>
  <si>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</si>
  <si>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</si>
  <si>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</si>
  <si>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</si>
  <si>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</si>
  <si>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</si>
  <si>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</si>
  <si>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</si>
  <si>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</si>
  <si>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</si>
  <si>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</si>
  <si>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</si>
  <si>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</si>
  <si>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</si>
  <si>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</si>
  <si>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</si>
  <si>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</si>
  <si>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</si>
  <si>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</si>
  <si>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</si>
  <si>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</si>
  <si>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</si>
  <si>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</si>
  <si>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</si>
  <si>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</si>
  <si>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</si>
  <si>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</si>
  <si>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</si>
  <si>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</si>
  <si>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</si>
  <si>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</si>
  <si>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</si>
  <si>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</si>
  <si>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</si>
  <si>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</si>
  <si>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</si>
  <si>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</si>
  <si>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</si>
  <si>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</si>
  <si>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</si>
  <si>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</si>
  <si>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</si>
  <si>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</si>
  <si>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</si>
  <si>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</si>
  <si>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</si>
  <si>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</si>
  <si>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</si>
  <si>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</si>
  <si>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</si>
  <si>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</si>
  <si>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</si>
  <si>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</si>
  <si>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</si>
  <si>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</si>
  <si>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</si>
  <si>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</si>
  <si>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</si>
  <si>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</si>
  <si>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</si>
  <si>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</si>
  <si>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</si>
  <si>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</si>
  <si>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</si>
  <si>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</si>
  <si>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</si>
  <si>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</si>
  <si>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</si>
  <si>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</si>
  <si>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</si>
  <si>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</si>
  <si>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</si>
  <si>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</si>
  <si>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</si>
  <si>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</si>
  <si>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</si>
  <si>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</si>
  <si>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</si>
  <si>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</si>
  <si>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</si>
  <si>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</si>
  <si>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</si>
  <si>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</si>
  <si>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</si>
  <si>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</si>
  <si>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</si>
  <si>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</si>
  <si>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</si>
  <si>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</si>
  <si>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</si>
  <si>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</si>
  <si>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</si>
  <si>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</si>
  <si>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</si>
  <si>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</si>
  <si>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</si>
  <si>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</si>
  <si>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</si>
  <si>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</si>
  <si>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</si>
  <si>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</si>
  <si>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</si>
  <si>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</si>
  <si>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</si>
  <si>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</si>
  <si>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</si>
  <si>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</si>
  <si>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</si>
  <si>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</si>
  <si>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</si>
  <si>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</si>
  <si>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</si>
  <si>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</si>
  <si>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</si>
  <si>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</si>
  <si>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</si>
  <si>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</si>
  <si>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</si>
  <si>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</si>
  <si>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</si>
  <si>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</si>
  <si>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</si>
  <si>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</si>
  <si>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</si>
  <si>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</si>
  <si>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</si>
  <si>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</si>
  <si>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</si>
  <si>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</si>
  <si>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</si>
  <si>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</si>
  <si>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</si>
  <si>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</si>
  <si>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</si>
  <si>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</si>
  <si>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</si>
  <si>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</si>
  <si>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</si>
  <si>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</si>
  <si>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</si>
  <si>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</si>
  <si>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</si>
  <si>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</si>
  <si>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</si>
  <si>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</si>
  <si>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</si>
  <si>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</si>
  <si>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</si>
  <si>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</si>
  <si>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</si>
  <si>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</si>
  <si>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</si>
  <si>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</si>
  <si>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</si>
  <si>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</si>
  <si>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</si>
  <si>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</si>
  <si>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</si>
  <si>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</si>
  <si>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</si>
  <si>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</si>
  <si>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</si>
  <si>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</si>
  <si>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</si>
  <si>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</si>
  <si>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</si>
  <si>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</si>
  <si>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</si>
  <si>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</si>
  <si>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</si>
  <si>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</si>
  <si>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</si>
  <si>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</si>
  <si>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</si>
  <si>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</si>
  <si>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</si>
  <si>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</si>
  <si>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</si>
  <si>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</si>
  <si>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</si>
  <si>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</si>
  <si>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</si>
  <si>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</si>
  <si>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</si>
  <si>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</si>
  <si>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</si>
  <si>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</si>
  <si>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</si>
  <si>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</si>
  <si>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</si>
  <si>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</si>
  <si>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</si>
  <si>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</si>
  <si>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</si>
  <si>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</si>
  <si>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</si>
  <si>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</si>
  <si>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</si>
  <si>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</si>
  <si>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</si>
  <si>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</si>
  <si>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</si>
  <si>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</si>
  <si>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</si>
  <si>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</si>
  <si>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</si>
  <si>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</si>
  <si>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</si>
  <si>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</si>
  <si>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</si>
  <si>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</si>
  <si>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</si>
  <si>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</si>
  <si>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</si>
  <si>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</si>
  <si>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</si>
  <si>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</si>
  <si>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</si>
  <si>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</si>
  <si>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</si>
  <si>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</si>
  <si>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</si>
  <si>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</si>
  <si>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</si>
  <si>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</si>
  <si>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</si>
  <si>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</si>
  <si>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</si>
  <si>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</si>
  <si>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</si>
  <si>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</si>
  <si>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</si>
  <si>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</si>
  <si>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</si>
  <si>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</si>
  <si>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</si>
  <si>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</si>
  <si>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</si>
  <si>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</si>
  <si>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</si>
  <si>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</si>
  <si>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</si>
  <si>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</si>
  <si>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</si>
  <si>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</si>
  <si>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</si>
  <si>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</si>
  <si>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</si>
  <si>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</si>
  <si>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</si>
  <si>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</si>
  <si>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</si>
  <si>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</si>
  <si>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</si>
  <si>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</si>
  <si>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</si>
  <si>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</si>
  <si>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</si>
  <si>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</si>
  <si>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</si>
  <si>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</si>
  <si>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</si>
  <si>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</si>
  <si>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</si>
  <si>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</si>
  <si>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</si>
  <si>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</si>
  <si>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</si>
  <si>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</si>
  <si>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</si>
  <si>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</si>
  <si>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</si>
  <si>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</si>
  <si>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</si>
  <si>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</si>
  <si>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</si>
  <si>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</si>
  <si>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</si>
  <si>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</si>
  <si>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</si>
  <si>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</si>
  <si>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</si>
  <si>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</si>
  <si>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</si>
  <si>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</si>
  <si>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</si>
  <si>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</si>
  <si>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</si>
  <si>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</si>
  <si>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</si>
  <si>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</si>
  <si>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</si>
  <si>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F15-T12-01</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</si>
  <si>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</si>
  <si>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</si>
  <si>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</si>
  <si>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</si>
  <si>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</si>
  <si>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</si>
  <si>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</si>
  <si>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</si>
  <si>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</si>
  <si>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</si>
  <si>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</si>
  <si>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</si>
  <si>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</si>
  <si>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</si>
  <si>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</si>
  <si>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</si>
  <si>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</si>
  <si>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</si>
  <si>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</si>
  <si>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</si>
  <si>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</si>
  <si>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</si>
  <si>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</si>
  <si>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</si>
  <si>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</si>
  <si>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</si>
  <si>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</si>
  <si>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</si>
  <si>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</si>
  <si>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</si>
  <si>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</si>
  <si>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</si>
  <si>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</si>
  <si>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</si>
  <si>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</si>
  <si>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</si>
  <si>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</si>
  <si>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</si>
  <si>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</si>
  <si>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</si>
  <si>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</si>
  <si>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</si>
  <si>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</si>
  <si>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</si>
  <si>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</si>
  <si>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</si>
  <si>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</si>
  <si>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</si>
  <si>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</si>
  <si>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</si>
  <si>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</si>
  <si>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</si>
  <si>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</si>
  <si>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</si>
  <si>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</si>
  <si>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</si>
  <si>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</si>
  <si>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</si>
  <si>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</si>
  <si>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</si>
  <si>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</si>
  <si>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</si>
  <si>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</si>
  <si>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</si>
  <si>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</si>
  <si>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</si>
  <si>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</si>
  <si>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</si>
  <si>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</si>
  <si>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</si>
  <si>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</si>
  <si>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</si>
  <si>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</si>
  <si>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</si>
  <si>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</si>
  <si>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</si>
  <si>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</si>
  <si>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</si>
  <si>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</si>
  <si>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</si>
  <si>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</si>
  <si>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</si>
  <si>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</si>
  <si>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</si>
  <si>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</si>
  <si>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</si>
  <si>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</si>
  <si>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</si>
  <si>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</si>
  <si>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</si>
  <si>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</si>
  <si>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</si>
  <si>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</si>
  <si>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</si>
  <si>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</si>
  <si>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</si>
  <si>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</si>
  <si>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</si>
  <si>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</si>
  <si>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</si>
  <si>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</si>
  <si>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</si>
  <si>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</si>
  <si>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</si>
  <si>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</si>
  <si>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</si>
  <si>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</si>
  <si>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</si>
  <si>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</si>
  <si>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</si>
  <si>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</si>
  <si>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</si>
  <si>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</si>
  <si>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_/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</si>
  <si>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</si>
  <si>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</si>
  <si>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</si>
  <si>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</si>
  <si>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</si>
  <si>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</si>
  <si>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</si>
  <si>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</si>
  <si>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</si>
  <si>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</si>
  <si>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</si>
  <si>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</si>
  <si>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</si>
  <si>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</si>
  <si>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</si>
  <si>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</si>
  <si>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</si>
  <si>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</si>
  <si>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</si>
  <si>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</si>
  <si>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</si>
  <si>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</si>
  <si>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</si>
  <si>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</si>
  <si>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</si>
  <si>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</si>
  <si>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</si>
  <si>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</si>
  <si>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</si>
  <si>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</si>
  <si>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</si>
  <si>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</si>
  <si>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</si>
  <si>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</si>
  <si>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</si>
  <si>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</si>
  <si>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</si>
  <si>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</si>
  <si>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</si>
  <si>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</si>
  <si>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</si>
  <si>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</si>
  <si>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</si>
  <si>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</si>
  <si>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</si>
  <si>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</si>
  <si>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</si>
  <si>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</si>
  <si>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</si>
  <si>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</si>
  <si>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</si>
  <si>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</si>
  <si>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</si>
  <si>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</si>
  <si>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</si>
  <si>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</si>
  <si>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</si>
  <si>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</si>
  <si>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</si>
  <si>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</si>
  <si>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</si>
  <si>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</si>
  <si>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</si>
  <si>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</si>
  <si>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</si>
  <si>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</si>
  <si>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</si>
  <si>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</si>
  <si>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</si>
  <si>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</si>
  <si>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</si>
  <si>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</si>
  <si>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</si>
  <si>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</si>
  <si>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</si>
  <si>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</si>
  <si>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</si>
  <si>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</si>
  <si>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</si>
  <si>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</si>
  <si>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</si>
  <si>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</si>
  <si>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</si>
  <si>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</si>
  <si>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</si>
  <si>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</si>
  <si>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</si>
  <si>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</si>
  <si>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</si>
  <si>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</si>
  <si>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</si>
  <si>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</si>
  <si>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</si>
  <si>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</si>
  <si>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</si>
  <si>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</si>
  <si>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</si>
  <si>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</si>
  <si>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</si>
  <si>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</si>
  <si>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</si>
  <si>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</si>
  <si>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</si>
  <si>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</si>
  <si>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</si>
  <si>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</si>
  <si>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</si>
  <si>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</si>
  <si>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</si>
  <si>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</si>
  <si>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</si>
  <si>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</si>
  <si>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</si>
  <si>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</si>
  <si>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</si>
  <si>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</si>
  <si>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</si>
  <si>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</si>
  <si>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</si>
  <si>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</si>
  <si>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</si>
  <si>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</si>
  <si>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</si>
  <si>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</si>
  <si>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</si>
  <si>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</si>
  <si>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</si>
  <si>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</si>
  <si>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</si>
  <si>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</si>
  <si>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</si>
  <si>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</si>
  <si>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</si>
  <si>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</si>
  <si>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</si>
  <si>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</si>
  <si>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</si>
  <si>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</si>
  <si>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</si>
  <si>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</si>
  <si>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</si>
  <si>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</si>
  <si>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</si>
  <si>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</si>
  <si>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</si>
  <si>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</si>
  <si>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</si>
  <si>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</si>
  <si>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</si>
  <si>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</si>
  <si>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</si>
  <si>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</si>
  <si>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</si>
  <si>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</si>
  <si>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</si>
  <si>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</si>
  <si>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</si>
  <si>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</si>
  <si>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</si>
  <si>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</si>
  <si>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</si>
  <si>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</si>
  <si>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</si>
  <si>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</si>
  <si>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</si>
  <si>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</si>
  <si>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</si>
  <si>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</si>
  <si>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</si>
  <si>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</si>
  <si>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</si>
  <si>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</si>
  <si>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</si>
  <si>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</si>
  <si>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</si>
  <si>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</si>
  <si>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</si>
  <si>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</si>
  <si>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</si>
  <si>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</si>
  <si>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</si>
  <si>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</si>
  <si>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</si>
  <si>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</si>
  <si>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</si>
  <si>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</si>
  <si>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</si>
  <si>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</si>
  <si>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</si>
  <si>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</si>
  <si>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</si>
  <si>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</si>
  <si>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</si>
  <si>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</si>
  <si>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</si>
  <si>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</si>
  <si>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</si>
  <si>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</si>
  <si>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</si>
  <si>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</si>
  <si>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</si>
  <si>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</si>
  <si>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</si>
  <si>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</si>
  <si>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</si>
  <si>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</si>
  <si>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</si>
  <si>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</si>
  <si>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</si>
  <si>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</si>
  <si>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</si>
  <si>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</si>
  <si>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</si>
  <si>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</si>
  <si>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</si>
  <si>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</si>
  <si>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</si>
  <si>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</si>
  <si>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</si>
  <si>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</si>
  <si>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</si>
  <si>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</si>
  <si>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</si>
  <si>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</si>
  <si>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</si>
  <si>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</si>
  <si>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</si>
  <si>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</si>
  <si>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</si>
  <si>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</si>
  <si>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</si>
  <si>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</si>
  <si>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</si>
  <si>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</si>
  <si>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</si>
  <si>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</si>
  <si>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</si>
  <si>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</si>
  <si>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</si>
  <si>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</si>
  <si>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</si>
  <si>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</si>
  <si>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</si>
  <si>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</si>
  <si>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</si>
  <si>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</si>
  <si>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</si>
  <si>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</si>
  <si>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</si>
  <si>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</si>
  <si>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</si>
  <si>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</si>
  <si>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</si>
  <si>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</si>
  <si>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</si>
  <si>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</si>
  <si>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</si>
  <si>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</si>
  <si>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</si>
  <si>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</si>
  <si>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</si>
  <si>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</si>
  <si>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</si>
  <si>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</si>
  <si>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</si>
  <si>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</si>
  <si>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</si>
  <si>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</si>
  <si>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</si>
  <si>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</si>
  <si>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</si>
  <si>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</si>
  <si>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</si>
  <si>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</si>
  <si>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</si>
  <si>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</si>
  <si>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</si>
  <si>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</si>
  <si>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</si>
  <si>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</si>
  <si>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</si>
  <si>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</si>
  <si>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</si>
  <si>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</si>
  <si>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</si>
  <si>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</si>
  <si>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</si>
  <si>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</si>
  <si>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</si>
  <si>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</si>
  <si>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</si>
  <si>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</si>
  <si>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</si>
  <si>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</si>
  <si>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</si>
  <si>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</si>
  <si>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</si>
  <si>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</si>
  <si>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</si>
  <si>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</si>
  <si>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</si>
  <si>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</si>
  <si>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</si>
  <si>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</si>
  <si>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</si>
  <si>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</si>
  <si>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</si>
  <si>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</si>
  <si>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</si>
  <si>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</si>
  <si>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</si>
  <si>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</si>
  <si>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</si>
  <si>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</si>
  <si>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</si>
  <si>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</si>
  <si>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</si>
  <si>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</si>
  <si>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</si>
  <si>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</si>
  <si>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</si>
  <si>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</si>
  <si>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</si>
  <si>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</si>
  <si>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</si>
  <si>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</si>
  <si>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</si>
  <si>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</si>
  <si>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</si>
  <si>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</si>
  <si>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</si>
  <si>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</si>
  <si>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</si>
  <si>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</si>
  <si>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</si>
  <si>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</si>
  <si>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</si>
  <si>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</si>
  <si>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</si>
  <si>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</si>
  <si>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</si>
  <si>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</si>
  <si>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</si>
  <si>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</si>
  <si>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</si>
  <si>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</si>
  <si>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</si>
  <si>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</si>
  <si>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</si>
  <si>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</si>
  <si>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</si>
  <si>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</si>
  <si>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</si>
  <si>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</si>
  <si>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</si>
  <si>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As-of override (UTC). Leave blank for the live clock; enter a UTC date-time to review the workbook as at that moment.</t>
  </si>
  <si>
    <t xml:space="preserve">Not started</t>
  </si>
  <si>
    <t xml:space="preserve">This PC's clock offset from UTC (hours). 8 = Malaysia (MYT). Used to convert NOW() to UTC.</t>
  </si>
  <si>
    <t xml:space="preserve">In progress</t>
  </si>
  <si>
    <t xml:space="preserve">Closed</t>
  </si>
  <si>
    <t xml:space="preserve">Effective as-of time (UTC) used for all overdue tests</t>
  </si>
  <si>
    <t xml:space="preserve">← as-of in MYT</t>
  </si>
  <si>
    <t xml:space="preserve">Pass</t>
  </si>
  <si>
    <t xml:space="preserve">Physical-uplift window: on-board confirmation is valid only within this many hours before STD (assumption – adjust to station loading practice)</t>
  </si>
  <si>
    <t xml:space="preserve">Pass after CA</t>
  </si>
  <si>
    <t xml:space="preserve">T-24H sensory test: earliest valid completion, hours before its due time (assumption – production batch must exist)</t>
  </si>
  <si>
    <t xml:space="preserve">Fail</t>
  </si>
  <si>
    <t xml:space="preserve">T-12H preparation check: earliest valid completion, hours before its due time (assumption)</t>
  </si>
  <si>
    <t xml:space="preserve">Station time zones (IANA tz database rules; DST windows cover the Oct-2026 programme)</t>
  </si>
  <si>
    <t xml:space="preserve">Station</t>
  </si>
  <si>
    <t xml:space="preserve">IANA zone</t>
  </si>
  <si>
    <t xml:space="preserve">Std offset (h)</t>
  </si>
  <si>
    <t xml:space="preserve">DST offset (h)</t>
  </si>
  <si>
    <t xml:space="preserve">DST start (UTC)</t>
  </si>
  <si>
    <t xml:space="preserve">DST end (UTC)</t>
  </si>
  <si>
    <t xml:space="preserve">Asia/Kuala_Lumpur</t>
  </si>
  <si>
    <t xml:space="preserve">Europe/London</t>
  </si>
  <si>
    <t xml:space="preserve">Asia/Jakarta</t>
  </si>
  <si>
    <t xml:space="preserve">Asia/Ho_Chi_Minh</t>
  </si>
  <si>
    <t xml:space="preserve">Asia/Tokyo</t>
  </si>
  <si>
    <t xml:space="preserve">Asia/Hong_Kong</t>
  </si>
  <si>
    <t xml:space="preserve">Australia/Adelaide</t>
  </si>
  <si>
    <t xml:space="preserve">Source: IANA tz database. Europe/London BST ends Sun 25-Oct-2026 01:00 UTC; Australia/Adelaide ACDT (UTC+10:30) starts Sun 4-Oct-2026 02:00 local (03-Oct 16:30 UTC). No DST at other stations.</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</si>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</sst>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false">
      <alignment horizontal="general" vertical="top" textRotation="0" wrapText="true" indent="0" shrinkToFit="false"/>
      <protection locked="tru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false">
      <alignment horizontal="general" vertical="top" textRotation="0" wrapText="true" indent="0" shrinkToFit="false"/>
      <protection locked="tru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2"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false">
      <alignment horizontal="general" vertical="top" textRotation="0" wrapText="true" indent="0" shrinkToFit="false"/>
      <protection locked="tru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false">
      <alignment horizontal="general" vertical="bottom" textRotation="0" wrapText="false" indent="0" shrinkToFit="false"/>
      <protection locked="tru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30" hidden="false" customHeight="true" outlineLevel="0" collapsed="false">
      <c r="B32" s="4" t="s">
        <v>30</v>
      </c>
    </row>
    <row r="33" customFormat="false" ht="21.75" hidden="false" customHeight="true" outlineLevel="0" collapsed="false">
      <c r="B33" s="5" t="s">
        <v>31</v>
      </c>
    </row>
    <row r="34" customFormat="false" ht="43.5" hidden="false" customHeight="true" outlineLevel="0" collapsed="false">
      <c r="B34" s="4" t="s">
        <v>32</v>
      </c>
    </row>
    <row r="35" customFormat="false" ht="84" hidden="false" customHeight="true" outlineLevel="0" collapsed="false">
      <c r="B35" s="4" t="s">
        <v>33</v>
      </c>
    </row>
    <row r="36" customFormat="false" ht="70.5" hidden="false" customHeight="true" outlineLevel="0" collapsed="false">
      <c r="B36" s="4" t="s">
        <v>34</v>
      </c>
    </row>
    <row r="37" customFormat="false" ht="57" hidden="false" customHeight="true" outlineLevel="0" collapsed="false">
      <c r="B37" s="4" t="s">
        <v>35</v>
      </c>
    </row>
    <row r="38" customFormat="false" ht="21.75" hidden="false" customHeight="true" outlineLevel="0" collapsed="false">
      <c r="B38" s="5" t="s">
        <v>36</v>
      </c>
    </row>
    <row r="39" customFormat="false" ht="57" hidden="false" customHeight="true" outlineLevel="0" collapsed="false">
      <c r="B39" s="4" t="s">
        <v>37</v>
      </c>
    </row>
    <row r="40" customFormat="false" ht="30" hidden="false" customHeight="true" outlineLevel="0" collapsed="false">
      <c r="B40" s="4" t="s">
        <v>38</v>
      </c>
    </row>
    <row r="41" customFormat="false" ht="30" hidden="false" customHeight="true" outlineLevel="0" collapsed="false">
      <c r="B41" s="4" t="s">
        <v>39</v>
      </c>
    </row>
    <row r="42" customFormat="false" ht="21.75" hidden="false" customHeight="true" outlineLevel="0" collapsed="false">
      <c r="B42" s="5" t="s">
        <v>40</v>
      </c>
    </row>
    <row r="43" customFormat="false" ht="43.5" hidden="false" customHeight="true" outlineLevel="0" collapsed="false">
      <c r="B43" s="4" t="s">
        <v>41</v>
      </c>
    </row>
    <row r="44" customFormat="false" ht="21.75" hidden="false" customHeight="true" outlineLevel="0" collapsed="false">
      <c r="B44" s="5" t="s">
        <v>42</v>
      </c>
    </row>
    <row r="45" customFormat="false" ht="16.5" hidden="false" customHeight="true" outlineLevel="0" collapsed="false">
      <c r="B45" s="6" t="s">
        <v>43</v>
      </c>
    </row>
    <row r="46" customFormat="false" ht="16.5" hidden="false" customHeight="true" outlineLevel="0" collapsed="false">
      <c r="B46" s="7" t="s">
        <v>44</v>
      </c>
    </row>
    <row r="47" customFormat="false" ht="16.5" hidden="false" customHeight="true" outlineLevel="0" collapsed="false">
      <c r="B47" s="8" t="s">
        <v>45</v>
      </c>
    </row>
    <row r="48" customFormat="false" ht="30" hidden="false" customHeight="true" outlineLevel="0" collapsed="false">
      <c r="B48" s="9" t="s">
        <v>46</v>
      </c>
    </row>
  </sheetData>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47</v>
      </c>
      <c r="C1" s="10"/>
      <c r="D1" s="10"/>
      <c r="E1" s="10"/>
      <c r="F1" s="10"/>
      <c r="G1" s="10"/>
      <c r="H1" s="10"/>
      <c r="I1" s="10"/>
      <c r="J1" s="10"/>
      <c r="K1" s="10"/>
      <c r="L1" s="10"/>
      <c r="M1" s="10"/>
      <c r="N1" s="10"/>
      <c r="O1" s="10"/>
      <c r="P1" s="10"/>
      <c r="Q1" s="10"/>
      <c r="R1" s="10"/>
    </row>
    <row r="2" customFormat="false" ht="14.25" hidden="false" customHeight="true" outlineLevel="0" collapsed="false">
      <c r="B2" s="11" t="s">
        <v>48</v>
      </c>
      <c r="C2" s="11"/>
      <c r="D2" s="12" t="n">
        <f aca="false">AsOfUTC</f>
        <v>46293.1287984666</v>
      </c>
      <c r="E2" s="12"/>
      <c r="F2" s="11" t="s">
        <v>49</v>
      </c>
      <c r="G2" s="11"/>
      <c r="H2" s="12" t="n">
        <f aca="false">AsOfUTC+8/24</f>
        <v>46293.4621317999</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50</v>
      </c>
      <c r="C4" s="14"/>
      <c r="D4" s="14"/>
      <c r="E4" s="14"/>
      <c r="F4" s="14"/>
      <c r="G4" s="14"/>
      <c r="H4" s="14"/>
      <c r="I4" s="14"/>
      <c r="J4" s="14"/>
      <c r="K4" s="14"/>
      <c r="L4" s="14"/>
      <c r="M4" s="14"/>
      <c r="N4" s="14"/>
      <c r="O4" s="14"/>
      <c r="P4" s="14"/>
      <c r="Q4" s="14"/>
      <c r="R4" s="14"/>
    </row>
    <row r="5" customFormat="false" ht="27.75" hidden="false" customHeight="true" outlineLevel="0" collapsed="false">
      <c r="B5" s="15" t="s">
        <v>51</v>
      </c>
      <c r="C5" s="15"/>
      <c r="D5" s="15" t="s">
        <v>52</v>
      </c>
      <c r="E5" s="15"/>
      <c r="F5" s="15" t="s">
        <v>53</v>
      </c>
      <c r="G5" s="15"/>
      <c r="H5" s="15" t="s">
        <v>54</v>
      </c>
      <c r="I5" s="15"/>
      <c r="J5" s="15" t="s">
        <v>55</v>
      </c>
      <c r="K5" s="15"/>
      <c r="L5" s="15" t="s">
        <v>56</v>
      </c>
      <c r="M5" s="15"/>
      <c r="N5" s="15" t="s">
        <v>57</v>
      </c>
      <c r="O5" s="15"/>
      <c r="P5" s="15" t="s">
        <v>58</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SUM(Checks!$AN$5:$AN$748)</f>
        <v>44</v>
      </c>
      <c r="O6" s="16"/>
      <c r="P6" s="16" t="n">
        <f aca="false">SUM(Checks!$AM$5:$AM$748)</f>
        <v>0</v>
      </c>
      <c r="Q6" s="16"/>
      <c r="R6" s="16"/>
    </row>
    <row r="7" customFormat="false" ht="36" hidden="false" customHeight="true" outlineLevel="0" collapsed="false">
      <c r="B7" s="18" t="s">
        <v>59</v>
      </c>
      <c r="C7" s="18"/>
      <c r="D7" s="18" t="str">
        <f aca="false">"of "&amp;COUNTA(Flights!$A$5:$A$26)&amp;" flights"</f>
        <v>of 22 flights</v>
      </c>
      <c r="E7" s="18"/>
      <c r="F7" s="18" t="str">
        <f aca="false">SUM(Checks!$AJ$5:$AJ$748)&amp;" of "&amp;SUM(Checks!$AI$5:$AI$748)&amp;" checks"</f>
        <v>0 of 724 checks</v>
      </c>
      <c r="G7" s="18"/>
      <c r="H7" s="18" t="s">
        <v>60</v>
      </c>
      <c r="I7" s="18"/>
      <c r="J7" s="18" t="s">
        <v>61</v>
      </c>
      <c r="K7" s="18"/>
      <c r="L7" s="18" t="s">
        <v>62</v>
      </c>
      <c r="M7" s="18"/>
      <c r="N7" s="18" t="s">
        <v>63</v>
      </c>
      <c r="O7" s="18"/>
      <c r="P7" s="18" t="s">
        <v>64</v>
      </c>
      <c r="Q7" s="18"/>
      <c r="R7" s="18"/>
    </row>
    <row r="8" customFormat="false" ht="7.5" hidden="false" customHeight="true" outlineLevel="0" collapsed="false"/>
    <row r="9" customFormat="false" ht="21.75" hidden="false" customHeight="true" outlineLevel="0" collapsed="false">
      <c r="B9" s="14" t="s">
        <v>65</v>
      </c>
      <c r="C9" s="14"/>
      <c r="D9" s="14"/>
      <c r="E9" s="14"/>
      <c r="F9" s="14"/>
      <c r="G9" s="14"/>
      <c r="H9" s="14"/>
      <c r="I9" s="14"/>
      <c r="J9" s="14"/>
      <c r="K9" s="14"/>
      <c r="L9" s="14"/>
      <c r="M9" s="14"/>
      <c r="N9" s="14"/>
      <c r="O9" s="14"/>
      <c r="P9" s="14"/>
      <c r="Q9" s="14"/>
      <c r="R9" s="14"/>
    </row>
    <row r="10" customFormat="false" ht="39.75" hidden="false" customHeight="true" outlineLevel="0" collapsed="false">
      <c r="B10" s="19" t="s">
        <v>66</v>
      </c>
      <c r="C10" s="19"/>
      <c r="D10" s="19" t="s">
        <v>67</v>
      </c>
      <c r="E10" s="19"/>
      <c r="F10" s="19" t="s">
        <v>68</v>
      </c>
      <c r="G10" s="19"/>
      <c r="H10" s="19" t="s">
        <v>69</v>
      </c>
      <c r="I10" s="19" t="s">
        <v>70</v>
      </c>
      <c r="J10" s="19" t="s">
        <v>71</v>
      </c>
      <c r="K10" s="19"/>
      <c r="L10" s="19" t="s">
        <v>72</v>
      </c>
      <c r="M10" s="19"/>
      <c r="N10" s="19" t="s">
        <v>73</v>
      </c>
      <c r="O10" s="19"/>
      <c r="P10" s="19"/>
      <c r="Q10" s="19"/>
      <c r="R10" s="19"/>
    </row>
    <row r="11" customFormat="false" ht="18" hidden="false" customHeight="true" outlineLevel="0" collapsed="false">
      <c r="B11" s="20" t="s">
        <v>74</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75</v>
      </c>
      <c r="O11" s="23"/>
      <c r="P11" s="23"/>
      <c r="Q11" s="23"/>
      <c r="R11" s="23"/>
    </row>
    <row r="12" customFormat="false" ht="18" hidden="false" customHeight="true" outlineLevel="0" collapsed="false">
      <c r="B12" s="20" t="s">
        <v>76</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77</v>
      </c>
      <c r="O12" s="23"/>
      <c r="P12" s="23"/>
      <c r="Q12" s="23"/>
      <c r="R12" s="23"/>
    </row>
    <row r="13" customFormat="false" ht="18" hidden="false" customHeight="true" outlineLevel="0" collapsed="false">
      <c r="B13" s="20" t="s">
        <v>78</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79</v>
      </c>
      <c r="O13" s="23"/>
      <c r="P13" s="23"/>
      <c r="Q13" s="23"/>
      <c r="R13" s="23"/>
    </row>
    <row r="14" customFormat="false" ht="18" hidden="false" customHeight="true" outlineLevel="0" collapsed="false">
      <c r="B14" s="20" t="s">
        <v>80</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81</v>
      </c>
      <c r="O14" s="23"/>
      <c r="P14" s="23"/>
      <c r="Q14" s="23"/>
      <c r="R14" s="23"/>
    </row>
    <row r="15" customFormat="false" ht="18" hidden="false" customHeight="true" outlineLevel="0" collapsed="false">
      <c r="B15" s="24" t="s">
        <v>82</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83</v>
      </c>
      <c r="O15" s="27"/>
      <c r="P15" s="27"/>
      <c r="Q15" s="27"/>
      <c r="R15" s="27"/>
    </row>
    <row r="16" customFormat="false" ht="7.5" hidden="false" customHeight="true" outlineLevel="0" collapsed="false"/>
    <row r="17" customFormat="false" ht="21.75" hidden="false" customHeight="true" outlineLevel="0" collapsed="false">
      <c r="B17" s="14" t="s">
        <v>84</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85</v>
      </c>
      <c r="C18" s="28"/>
      <c r="D18" s="28"/>
      <c r="E18" s="29" t="s">
        <v>86</v>
      </c>
      <c r="F18" s="29"/>
      <c r="G18" s="29"/>
      <c r="H18" s="29"/>
      <c r="I18" s="29"/>
      <c r="J18" s="29"/>
      <c r="K18" s="29"/>
      <c r="L18" s="29"/>
      <c r="M18" s="29"/>
      <c r="N18" s="29"/>
      <c r="O18" s="29"/>
      <c r="P18" s="29"/>
      <c r="Q18" s="29"/>
      <c r="R18" s="29"/>
    </row>
    <row r="19" customFormat="false" ht="27.75" hidden="false" customHeight="true" outlineLevel="0" collapsed="false">
      <c r="B19" s="28" t="s">
        <v>87</v>
      </c>
      <c r="C19" s="28"/>
      <c r="D19" s="28"/>
      <c r="E19" s="29" t="s">
        <v>88</v>
      </c>
      <c r="F19" s="29"/>
      <c r="G19" s="29"/>
      <c r="H19" s="29"/>
      <c r="I19" s="29"/>
      <c r="J19" s="29"/>
      <c r="K19" s="29"/>
      <c r="L19" s="29"/>
      <c r="M19" s="29"/>
      <c r="N19" s="29"/>
      <c r="O19" s="29"/>
      <c r="P19" s="29"/>
      <c r="Q19" s="29"/>
      <c r="R19" s="29"/>
    </row>
    <row r="20" customFormat="false" ht="51.75" hidden="false" customHeight="true" outlineLevel="0" collapsed="false">
      <c r="B20" s="28" t="s">
        <v>68</v>
      </c>
      <c r="C20" s="28"/>
      <c r="D20" s="28"/>
      <c r="E20" s="29" t="s">
        <v>89</v>
      </c>
      <c r="F20" s="29"/>
      <c r="G20" s="29"/>
      <c r="H20" s="29"/>
      <c r="I20" s="29"/>
      <c r="J20" s="29"/>
      <c r="K20" s="29"/>
      <c r="L20" s="29"/>
      <c r="M20" s="29"/>
      <c r="N20" s="29"/>
      <c r="O20" s="29"/>
      <c r="P20" s="29"/>
      <c r="Q20" s="29"/>
      <c r="R20" s="29"/>
    </row>
    <row r="21" customFormat="false" ht="27.75" hidden="false" customHeight="true" outlineLevel="0" collapsed="false">
      <c r="B21" s="28" t="s">
        <v>90</v>
      </c>
      <c r="C21" s="28"/>
      <c r="D21" s="28"/>
      <c r="E21" s="29" t="s">
        <v>91</v>
      </c>
      <c r="F21" s="29"/>
      <c r="G21" s="29"/>
      <c r="H21" s="29"/>
      <c r="I21" s="29"/>
      <c r="J21" s="29"/>
      <c r="K21" s="29"/>
      <c r="L21" s="29"/>
      <c r="M21" s="29"/>
      <c r="N21" s="29"/>
      <c r="O21" s="29"/>
      <c r="P21" s="29"/>
      <c r="Q21" s="29"/>
      <c r="R21" s="29"/>
    </row>
    <row r="22" customFormat="false" ht="39.75" hidden="false" customHeight="true" outlineLevel="0" collapsed="false">
      <c r="B22" s="28" t="s">
        <v>92</v>
      </c>
      <c r="C22" s="28"/>
      <c r="D22" s="28"/>
      <c r="E22" s="29" t="s">
        <v>93</v>
      </c>
      <c r="F22" s="29"/>
      <c r="G22" s="29"/>
      <c r="H22" s="29"/>
      <c r="I22" s="29"/>
      <c r="J22" s="29"/>
      <c r="K22" s="29"/>
      <c r="L22" s="29"/>
      <c r="M22" s="29"/>
      <c r="N22" s="29"/>
      <c r="O22" s="29"/>
      <c r="P22" s="29"/>
      <c r="Q22" s="29"/>
      <c r="R22" s="29"/>
    </row>
    <row r="23" customFormat="false" ht="27.75" hidden="false" customHeight="true" outlineLevel="0" collapsed="false">
      <c r="B23" s="28" t="s">
        <v>94</v>
      </c>
      <c r="C23" s="28"/>
      <c r="D23" s="28"/>
      <c r="E23" s="29" t="s">
        <v>95</v>
      </c>
      <c r="F23" s="29"/>
      <c r="G23" s="29"/>
      <c r="H23" s="29"/>
      <c r="I23" s="29"/>
      <c r="J23" s="29"/>
      <c r="K23" s="29"/>
      <c r="L23" s="29"/>
      <c r="M23" s="29"/>
      <c r="N23" s="29"/>
      <c r="O23" s="29"/>
      <c r="P23" s="29"/>
      <c r="Q23" s="29"/>
      <c r="R23" s="29"/>
    </row>
    <row r="24" customFormat="false" ht="27.75" hidden="false" customHeight="true" outlineLevel="0" collapsed="false">
      <c r="B24" s="28" t="s">
        <v>96</v>
      </c>
      <c r="C24" s="28"/>
      <c r="D24" s="28"/>
      <c r="E24" s="29" t="s">
        <v>97</v>
      </c>
      <c r="F24" s="29"/>
      <c r="G24" s="29"/>
      <c r="H24" s="29"/>
      <c r="I24" s="29"/>
      <c r="J24" s="29"/>
      <c r="K24" s="29"/>
      <c r="L24" s="29"/>
      <c r="M24" s="29"/>
      <c r="N24" s="29"/>
      <c r="O24" s="29"/>
      <c r="P24" s="29"/>
      <c r="Q24" s="29"/>
      <c r="R24" s="29"/>
    </row>
    <row r="26" customFormat="false" ht="21.75" hidden="false" customHeight="true" outlineLevel="0" collapsed="false">
      <c r="B26" s="14" t="s">
        <v>98</v>
      </c>
      <c r="C26" s="14"/>
      <c r="D26" s="14"/>
      <c r="E26" s="14"/>
      <c r="F26" s="14"/>
      <c r="G26" s="14"/>
      <c r="H26" s="14"/>
      <c r="I26" s="14"/>
      <c r="J26" s="14"/>
      <c r="K26" s="14"/>
      <c r="L26" s="30" t="str">
        <f aca="false">"As of "&amp;TEXT(AsOfUTC+8/24,"dd-mmm-yy hh:mm")&amp;" MYT"</f>
        <v>As of 28-Sep-26 11:05 MYT</v>
      </c>
      <c r="M26" s="30"/>
      <c r="N26" s="30"/>
      <c r="O26" s="30"/>
      <c r="P26" s="30"/>
      <c r="Q26" s="30"/>
      <c r="R26" s="30"/>
    </row>
    <row r="27" customFormat="false" ht="27.75" hidden="false" customHeight="true" outlineLevel="0" collapsed="false">
      <c r="B27" s="19" t="s">
        <v>99</v>
      </c>
      <c r="C27" s="19" t="s">
        <v>100</v>
      </c>
      <c r="D27" s="19" t="s">
        <v>101</v>
      </c>
      <c r="E27" s="19" t="s">
        <v>102</v>
      </c>
      <c r="F27" s="19" t="s">
        <v>103</v>
      </c>
      <c r="G27" s="19" t="s">
        <v>104</v>
      </c>
      <c r="H27" s="19" t="s">
        <v>105</v>
      </c>
      <c r="I27" s="19" t="s">
        <v>74</v>
      </c>
      <c r="J27" s="19" t="s">
        <v>76</v>
      </c>
      <c r="K27" s="19" t="s">
        <v>78</v>
      </c>
      <c r="L27" s="19" t="s">
        <v>80</v>
      </c>
      <c r="M27" s="19" t="s">
        <v>106</v>
      </c>
      <c r="N27" s="19" t="s">
        <v>107</v>
      </c>
      <c r="O27" s="19" t="s">
        <v>108</v>
      </c>
      <c r="P27" s="19" t="s">
        <v>109</v>
      </c>
      <c r="Q27" s="19" t="s">
        <v>110</v>
      </c>
      <c r="R27" s="19" t="s">
        <v>111</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2</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4</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5</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2</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3</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4</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5</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2</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2</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2</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7</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2</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2</v>
      </c>
      <c r="R49" s="43" t="str">
        <f aca="false">IF(Flights!$AT$26="","",Flights!$AT$26)</f>
        <v>NOT READY – DOCUMENTS</v>
      </c>
    </row>
    <row r="50" customFormat="false" ht="25.5" hidden="false" customHeight="true" outlineLevel="0" collapsed="false">
      <c r="B50" s="44" t="s">
        <v>112</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113</v>
      </c>
      <c r="C52" s="14"/>
      <c r="D52" s="14"/>
      <c r="E52" s="14"/>
      <c r="F52" s="14"/>
      <c r="G52" s="14"/>
      <c r="H52" s="14"/>
      <c r="I52" s="14"/>
      <c r="J52" s="14"/>
      <c r="K52" s="14"/>
      <c r="L52" s="30" t="str">
        <f aca="false">"Showing "&amp;MIN(18,SUM(Checks!$AK$5:$AK$748))&amp;" of "&amp;SUM(Checks!$AK$5:$AK$748)&amp;"  •  as of "&amp;TEXT(AsOfUTC+8/24,"dd-mmm-yy hh:mm")&amp;" MYT"</f>
        <v>Showing 0 of 0  •  as of 28-Sep-26 11:05 MYT</v>
      </c>
      <c r="M52" s="30"/>
      <c r="N52" s="30"/>
      <c r="O52" s="30"/>
      <c r="P52" s="30"/>
      <c r="Q52" s="30"/>
      <c r="R52" s="30"/>
    </row>
    <row r="53" customFormat="false" ht="27.75" hidden="false" customHeight="true" outlineLevel="0" collapsed="false">
      <c r="B53" s="19" t="s">
        <v>114</v>
      </c>
      <c r="C53" s="19" t="s">
        <v>115</v>
      </c>
      <c r="D53" s="19"/>
      <c r="E53" s="19" t="s">
        <v>100</v>
      </c>
      <c r="F53" s="19" t="s">
        <v>66</v>
      </c>
      <c r="G53" s="19"/>
      <c r="H53" s="19" t="s">
        <v>116</v>
      </c>
      <c r="I53" s="19"/>
      <c r="J53" s="19"/>
      <c r="K53" s="19"/>
      <c r="L53" s="19"/>
      <c r="M53" s="19"/>
      <c r="N53" s="19" t="s">
        <v>117</v>
      </c>
      <c r="O53" s="19"/>
      <c r="P53" s="19" t="s">
        <v>118</v>
      </c>
      <c r="Q53" s="19"/>
      <c r="R53" s="19" t="s">
        <v>119</v>
      </c>
      <c r="T53" s="45" t="s">
        <v>120</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121</v>
      </c>
      <c r="C74" s="14"/>
      <c r="D74" s="14"/>
      <c r="E74" s="14"/>
      <c r="F74" s="14"/>
      <c r="G74" s="14"/>
      <c r="H74" s="14"/>
      <c r="I74" s="14"/>
      <c r="J74" s="14"/>
      <c r="K74" s="14"/>
      <c r="L74" s="30" t="str">
        <f aca="false">"Showing "&amp;MIN(18,SUM(Checks!$AL$5:$AL$748))&amp;" of "&amp;SUM(Checks!$AL$5:$AL$748)&amp;"  •  as of "&amp;TEXT(AsOfUTC+8/24,"dd-mmm-yy hh:mm")&amp;" MYT"</f>
        <v>Showing 0 of 0  •  as of 28-Sep-26 11:05 MYT</v>
      </c>
      <c r="M74" s="30"/>
      <c r="N74" s="30"/>
      <c r="O74" s="30"/>
      <c r="P74" s="30"/>
      <c r="Q74" s="30"/>
      <c r="R74" s="30"/>
    </row>
    <row r="75" customFormat="false" ht="27.75" hidden="false" customHeight="true" outlineLevel="0" collapsed="false">
      <c r="B75" s="19" t="s">
        <v>114</v>
      </c>
      <c r="C75" s="19" t="s">
        <v>115</v>
      </c>
      <c r="D75" s="19"/>
      <c r="E75" s="19" t="s">
        <v>100</v>
      </c>
      <c r="F75" s="19" t="s">
        <v>66</v>
      </c>
      <c r="G75" s="19"/>
      <c r="H75" s="19" t="s">
        <v>116</v>
      </c>
      <c r="I75" s="19"/>
      <c r="J75" s="19"/>
      <c r="K75" s="19"/>
      <c r="L75" s="19" t="s">
        <v>122</v>
      </c>
      <c r="M75" s="19" t="s">
        <v>123</v>
      </c>
      <c r="N75" s="19" t="s">
        <v>124</v>
      </c>
      <c r="O75" s="19" t="s">
        <v>125</v>
      </c>
      <c r="P75" s="19" t="s">
        <v>126</v>
      </c>
      <c r="Q75" s="19" t="s">
        <v>127</v>
      </c>
      <c r="R75" s="19"/>
      <c r="T75" s="45" t="s">
        <v>120</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{A03D554E-8E90-47CD-9E73-F8AC9CF76AA9}</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{38C26044-177A-4838-9E63-F9E31E7F7A48}</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A03D554E-8E90-47CD-9E73-F8AC9CF76AA9}">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38C26044-177A-4838-9E63-F9E31E7F7A48}">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Y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1" min="50" style="0" width="17"/>
  </cols>
  <sheetData>
    <row r="1" customFormat="false" ht="24" hidden="false" customHeight="true" outlineLevel="0" collapsed="false">
      <c r="A1" s="54" t="s">
        <v>128</v>
      </c>
    </row>
    <row r="2" customFormat="false" ht="28.5" hidden="false" customHeight="true" outlineLevel="0" collapsed="false">
      <c r="G2" s="55" t="s">
        <v>129</v>
      </c>
      <c r="H2" s="55"/>
      <c r="I2" s="55"/>
      <c r="J2" s="55"/>
      <c r="K2" s="55"/>
      <c r="L2" s="55"/>
      <c r="M2" s="55"/>
      <c r="N2" s="55"/>
      <c r="O2" s="55"/>
      <c r="P2" s="55"/>
    </row>
    <row r="4" customFormat="false" ht="54" hidden="false" customHeight="true" outlineLevel="0" collapsed="false">
      <c r="A4" s="56" t="s">
        <v>130</v>
      </c>
      <c r="B4" s="56" t="s">
        <v>99</v>
      </c>
      <c r="C4" s="56" t="s">
        <v>131</v>
      </c>
      <c r="D4" s="56" t="s">
        <v>101</v>
      </c>
      <c r="E4" s="56" t="s">
        <v>132</v>
      </c>
      <c r="F4" s="56" t="s">
        <v>133</v>
      </c>
      <c r="G4" s="56" t="s">
        <v>134</v>
      </c>
      <c r="H4" s="56" t="s">
        <v>135</v>
      </c>
      <c r="I4" s="56" t="s">
        <v>105</v>
      </c>
      <c r="J4" s="56" t="s">
        <v>136</v>
      </c>
      <c r="K4" s="56" t="s">
        <v>137</v>
      </c>
      <c r="L4" s="56" t="s">
        <v>138</v>
      </c>
      <c r="M4" s="56" t="s">
        <v>139</v>
      </c>
      <c r="N4" s="56" t="s">
        <v>140</v>
      </c>
      <c r="O4" s="56" t="s">
        <v>141</v>
      </c>
      <c r="P4" s="56" t="s">
        <v>142</v>
      </c>
      <c r="Q4" s="56" t="s">
        <v>143</v>
      </c>
      <c r="R4" s="56" t="s">
        <v>144</v>
      </c>
      <c r="S4" s="56" t="s">
        <v>145</v>
      </c>
      <c r="T4" s="56" t="s">
        <v>146</v>
      </c>
      <c r="U4" s="56" t="s">
        <v>147</v>
      </c>
      <c r="V4" s="56" t="s">
        <v>148</v>
      </c>
      <c r="W4" s="56" t="s">
        <v>149</v>
      </c>
      <c r="X4" s="56" t="s">
        <v>150</v>
      </c>
      <c r="Y4" s="56" t="s">
        <v>151</v>
      </c>
      <c r="Z4" s="56" t="s">
        <v>152</v>
      </c>
      <c r="AA4" s="56" t="s">
        <v>153</v>
      </c>
      <c r="AB4" s="56" t="s">
        <v>154</v>
      </c>
      <c r="AC4" s="56" t="s">
        <v>155</v>
      </c>
      <c r="AD4" s="56" t="s">
        <v>156</v>
      </c>
      <c r="AE4" s="56" t="s">
        <v>157</v>
      </c>
      <c r="AF4" s="56" t="s">
        <v>158</v>
      </c>
      <c r="AG4" s="56" t="s">
        <v>159</v>
      </c>
      <c r="AH4" s="56" t="s">
        <v>160</v>
      </c>
      <c r="AI4" s="56" t="s">
        <v>161</v>
      </c>
      <c r="AJ4" s="56" t="s">
        <v>162</v>
      </c>
      <c r="AK4" s="56" t="s">
        <v>163</v>
      </c>
      <c r="AL4" s="56" t="s">
        <v>164</v>
      </c>
      <c r="AM4" s="56" t="s">
        <v>165</v>
      </c>
      <c r="AN4" s="56" t="s">
        <v>166</v>
      </c>
      <c r="AO4" s="56" t="s">
        <v>167</v>
      </c>
      <c r="AP4" s="56" t="s">
        <v>71</v>
      </c>
      <c r="AQ4" s="56" t="s">
        <v>55</v>
      </c>
      <c r="AR4" s="56" t="s">
        <v>56</v>
      </c>
      <c r="AS4" s="56" t="s">
        <v>57</v>
      </c>
      <c r="AT4" s="56" t="s">
        <v>168</v>
      </c>
      <c r="AU4" s="56" t="s">
        <v>58</v>
      </c>
      <c r="AV4" s="56" t="s">
        <v>169</v>
      </c>
      <c r="AW4" s="56" t="s">
        <v>170</v>
      </c>
      <c r="AX4" s="56" t="s">
        <v>171</v>
      </c>
      <c r="AY4" s="56" t="s">
        <v>172</v>
      </c>
    </row>
    <row r="5" customFormat="false" ht="36" hidden="false" customHeight="true" outlineLevel="0" collapsed="false">
      <c r="A5" s="57" t="s">
        <v>173</v>
      </c>
      <c r="B5" s="57" t="n">
        <v>1</v>
      </c>
      <c r="C5" s="57" t="n">
        <v>1</v>
      </c>
      <c r="D5" s="58" t="n">
        <v>46303</v>
      </c>
      <c r="E5" s="57" t="s">
        <v>174</v>
      </c>
      <c r="F5" s="57" t="s">
        <v>175</v>
      </c>
      <c r="G5" s="57" t="s">
        <v>176</v>
      </c>
      <c r="H5" s="57" t="s">
        <v>177</v>
      </c>
      <c r="I5" s="59" t="n">
        <v>46303.8993055556</v>
      </c>
      <c r="J5" s="59" t="n">
        <v>46304.7430555556</v>
      </c>
      <c r="K5" s="57" t="s">
        <v>178</v>
      </c>
      <c r="L5" s="60" t="s">
        <v>179</v>
      </c>
      <c r="M5" s="57" t="s">
        <v>180</v>
      </c>
      <c r="N5" s="60"/>
      <c r="O5" s="57" t="s">
        <v>181</v>
      </c>
      <c r="P5" s="57" t="s">
        <v>182</v>
      </c>
      <c r="Q5" s="57"/>
      <c r="R5" s="57" t="s">
        <v>183</v>
      </c>
      <c r="S5" s="57" t="s">
        <v>184</v>
      </c>
      <c r="T5" s="57" t="s">
        <v>185</v>
      </c>
      <c r="U5" s="57" t="s">
        <v>186</v>
      </c>
      <c r="V5" s="57" t="s">
        <v>176</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f>
        <v>2</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187</v>
      </c>
      <c r="AY5" s="62" t="s">
        <v>187</v>
      </c>
    </row>
    <row r="6" customFormat="false" ht="36" hidden="false" customHeight="true" outlineLevel="0" collapsed="false">
      <c r="A6" s="57" t="s">
        <v>188</v>
      </c>
      <c r="B6" s="57" t="n">
        <v>1</v>
      </c>
      <c r="C6" s="57" t="n">
        <v>2</v>
      </c>
      <c r="D6" s="58" t="n">
        <v>46304</v>
      </c>
      <c r="E6" s="57" t="s">
        <v>189</v>
      </c>
      <c r="F6" s="57" t="s">
        <v>190</v>
      </c>
      <c r="G6" s="57" t="s">
        <v>177</v>
      </c>
      <c r="H6" s="57" t="s">
        <v>191</v>
      </c>
      <c r="I6" s="59" t="n">
        <v>46304.9097222222</v>
      </c>
      <c r="J6" s="59" t="n">
        <v>46304.9618055556</v>
      </c>
      <c r="K6" s="57" t="s">
        <v>192</v>
      </c>
      <c r="L6" s="60" t="s">
        <v>193</v>
      </c>
      <c r="M6" s="57" t="s">
        <v>194</v>
      </c>
      <c r="N6" s="60"/>
      <c r="O6" s="57" t="s">
        <v>195</v>
      </c>
      <c r="P6" s="57" t="s">
        <v>196</v>
      </c>
      <c r="Q6" s="57" t="s">
        <v>197</v>
      </c>
      <c r="R6" s="57" t="s">
        <v>198</v>
      </c>
      <c r="S6" s="57" t="s">
        <v>199</v>
      </c>
      <c r="T6" s="57" t="s">
        <v>200</v>
      </c>
      <c r="U6" s="57" t="s">
        <v>201</v>
      </c>
      <c r="V6" s="57" t="s">
        <v>177</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f>
        <v>4</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187</v>
      </c>
      <c r="AY6" s="62" t="s">
        <v>187</v>
      </c>
    </row>
    <row r="7" customFormat="false" ht="36" hidden="false" customHeight="true" outlineLevel="0" collapsed="false">
      <c r="A7" s="57" t="s">
        <v>202</v>
      </c>
      <c r="B7" s="57" t="n">
        <v>1</v>
      </c>
      <c r="C7" s="57" t="n">
        <v>3</v>
      </c>
      <c r="D7" s="58" t="n">
        <v>46305</v>
      </c>
      <c r="E7" s="57" t="s">
        <v>203</v>
      </c>
      <c r="F7" s="57" t="s">
        <v>204</v>
      </c>
      <c r="G7" s="57" t="s">
        <v>191</v>
      </c>
      <c r="H7" s="57" t="s">
        <v>177</v>
      </c>
      <c r="I7" s="59" t="n">
        <v>46305.6701388889</v>
      </c>
      <c r="J7" s="59" t="n">
        <v>46305.8090277778</v>
      </c>
      <c r="K7" s="57" t="s">
        <v>178</v>
      </c>
      <c r="L7" s="60" t="s">
        <v>205</v>
      </c>
      <c r="M7" s="57" t="s">
        <v>206</v>
      </c>
      <c r="N7" s="60"/>
      <c r="O7" s="57" t="s">
        <v>207</v>
      </c>
      <c r="P7" s="57" t="s">
        <v>182</v>
      </c>
      <c r="Q7" s="57"/>
      <c r="R7" s="57" t="s">
        <v>198</v>
      </c>
      <c r="S7" s="57" t="s">
        <v>199</v>
      </c>
      <c r="T7" s="57" t="s">
        <v>200</v>
      </c>
      <c r="U7" s="57" t="s">
        <v>201</v>
      </c>
      <c r="V7" s="57" t="s">
        <v>191</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187</v>
      </c>
      <c r="AY7" s="62" t="s">
        <v>187</v>
      </c>
    </row>
    <row r="8" customFormat="false" ht="36" hidden="false" customHeight="true" outlineLevel="0" collapsed="false">
      <c r="A8" s="57" t="s">
        <v>208</v>
      </c>
      <c r="B8" s="57" t="n">
        <v>1</v>
      </c>
      <c r="C8" s="57" t="n">
        <v>4</v>
      </c>
      <c r="D8" s="58" t="n">
        <v>46305</v>
      </c>
      <c r="E8" s="57" t="s">
        <v>203</v>
      </c>
      <c r="F8" s="57" t="s">
        <v>209</v>
      </c>
      <c r="G8" s="57" t="s">
        <v>177</v>
      </c>
      <c r="H8" s="57" t="s">
        <v>210</v>
      </c>
      <c r="I8" s="59" t="n">
        <v>46305.9791666667</v>
      </c>
      <c r="J8" s="59" t="n">
        <v>46306.3194444445</v>
      </c>
      <c r="K8" s="57" t="s">
        <v>192</v>
      </c>
      <c r="L8" s="60" t="s">
        <v>179</v>
      </c>
      <c r="M8" s="57" t="s">
        <v>180</v>
      </c>
      <c r="N8" s="60"/>
      <c r="O8" s="57" t="s">
        <v>211</v>
      </c>
      <c r="P8" s="57" t="s">
        <v>212</v>
      </c>
      <c r="Q8" s="57" t="s">
        <v>213</v>
      </c>
      <c r="R8" s="57" t="s">
        <v>214</v>
      </c>
      <c r="S8" s="57" t="s">
        <v>215</v>
      </c>
      <c r="T8" s="57" t="s">
        <v>216</v>
      </c>
      <c r="U8" s="57" t="s">
        <v>217</v>
      </c>
      <c r="V8" s="57" t="s">
        <v>177</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187</v>
      </c>
      <c r="AY8" s="62" t="s">
        <v>187</v>
      </c>
    </row>
    <row r="9" customFormat="false" ht="36" hidden="false" customHeight="true" outlineLevel="0" collapsed="false">
      <c r="A9" s="57" t="s">
        <v>218</v>
      </c>
      <c r="B9" s="57" t="n">
        <v>1</v>
      </c>
      <c r="C9" s="57" t="n">
        <v>5</v>
      </c>
      <c r="D9" s="58" t="n">
        <v>46310</v>
      </c>
      <c r="E9" s="57" t="s">
        <v>174</v>
      </c>
      <c r="F9" s="57" t="s">
        <v>219</v>
      </c>
      <c r="G9" s="57" t="s">
        <v>210</v>
      </c>
      <c r="H9" s="57" t="s">
        <v>177</v>
      </c>
      <c r="I9" s="59" t="n">
        <v>46310.4201388889</v>
      </c>
      <c r="J9" s="59" t="n">
        <v>46310.6979166667</v>
      </c>
      <c r="K9" s="57" t="s">
        <v>178</v>
      </c>
      <c r="L9" s="60" t="s">
        <v>179</v>
      </c>
      <c r="M9" s="57" t="s">
        <v>180</v>
      </c>
      <c r="N9" s="60"/>
      <c r="O9" s="57" t="s">
        <v>220</v>
      </c>
      <c r="P9" s="57" t="s">
        <v>182</v>
      </c>
      <c r="Q9" s="57"/>
      <c r="R9" s="57" t="s">
        <v>214</v>
      </c>
      <c r="S9" s="57" t="s">
        <v>215</v>
      </c>
      <c r="T9" s="57" t="s">
        <v>216</v>
      </c>
      <c r="U9" s="57" t="s">
        <v>217</v>
      </c>
      <c r="V9" s="57" t="s">
        <v>210</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f>
        <v>5</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row>
    <row r="10" customFormat="false" ht="36" hidden="false" customHeight="true" outlineLevel="0" collapsed="false">
      <c r="A10" s="57" t="s">
        <v>221</v>
      </c>
      <c r="B10" s="57" t="n">
        <v>1</v>
      </c>
      <c r="C10" s="57" t="n">
        <v>6</v>
      </c>
      <c r="D10" s="58" t="n">
        <v>46310</v>
      </c>
      <c r="E10" s="57" t="s">
        <v>174</v>
      </c>
      <c r="F10" s="57" t="s">
        <v>222</v>
      </c>
      <c r="G10" s="57" t="s">
        <v>177</v>
      </c>
      <c r="H10" s="57" t="s">
        <v>176</v>
      </c>
      <c r="I10" s="59" t="n">
        <v>46310.9722222222</v>
      </c>
      <c r="J10" s="59" t="n">
        <v>46311.2465277778</v>
      </c>
      <c r="K10" s="57" t="s">
        <v>192</v>
      </c>
      <c r="L10" s="60" t="s">
        <v>179</v>
      </c>
      <c r="M10" s="57" t="s">
        <v>180</v>
      </c>
      <c r="N10" s="60"/>
      <c r="O10" s="57" t="s">
        <v>223</v>
      </c>
      <c r="P10" s="57" t="s">
        <v>224</v>
      </c>
      <c r="Q10" s="57"/>
      <c r="R10" s="57" t="s">
        <v>183</v>
      </c>
      <c r="S10" s="57" t="s">
        <v>184</v>
      </c>
      <c r="T10" s="57" t="s">
        <v>185</v>
      </c>
      <c r="U10" s="57" t="s">
        <v>186</v>
      </c>
      <c r="V10" s="57" t="s">
        <v>177</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f>
        <v>2</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187</v>
      </c>
      <c r="AY10" s="62" t="s">
        <v>187</v>
      </c>
    </row>
    <row r="11" customFormat="false" ht="36" hidden="false" customHeight="true" outlineLevel="0" collapsed="false">
      <c r="A11" s="57" t="s">
        <v>225</v>
      </c>
      <c r="B11" s="57" t="n">
        <v>2</v>
      </c>
      <c r="C11" s="57" t="n">
        <v>7</v>
      </c>
      <c r="D11" s="58" t="n">
        <v>46304</v>
      </c>
      <c r="E11" s="57" t="s">
        <v>189</v>
      </c>
      <c r="F11" s="57" t="s">
        <v>226</v>
      </c>
      <c r="G11" s="57" t="s">
        <v>176</v>
      </c>
      <c r="H11" s="57" t="s">
        <v>177</v>
      </c>
      <c r="I11" s="59" t="n">
        <v>46304.4583333333</v>
      </c>
      <c r="J11" s="59" t="n">
        <v>46305.28125</v>
      </c>
      <c r="K11" s="57" t="s">
        <v>192</v>
      </c>
      <c r="L11" s="60" t="s">
        <v>179</v>
      </c>
      <c r="M11" s="57" t="s">
        <v>180</v>
      </c>
      <c r="N11" s="60"/>
      <c r="O11" s="57" t="s">
        <v>227</v>
      </c>
      <c r="P11" s="57" t="s">
        <v>182</v>
      </c>
      <c r="Q11" s="57"/>
      <c r="R11" s="57" t="s">
        <v>183</v>
      </c>
      <c r="S11" s="57" t="s">
        <v>184</v>
      </c>
      <c r="T11" s="57" t="s">
        <v>185</v>
      </c>
      <c r="U11" s="57" t="s">
        <v>186</v>
      </c>
      <c r="V11" s="57" t="s">
        <v>176</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f>
        <v>3</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row>
    <row r="12" customFormat="false" ht="36" hidden="false" customHeight="true" outlineLevel="0" collapsed="false">
      <c r="A12" s="57" t="s">
        <v>228</v>
      </c>
      <c r="B12" s="57" t="n">
        <v>2</v>
      </c>
      <c r="C12" s="57" t="n">
        <v>8</v>
      </c>
      <c r="D12" s="58" t="n">
        <v>46305</v>
      </c>
      <c r="E12" s="57" t="s">
        <v>203</v>
      </c>
      <c r="F12" s="57" t="s">
        <v>229</v>
      </c>
      <c r="G12" s="57" t="s">
        <v>177</v>
      </c>
      <c r="H12" s="57" t="s">
        <v>230</v>
      </c>
      <c r="I12" s="59" t="n">
        <v>46305.3993055556</v>
      </c>
      <c r="J12" s="59" t="n">
        <v>46305.5104166667</v>
      </c>
      <c r="K12" s="57" t="s">
        <v>178</v>
      </c>
      <c r="L12" s="60" t="s">
        <v>193</v>
      </c>
      <c r="M12" s="57" t="s">
        <v>194</v>
      </c>
      <c r="N12" s="60"/>
      <c r="O12" s="57" t="s">
        <v>231</v>
      </c>
      <c r="P12" s="57" t="s">
        <v>232</v>
      </c>
      <c r="Q12" s="57" t="s">
        <v>233</v>
      </c>
      <c r="R12" s="57" t="s">
        <v>234</v>
      </c>
      <c r="S12" s="57" t="s">
        <v>199</v>
      </c>
      <c r="T12" s="57" t="s">
        <v>200</v>
      </c>
      <c r="U12" s="57" t="s">
        <v>235</v>
      </c>
      <c r="V12" s="57" t="s">
        <v>177</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187</v>
      </c>
      <c r="AY12" s="62" t="s">
        <v>187</v>
      </c>
    </row>
    <row r="13" customFormat="false" ht="36" hidden="false" customHeight="true" outlineLevel="0" collapsed="false">
      <c r="A13" s="57" t="s">
        <v>236</v>
      </c>
      <c r="B13" s="57" t="n">
        <v>2</v>
      </c>
      <c r="C13" s="57" t="n">
        <v>9</v>
      </c>
      <c r="D13" s="58" t="n">
        <v>46306</v>
      </c>
      <c r="E13" s="57" t="s">
        <v>237</v>
      </c>
      <c r="F13" s="57" t="s">
        <v>238</v>
      </c>
      <c r="G13" s="57" t="s">
        <v>230</v>
      </c>
      <c r="H13" s="57" t="s">
        <v>177</v>
      </c>
      <c r="I13" s="59" t="n">
        <v>46306.5451388889</v>
      </c>
      <c r="J13" s="59" t="n">
        <v>46306.7291666667</v>
      </c>
      <c r="K13" s="57" t="s">
        <v>192</v>
      </c>
      <c r="L13" s="60" t="s">
        <v>193</v>
      </c>
      <c r="M13" s="57" t="s">
        <v>194</v>
      </c>
      <c r="N13" s="60"/>
      <c r="O13" s="57" t="s">
        <v>239</v>
      </c>
      <c r="P13" s="57" t="s">
        <v>182</v>
      </c>
      <c r="Q13" s="57" t="s">
        <v>240</v>
      </c>
      <c r="R13" s="57" t="s">
        <v>234</v>
      </c>
      <c r="S13" s="57" t="s">
        <v>199</v>
      </c>
      <c r="T13" s="57" t="s">
        <v>200</v>
      </c>
      <c r="U13" s="57" t="s">
        <v>235</v>
      </c>
      <c r="V13" s="57" t="s">
        <v>230</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f>
        <v>4</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187</v>
      </c>
      <c r="AY13" s="62" t="s">
        <v>187</v>
      </c>
    </row>
    <row r="14" customFormat="false" ht="36" hidden="false" customHeight="true" outlineLevel="0" collapsed="false">
      <c r="A14" s="57" t="s">
        <v>241</v>
      </c>
      <c r="B14" s="57" t="n">
        <v>2</v>
      </c>
      <c r="C14" s="57" t="n">
        <v>10</v>
      </c>
      <c r="D14" s="58" t="n">
        <v>46307</v>
      </c>
      <c r="E14" s="57" t="s">
        <v>242</v>
      </c>
      <c r="F14" s="57" t="s">
        <v>243</v>
      </c>
      <c r="G14" s="57" t="s">
        <v>177</v>
      </c>
      <c r="H14" s="57" t="s">
        <v>244</v>
      </c>
      <c r="I14" s="59" t="n">
        <v>46307.4895833333</v>
      </c>
      <c r="J14" s="59" t="n">
        <v>46307.53125</v>
      </c>
      <c r="K14" s="57" t="s">
        <v>192</v>
      </c>
      <c r="L14" s="60" t="s">
        <v>193</v>
      </c>
      <c r="M14" s="57" t="s">
        <v>194</v>
      </c>
      <c r="N14" s="60"/>
      <c r="O14" s="57" t="s">
        <v>239</v>
      </c>
      <c r="P14" s="57" t="s">
        <v>182</v>
      </c>
      <c r="Q14" s="57"/>
      <c r="R14" s="57" t="s">
        <v>245</v>
      </c>
      <c r="S14" s="57" t="s">
        <v>246</v>
      </c>
      <c r="T14" s="57" t="s">
        <v>247</v>
      </c>
      <c r="U14" s="57" t="s">
        <v>177</v>
      </c>
      <c r="V14" s="57" t="s">
        <v>177</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187</v>
      </c>
      <c r="AY14" s="62" t="s">
        <v>187</v>
      </c>
    </row>
    <row r="15" customFormat="false" ht="36" hidden="false" customHeight="true" outlineLevel="0" collapsed="false">
      <c r="A15" s="57" t="s">
        <v>248</v>
      </c>
      <c r="B15" s="57" t="n">
        <v>2</v>
      </c>
      <c r="C15" s="57" t="n">
        <v>11</v>
      </c>
      <c r="D15" s="58" t="n">
        <v>46307</v>
      </c>
      <c r="E15" s="57" t="s">
        <v>242</v>
      </c>
      <c r="F15" s="57" t="s">
        <v>249</v>
      </c>
      <c r="G15" s="57" t="s">
        <v>244</v>
      </c>
      <c r="H15" s="57" t="s">
        <v>177</v>
      </c>
      <c r="I15" s="59" t="n">
        <v>46307.6597222222</v>
      </c>
      <c r="J15" s="59" t="n">
        <v>46307.7048611111</v>
      </c>
      <c r="K15" s="57" t="s">
        <v>178</v>
      </c>
      <c r="L15" s="60" t="s">
        <v>193</v>
      </c>
      <c r="M15" s="57" t="s">
        <v>194</v>
      </c>
      <c r="N15" s="60"/>
      <c r="O15" s="57" t="s">
        <v>231</v>
      </c>
      <c r="P15" s="57" t="s">
        <v>250</v>
      </c>
      <c r="Q15" s="57"/>
      <c r="R15" s="57" t="s">
        <v>245</v>
      </c>
      <c r="S15" s="57" t="s">
        <v>246</v>
      </c>
      <c r="T15" s="57" t="s">
        <v>247</v>
      </c>
      <c r="U15" s="57" t="s">
        <v>177</v>
      </c>
      <c r="V15" s="57" t="s">
        <v>177</v>
      </c>
      <c r="W15" s="57" t="s">
        <v>241</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row>
    <row r="16" customFormat="false" ht="36" hidden="false" customHeight="true" outlineLevel="0" collapsed="false">
      <c r="A16" s="57" t="s">
        <v>251</v>
      </c>
      <c r="B16" s="57" t="n">
        <v>2</v>
      </c>
      <c r="C16" s="57" t="n">
        <v>12</v>
      </c>
      <c r="D16" s="58" t="n">
        <v>46307</v>
      </c>
      <c r="E16" s="57" t="s">
        <v>242</v>
      </c>
      <c r="F16" s="57" t="s">
        <v>252</v>
      </c>
      <c r="G16" s="57" t="s">
        <v>177</v>
      </c>
      <c r="H16" s="57" t="s">
        <v>253</v>
      </c>
      <c r="I16" s="59" t="n">
        <v>46307.9340277778</v>
      </c>
      <c r="J16" s="59" t="n">
        <v>46308.3333333333</v>
      </c>
      <c r="K16" s="57" t="s">
        <v>192</v>
      </c>
      <c r="L16" s="60" t="s">
        <v>254</v>
      </c>
      <c r="M16" s="57" t="s">
        <v>255</v>
      </c>
      <c r="N16" s="60"/>
      <c r="O16" s="57" t="s">
        <v>256</v>
      </c>
      <c r="P16" s="57" t="s">
        <v>257</v>
      </c>
      <c r="Q16" s="57" t="s">
        <v>258</v>
      </c>
      <c r="R16" s="57" t="s">
        <v>259</v>
      </c>
      <c r="S16" s="57" t="s">
        <v>260</v>
      </c>
      <c r="T16" s="57" t="s">
        <v>216</v>
      </c>
      <c r="U16" s="57" t="s">
        <v>261</v>
      </c>
      <c r="V16" s="57" t="s">
        <v>177</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187</v>
      </c>
      <c r="AY16" s="62" t="s">
        <v>187</v>
      </c>
    </row>
    <row r="17" customFormat="false" ht="36" hidden="false" customHeight="true" outlineLevel="0" collapsed="false">
      <c r="A17" s="57" t="s">
        <v>262</v>
      </c>
      <c r="B17" s="57" t="n">
        <v>2</v>
      </c>
      <c r="C17" s="57" t="n">
        <v>13</v>
      </c>
      <c r="D17" s="58" t="n">
        <v>46309</v>
      </c>
      <c r="E17" s="57" t="s">
        <v>263</v>
      </c>
      <c r="F17" s="57" t="s">
        <v>264</v>
      </c>
      <c r="G17" s="57" t="s">
        <v>253</v>
      </c>
      <c r="H17" s="57" t="s">
        <v>177</v>
      </c>
      <c r="I17" s="59" t="n">
        <v>46309.4479166667</v>
      </c>
      <c r="J17" s="59" t="n">
        <v>46309.6666666667</v>
      </c>
      <c r="K17" s="57" t="s">
        <v>178</v>
      </c>
      <c r="L17" s="60" t="s">
        <v>254</v>
      </c>
      <c r="M17" s="57" t="s">
        <v>255</v>
      </c>
      <c r="N17" s="60"/>
      <c r="O17" s="57" t="s">
        <v>265</v>
      </c>
      <c r="P17" s="57" t="s">
        <v>182</v>
      </c>
      <c r="Q17" s="57" t="s">
        <v>240</v>
      </c>
      <c r="R17" s="57" t="s">
        <v>259</v>
      </c>
      <c r="S17" s="57" t="s">
        <v>260</v>
      </c>
      <c r="T17" s="57" t="s">
        <v>216</v>
      </c>
      <c r="U17" s="57" t="s">
        <v>261</v>
      </c>
      <c r="V17" s="57" t="s">
        <v>253</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f>
        <v>5</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row>
    <row r="18" customFormat="false" ht="36" hidden="false" customHeight="true" outlineLevel="0" collapsed="false">
      <c r="A18" s="57" t="s">
        <v>266</v>
      </c>
      <c r="B18" s="57" t="n">
        <v>2</v>
      </c>
      <c r="C18" s="57" t="n">
        <v>14</v>
      </c>
      <c r="D18" s="58" t="n">
        <v>46310</v>
      </c>
      <c r="E18" s="57" t="s">
        <v>174</v>
      </c>
      <c r="F18" s="57" t="s">
        <v>267</v>
      </c>
      <c r="G18" s="57" t="s">
        <v>177</v>
      </c>
      <c r="H18" s="57" t="s">
        <v>176</v>
      </c>
      <c r="I18" s="59" t="n">
        <v>46310.4097222222</v>
      </c>
      <c r="J18" s="59" t="n">
        <v>46310.6909722222</v>
      </c>
      <c r="K18" s="57" t="s">
        <v>178</v>
      </c>
      <c r="L18" s="60" t="s">
        <v>179</v>
      </c>
      <c r="M18" s="57" t="s">
        <v>180</v>
      </c>
      <c r="N18" s="60"/>
      <c r="O18" s="57" t="s">
        <v>181</v>
      </c>
      <c r="P18" s="57" t="s">
        <v>182</v>
      </c>
      <c r="Q18" s="57"/>
      <c r="R18" s="57" t="s">
        <v>183</v>
      </c>
      <c r="S18" s="57" t="s">
        <v>184</v>
      </c>
      <c r="T18" s="57" t="s">
        <v>185</v>
      </c>
      <c r="U18" s="57" t="s">
        <v>186</v>
      </c>
      <c r="V18" s="57" t="s">
        <v>177</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f>
        <v>2</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187</v>
      </c>
      <c r="AY18" s="62" t="s">
        <v>187</v>
      </c>
    </row>
    <row r="19" customFormat="false" ht="36" hidden="false" customHeight="true" outlineLevel="0" collapsed="false">
      <c r="A19" s="57" t="s">
        <v>268</v>
      </c>
      <c r="B19" s="57" t="n">
        <v>3</v>
      </c>
      <c r="C19" s="57" t="n">
        <v>15</v>
      </c>
      <c r="D19" s="58" t="n">
        <v>46320</v>
      </c>
      <c r="E19" s="57" t="s">
        <v>237</v>
      </c>
      <c r="F19" s="57" t="s">
        <v>226</v>
      </c>
      <c r="G19" s="57" t="s">
        <v>176</v>
      </c>
      <c r="H19" s="57" t="s">
        <v>177</v>
      </c>
      <c r="I19" s="59" t="n">
        <v>46320.4583333333</v>
      </c>
      <c r="J19" s="59" t="n">
        <v>46321.28125</v>
      </c>
      <c r="K19" s="57" t="s">
        <v>178</v>
      </c>
      <c r="L19" s="60" t="s">
        <v>179</v>
      </c>
      <c r="M19" s="57" t="s">
        <v>180</v>
      </c>
      <c r="N19" s="60"/>
      <c r="O19" s="57" t="s">
        <v>269</v>
      </c>
      <c r="P19" s="57" t="s">
        <v>182</v>
      </c>
      <c r="Q19" s="57"/>
      <c r="R19" s="57" t="s">
        <v>183</v>
      </c>
      <c r="S19" s="57" t="s">
        <v>184</v>
      </c>
      <c r="T19" s="57" t="s">
        <v>185</v>
      </c>
      <c r="U19" s="57" t="s">
        <v>186</v>
      </c>
      <c r="V19" s="57" t="s">
        <v>176</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f>
        <v>2</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187</v>
      </c>
      <c r="AY19" s="62" t="s">
        <v>187</v>
      </c>
    </row>
    <row r="20" customFormat="false" ht="36" hidden="false" customHeight="true" outlineLevel="0" collapsed="false">
      <c r="A20" s="57" t="s">
        <v>270</v>
      </c>
      <c r="B20" s="57" t="n">
        <v>3</v>
      </c>
      <c r="C20" s="57" t="n">
        <v>16</v>
      </c>
      <c r="D20" s="58" t="n">
        <v>46321</v>
      </c>
      <c r="E20" s="57" t="s">
        <v>242</v>
      </c>
      <c r="F20" s="57" t="s">
        <v>271</v>
      </c>
      <c r="G20" s="57" t="s">
        <v>177</v>
      </c>
      <c r="H20" s="57" t="s">
        <v>272</v>
      </c>
      <c r="I20" s="59" t="n">
        <v>46321.3819444445</v>
      </c>
      <c r="J20" s="59" t="n">
        <v>46321.5520833333</v>
      </c>
      <c r="K20" s="57" t="s">
        <v>178</v>
      </c>
      <c r="L20" s="60" t="s">
        <v>193</v>
      </c>
      <c r="M20" s="57" t="s">
        <v>194</v>
      </c>
      <c r="N20" s="60"/>
      <c r="O20" s="57" t="s">
        <v>273</v>
      </c>
      <c r="P20" s="57" t="s">
        <v>274</v>
      </c>
      <c r="Q20" s="57" t="s">
        <v>275</v>
      </c>
      <c r="R20" s="57" t="s">
        <v>276</v>
      </c>
      <c r="S20" s="57" t="s">
        <v>277</v>
      </c>
      <c r="T20" s="57" t="s">
        <v>278</v>
      </c>
      <c r="U20" s="57" t="s">
        <v>279</v>
      </c>
      <c r="V20" s="57" t="s">
        <v>177</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f>
        <v>2</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187</v>
      </c>
      <c r="AY20" s="62" t="s">
        <v>187</v>
      </c>
    </row>
    <row r="21" customFormat="false" ht="36" hidden="false" customHeight="true" outlineLevel="0" collapsed="false">
      <c r="A21" s="57" t="s">
        <v>280</v>
      </c>
      <c r="B21" s="57" t="n">
        <v>3</v>
      </c>
      <c r="C21" s="57" t="n">
        <v>17</v>
      </c>
      <c r="D21" s="58" t="n">
        <v>46322</v>
      </c>
      <c r="E21" s="57" t="s">
        <v>281</v>
      </c>
      <c r="F21" s="57" t="s">
        <v>282</v>
      </c>
      <c r="G21" s="57" t="s">
        <v>272</v>
      </c>
      <c r="H21" s="57" t="s">
        <v>177</v>
      </c>
      <c r="I21" s="59" t="n">
        <v>46322.6180555556</v>
      </c>
      <c r="J21" s="59" t="n">
        <v>46322.7881944445</v>
      </c>
      <c r="K21" s="57" t="s">
        <v>192</v>
      </c>
      <c r="L21" s="60" t="s">
        <v>193</v>
      </c>
      <c r="M21" s="57" t="s">
        <v>194</v>
      </c>
      <c r="N21" s="60"/>
      <c r="O21" s="57" t="s">
        <v>195</v>
      </c>
      <c r="P21" s="57" t="s">
        <v>182</v>
      </c>
      <c r="Q21" s="57"/>
      <c r="R21" s="57" t="s">
        <v>276</v>
      </c>
      <c r="S21" s="57" t="s">
        <v>277</v>
      </c>
      <c r="T21" s="57" t="s">
        <v>278</v>
      </c>
      <c r="U21" s="57" t="s">
        <v>279</v>
      </c>
      <c r="V21" s="57" t="s">
        <v>272</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f>
        <v>7</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row>
    <row r="22" customFormat="false" ht="36" hidden="false" customHeight="true" outlineLevel="0" collapsed="false">
      <c r="A22" s="57" t="s">
        <v>283</v>
      </c>
      <c r="B22" s="57" t="n">
        <v>3</v>
      </c>
      <c r="C22" s="57" t="n">
        <v>18</v>
      </c>
      <c r="D22" s="58" t="n">
        <v>46322</v>
      </c>
      <c r="E22" s="57" t="s">
        <v>281</v>
      </c>
      <c r="F22" s="57" t="s">
        <v>284</v>
      </c>
      <c r="G22" s="57" t="s">
        <v>177</v>
      </c>
      <c r="H22" s="57" t="s">
        <v>285</v>
      </c>
      <c r="I22" s="59" t="n">
        <v>46322.9340277778</v>
      </c>
      <c r="J22" s="59" t="n">
        <v>46323.2465277778</v>
      </c>
      <c r="K22" s="57" t="s">
        <v>192</v>
      </c>
      <c r="L22" s="60" t="s">
        <v>205</v>
      </c>
      <c r="M22" s="57" t="s">
        <v>206</v>
      </c>
      <c r="N22" s="60"/>
      <c r="O22" s="57" t="s">
        <v>286</v>
      </c>
      <c r="P22" s="57" t="s">
        <v>287</v>
      </c>
      <c r="Q22" s="57" t="s">
        <v>288</v>
      </c>
      <c r="R22" s="57" t="s">
        <v>289</v>
      </c>
      <c r="S22" s="57" t="s">
        <v>215</v>
      </c>
      <c r="T22" s="57" t="s">
        <v>216</v>
      </c>
      <c r="U22" s="57" t="s">
        <v>290</v>
      </c>
      <c r="V22" s="57" t="s">
        <v>177</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187</v>
      </c>
      <c r="AY22" s="62" t="s">
        <v>187</v>
      </c>
    </row>
    <row r="23" customFormat="false" ht="36" hidden="false" customHeight="true" outlineLevel="0" collapsed="false">
      <c r="A23" s="57" t="s">
        <v>291</v>
      </c>
      <c r="B23" s="57" t="n">
        <v>3</v>
      </c>
      <c r="C23" s="57" t="n">
        <v>19</v>
      </c>
      <c r="D23" s="58" t="n">
        <v>46324</v>
      </c>
      <c r="E23" s="57" t="s">
        <v>174</v>
      </c>
      <c r="F23" s="57" t="s">
        <v>292</v>
      </c>
      <c r="G23" s="57" t="s">
        <v>285</v>
      </c>
      <c r="H23" s="57" t="s">
        <v>177</v>
      </c>
      <c r="I23" s="59" t="n">
        <v>46324.4027777778</v>
      </c>
      <c r="J23" s="59" t="n">
        <v>46324.6979166667</v>
      </c>
      <c r="K23" s="57" t="s">
        <v>178</v>
      </c>
      <c r="L23" s="60" t="s">
        <v>205</v>
      </c>
      <c r="M23" s="57" t="s">
        <v>206</v>
      </c>
      <c r="N23" s="60"/>
      <c r="O23" s="57" t="s">
        <v>293</v>
      </c>
      <c r="P23" s="57" t="s">
        <v>182</v>
      </c>
      <c r="Q23" s="57"/>
      <c r="R23" s="57" t="s">
        <v>289</v>
      </c>
      <c r="S23" s="57" t="s">
        <v>215</v>
      </c>
      <c r="T23" s="57" t="s">
        <v>216</v>
      </c>
      <c r="U23" s="57" t="s">
        <v>290</v>
      </c>
      <c r="V23" s="57" t="s">
        <v>285</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f>
        <v>2</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187</v>
      </c>
      <c r="AY23" s="62" t="s">
        <v>187</v>
      </c>
    </row>
    <row r="24" customFormat="false" ht="36" hidden="false" customHeight="true" outlineLevel="0" collapsed="false">
      <c r="A24" s="57" t="s">
        <v>294</v>
      </c>
      <c r="B24" s="57" t="n">
        <v>3</v>
      </c>
      <c r="C24" s="57" t="n">
        <v>20</v>
      </c>
      <c r="D24" s="58" t="n">
        <v>46324</v>
      </c>
      <c r="E24" s="57" t="s">
        <v>174</v>
      </c>
      <c r="F24" s="57" t="s">
        <v>295</v>
      </c>
      <c r="G24" s="57" t="s">
        <v>177</v>
      </c>
      <c r="H24" s="57" t="s">
        <v>296</v>
      </c>
      <c r="I24" s="59" t="n">
        <v>46324.7708333333</v>
      </c>
      <c r="J24" s="59" t="n">
        <v>46324.8333333333</v>
      </c>
      <c r="K24" s="57" t="s">
        <v>178</v>
      </c>
      <c r="L24" s="60" t="s">
        <v>193</v>
      </c>
      <c r="M24" s="57" t="s">
        <v>194</v>
      </c>
      <c r="N24" s="60"/>
      <c r="O24" s="57" t="s">
        <v>231</v>
      </c>
      <c r="P24" s="57" t="s">
        <v>297</v>
      </c>
      <c r="Q24" s="57" t="s">
        <v>298</v>
      </c>
      <c r="R24" s="57" t="s">
        <v>299</v>
      </c>
      <c r="S24" s="57" t="s">
        <v>246</v>
      </c>
      <c r="T24" s="57" t="s">
        <v>247</v>
      </c>
      <c r="U24" s="57" t="s">
        <v>177</v>
      </c>
      <c r="V24" s="57" t="s">
        <v>177</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187</v>
      </c>
      <c r="AY24" s="62" t="s">
        <v>187</v>
      </c>
    </row>
    <row r="25" customFormat="false" ht="36" hidden="false" customHeight="true" outlineLevel="0" collapsed="false">
      <c r="A25" s="57" t="s">
        <v>300</v>
      </c>
      <c r="B25" s="57" t="n">
        <v>3</v>
      </c>
      <c r="C25" s="57" t="n">
        <v>21</v>
      </c>
      <c r="D25" s="58" t="n">
        <v>46325</v>
      </c>
      <c r="E25" s="57" t="s">
        <v>189</v>
      </c>
      <c r="F25" s="57" t="s">
        <v>301</v>
      </c>
      <c r="G25" s="57" t="s">
        <v>296</v>
      </c>
      <c r="H25" s="57" t="s">
        <v>177</v>
      </c>
      <c r="I25" s="59" t="n">
        <v>46325.6145833333</v>
      </c>
      <c r="J25" s="59" t="n">
        <v>46325.6701388889</v>
      </c>
      <c r="K25" s="57" t="s">
        <v>192</v>
      </c>
      <c r="L25" s="60" t="s">
        <v>193</v>
      </c>
      <c r="M25" s="57" t="s">
        <v>194</v>
      </c>
      <c r="N25" s="60"/>
      <c r="O25" s="57" t="s">
        <v>195</v>
      </c>
      <c r="P25" s="57" t="s">
        <v>182</v>
      </c>
      <c r="Q25" s="57"/>
      <c r="R25" s="57" t="s">
        <v>299</v>
      </c>
      <c r="S25" s="57" t="s">
        <v>246</v>
      </c>
      <c r="T25" s="57" t="s">
        <v>247</v>
      </c>
      <c r="U25" s="57" t="s">
        <v>177</v>
      </c>
      <c r="V25" s="57" t="s">
        <v>177</v>
      </c>
      <c r="W25" s="57" t="s">
        <v>294</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row>
    <row r="26" customFormat="false" ht="36" hidden="false" customHeight="true" outlineLevel="0" collapsed="false">
      <c r="A26" s="57" t="s">
        <v>302</v>
      </c>
      <c r="B26" s="57" t="n">
        <v>3</v>
      </c>
      <c r="C26" s="57" t="n">
        <v>22</v>
      </c>
      <c r="D26" s="58" t="n">
        <v>46325</v>
      </c>
      <c r="E26" s="57" t="s">
        <v>189</v>
      </c>
      <c r="F26" s="57" t="s">
        <v>222</v>
      </c>
      <c r="G26" s="57" t="s">
        <v>177</v>
      </c>
      <c r="H26" s="57" t="s">
        <v>176</v>
      </c>
      <c r="I26" s="59" t="n">
        <v>46325.9722222222</v>
      </c>
      <c r="J26" s="59" t="n">
        <v>46326.2465277778</v>
      </c>
      <c r="K26" s="57" t="s">
        <v>192</v>
      </c>
      <c r="L26" s="60" t="s">
        <v>179</v>
      </c>
      <c r="M26" s="57" t="s">
        <v>180</v>
      </c>
      <c r="N26" s="60"/>
      <c r="O26" s="57" t="s">
        <v>303</v>
      </c>
      <c r="P26" s="57" t="s">
        <v>304</v>
      </c>
      <c r="Q26" s="57"/>
      <c r="R26" s="57" t="s">
        <v>183</v>
      </c>
      <c r="S26" s="57" t="s">
        <v>184</v>
      </c>
      <c r="T26" s="57" t="s">
        <v>185</v>
      </c>
      <c r="U26" s="57" t="s">
        <v>186</v>
      </c>
      <c r="V26" s="57" t="s">
        <v>177</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f>
        <v>2</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187</v>
      </c>
      <c r="AY26" s="62" t="s">
        <v>187</v>
      </c>
    </row>
  </sheetData>
  <autoFilter ref="A4:AY26"/>
  <mergeCells count="1">
    <mergeCell ref="G2:P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1">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T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46" min="46" style="0" width="8"/>
  </cols>
  <sheetData>
    <row r="1" customFormat="false" ht="24" hidden="false" customHeight="true" outlineLevel="0" collapsed="false">
      <c r="A1" s="54" t="s">
        <v>305</v>
      </c>
    </row>
    <row r="2" customFormat="false" ht="41.25" hidden="false" customHeight="true" outlineLevel="0" collapsed="false">
      <c r="D2" s="55" t="s">
        <v>306</v>
      </c>
      <c r="E2" s="55"/>
      <c r="F2" s="55"/>
      <c r="G2" s="55"/>
      <c r="H2" s="55"/>
      <c r="I2" s="55"/>
      <c r="J2" s="55"/>
    </row>
    <row r="4" customFormat="false" ht="54" hidden="false" customHeight="true" outlineLevel="0" collapsed="false">
      <c r="A4" s="56" t="s">
        <v>307</v>
      </c>
      <c r="B4" s="56" t="s">
        <v>130</v>
      </c>
      <c r="C4" s="56" t="s">
        <v>133</v>
      </c>
      <c r="D4" s="56" t="s">
        <v>101</v>
      </c>
      <c r="E4" s="56" t="s">
        <v>102</v>
      </c>
      <c r="F4" s="56" t="s">
        <v>308</v>
      </c>
      <c r="G4" s="56" t="s">
        <v>66</v>
      </c>
      <c r="H4" s="56" t="s">
        <v>309</v>
      </c>
      <c r="I4" s="56" t="s">
        <v>310</v>
      </c>
      <c r="J4" s="56" t="s">
        <v>116</v>
      </c>
      <c r="K4" s="56" t="s">
        <v>311</v>
      </c>
      <c r="L4" s="56" t="s">
        <v>312</v>
      </c>
      <c r="M4" s="56" t="s">
        <v>313</v>
      </c>
      <c r="N4" s="56" t="s">
        <v>314</v>
      </c>
      <c r="O4" s="56" t="s">
        <v>315</v>
      </c>
      <c r="P4" s="56" t="s">
        <v>316</v>
      </c>
      <c r="Q4" s="56" t="s">
        <v>317</v>
      </c>
      <c r="R4" s="56" t="s">
        <v>318</v>
      </c>
      <c r="S4" s="56" t="s">
        <v>319</v>
      </c>
      <c r="T4" s="56" t="s">
        <v>118</v>
      </c>
      <c r="U4" s="56" t="s">
        <v>122</v>
      </c>
      <c r="V4" s="56" t="s">
        <v>320</v>
      </c>
      <c r="W4" s="56" t="s">
        <v>321</v>
      </c>
      <c r="X4" s="56" t="s">
        <v>322</v>
      </c>
      <c r="Y4" s="56" t="s">
        <v>323</v>
      </c>
      <c r="Z4" s="56" t="s">
        <v>324</v>
      </c>
      <c r="AA4" s="56" t="s">
        <v>127</v>
      </c>
      <c r="AB4" s="56" t="s">
        <v>126</v>
      </c>
      <c r="AC4" s="56" t="s">
        <v>325</v>
      </c>
      <c r="AD4" s="56" t="s">
        <v>326</v>
      </c>
      <c r="AE4" s="56" t="s">
        <v>327</v>
      </c>
      <c r="AF4" s="56" t="s">
        <v>328</v>
      </c>
      <c r="AG4" s="56" t="s">
        <v>329</v>
      </c>
      <c r="AH4" s="56" t="s">
        <v>330</v>
      </c>
      <c r="AI4" s="56" t="s">
        <v>67</v>
      </c>
      <c r="AJ4" s="56" t="s">
        <v>68</v>
      </c>
      <c r="AK4" s="56" t="s">
        <v>71</v>
      </c>
      <c r="AL4" s="56" t="s">
        <v>331</v>
      </c>
      <c r="AM4" s="56" t="s">
        <v>332</v>
      </c>
      <c r="AN4" s="56" t="s">
        <v>333</v>
      </c>
      <c r="AO4" s="56" t="s">
        <v>334</v>
      </c>
      <c r="AP4" s="56" t="s">
        <v>335</v>
      </c>
      <c r="AQ4" s="56" t="s">
        <v>336</v>
      </c>
      <c r="AR4" s="56" t="s">
        <v>337</v>
      </c>
      <c r="AS4" s="56" t="s">
        <v>338</v>
      </c>
      <c r="AT4" s="56" t="s">
        <v>339</v>
      </c>
    </row>
    <row r="5" customFormat="false" ht="39.75" hidden="false" customHeight="true" outlineLevel="0" collapsed="false">
      <c r="A5" s="57" t="s">
        <v>340</v>
      </c>
      <c r="B5" s="57" t="s">
        <v>173</v>
      </c>
      <c r="C5" s="57" t="str">
        <f aca="false">Flights!$F$5</f>
        <v>MH0001</v>
      </c>
      <c r="D5" s="58" t="n">
        <f aca="false">Flights!$D$5</f>
        <v>46303</v>
      </c>
      <c r="E5" s="57" t="str">
        <f aca="false">Flights!$G$5&amp;"-"&amp;Flights!$H$5</f>
        <v>LHR-KUL</v>
      </c>
      <c r="F5" s="57" t="str">
        <f aca="false">Flights!$K$5</f>
        <v>EY</v>
      </c>
      <c r="G5" s="57" t="s">
        <v>74</v>
      </c>
      <c r="H5" s="57" t="s">
        <v>341</v>
      </c>
      <c r="I5" s="57" t="s">
        <v>342</v>
      </c>
      <c r="J5" s="57" t="s">
        <v>343</v>
      </c>
      <c r="K5" s="67" t="s">
        <v>344</v>
      </c>
      <c r="L5" s="67" t="s">
        <v>345</v>
      </c>
      <c r="M5" s="67"/>
      <c r="N5" s="67" t="s">
        <v>346</v>
      </c>
      <c r="O5" s="67"/>
      <c r="P5" s="57" t="s">
        <v>176</v>
      </c>
      <c r="Q5" s="59" t="n">
        <f aca="false">ROUND((Flights!$AC$5)*1440,0)/1440</f>
        <v>46296.8576388889</v>
      </c>
      <c r="R5" s="59" t="n">
        <f aca="false">Q5+(IF(AND(INDEX(TZ_DSTS,MATCH(P5,TZ_STN,0))&lt;&gt;"",Q5&gt;=INDEX(TZ_DSTS,MATCH(P5,TZ_STN,0)),Q5&lt;INDEX(TZ_DSTE,MATCH(P5,TZ_STN,0))),INDEX(TZ_DST,MATCH(P5,TZ_STN,0)),INDEX(TZ_STD,MATCH(P5,TZ_STN,0))))/24</f>
        <v>46296.8993055556</v>
      </c>
      <c r="S5" s="59"/>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IF(N5="N/A – rule","N/A – RULE",IF(TRIM(U5)="N/A",IF(AT5=0,"INVALID – N/A not permitted for this mandatory check",IF(AND(TRIM(AC5)&lt;&gt;"",TRIM(AE5)&lt;&gt;"",TRIM(T5)&lt;&gt;""),"N/A – JUSTIFIED","INVALID – N/A needs justification, PIC and verifier")),IF(OR(TRIM(U5)="Pass",TRIM(U5)="Pass after CA"),IF(NOT(ISNUMBER(AD5)),"INVALID – completion time missing",IF(TRIM(T5)="","INVALID – PIC missing",IF(TRIM(Z5)="","INVALID – evidence missing",IF(TRIM(AE5)="","INVALID – verifier missing",IF(AND(AQ5=1,TRIM(W5)=""),"INVALID – batch ID missing",IF(AND(AR5=1,OR(NOT(ISNUMBER(X5)),NOT(ISNUMBER(Y5)))),"INVALID – expected/actual qty missing",IF(IF(AND(TRIM(U5)="Pass",ISNUMBER(AF5)),IF(AF5&lt;&gt;0,"INVALID – qty variance: use Fail or Pass after CA",""),"")&amp;IF(AND(TRIM(U5)="Pass",AB5="Open"),"INVALID – corrective action still open: use Fail, then Pass after CA","")&amp;IF(AND(TRIM(U5)="Pass after CA",OR(TRIM(AA5)="",AB5&lt;&gt;"Closed")),"INVALID – corrective action not recorded/closed","")&lt;&gt;"",IF(AND(TRIM(U5)="Pass",ISNUMBER(AF5)),IF(AF5&lt;&gt;0,"INVALID – qty variance: use Fail or Pass after CA",""),"")&amp;IF(AND(TRIM(U5)="Pass",AB5="Open"),"INVALID – corrective action still open: use Fail, then Pass after CA","")&amp;IF(AND(TRIM(U5)="Pass after CA",OR(TRIM(AA5)="",AB5&lt;&gt;"Closed")),"INVALID – corrective action not recorded/closed",""),IF(AND(AS5=1,Documents!$J$5&lt;&gt;"ON FILE"),"INVALID – GLD not on file (Documents sheet)",IF(AND(AS5=2,Documents!$O$5&lt;&gt;"ON FILE"),"INVALID – menu checklist not on file (Documents sheet)",IF(AND(AS5=3,NOT(ISNUMBER(Flights!$AX$5))),"INVALID – enter carrying flight KUL departure (Flights AX)",IF(AG5&gt;AsOfUTC,"INVALID – completion time is in the future",IF(AND(ISNUMBER(S5),AG5&lt;S5),IF(H5="Physical uplift","INVALID – before uplift window (cannot confirm loading)","INVALID – before valid window"),IF(AG5&gt;Flights!$AA$5,"INVALID – completed after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f>
        <v>OPEN</v>
      </c>
      <c r="AI5" s="61" t="n">
        <f aca="false">IF(OR(AH5="N/A – RULE",AH5="N/A – JUSTIFIED"),0,1)</f>
        <v>1</v>
      </c>
      <c r="AJ5" s="61" t="n">
        <f aca="false">IF(LEFT(AH5,8)="COMPLETE",1,0)</f>
        <v>0</v>
      </c>
      <c r="AK5" s="61" t="n">
        <f aca="false">IF(AND(AI5=1,AJ5=0,AsOfUTC&gt;Q5),1,0)</f>
        <v>0</v>
      </c>
      <c r="AL5" s="61" t="n">
        <f aca="false">IF(AND(AI5=1,OR(TRIM(U5)="Fail",AB5="Open",AND(ISNUMBER(AF5),AF5&lt;&gt;0,TRIM(U5)&lt;&gt;"Pass after CA"))),1,0)</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row>
    <row r="6" customFormat="false" ht="39.75" hidden="false" customHeight="true" outlineLevel="0" collapsed="false">
      <c r="A6" s="57" t="s">
        <v>347</v>
      </c>
      <c r="B6" s="57" t="s">
        <v>173</v>
      </c>
      <c r="C6" s="57" t="str">
        <f aca="false">Flights!$F$5</f>
        <v>MH0001</v>
      </c>
      <c r="D6" s="58" t="n">
        <f aca="false">Flights!$D$5</f>
        <v>46303</v>
      </c>
      <c r="E6" s="57" t="str">
        <f aca="false">Flights!$G$5&amp;"-"&amp;Flights!$H$5</f>
        <v>LHR-KUL</v>
      </c>
      <c r="F6" s="57" t="str">
        <f aca="false">Flights!$K$5</f>
        <v>EY</v>
      </c>
      <c r="G6" s="57" t="s">
        <v>74</v>
      </c>
      <c r="H6" s="57" t="s">
        <v>341</v>
      </c>
      <c r="I6" s="57" t="s">
        <v>348</v>
      </c>
      <c r="J6" s="57" t="s">
        <v>349</v>
      </c>
      <c r="K6" s="67" t="s">
        <v>350</v>
      </c>
      <c r="L6" s="67" t="s">
        <v>345</v>
      </c>
      <c r="M6" s="67"/>
      <c r="N6" s="67" t="s">
        <v>346</v>
      </c>
      <c r="O6" s="67"/>
      <c r="P6" s="57" t="s">
        <v>176</v>
      </c>
      <c r="Q6" s="59" t="n">
        <f aca="false">ROUND((Flights!$AC$5)*1440,0)/1440</f>
        <v>46296.8576388889</v>
      </c>
      <c r="R6" s="59" t="n">
        <f aca="false">Q6+(IF(AND(INDEX(TZ_DSTS,MATCH(P6,TZ_STN,0))&lt;&gt;"",Q6&gt;=INDEX(TZ_DSTS,MATCH(P6,TZ_STN,0)),Q6&lt;INDEX(TZ_DSTE,MATCH(P6,TZ_STN,0))),INDEX(TZ_DST,MATCH(P6,TZ_STN,0)),INDEX(TZ_STD,MATCH(P6,TZ_STN,0))))/24</f>
        <v>46296.8993055556</v>
      </c>
      <c r="S6" s="59"/>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IF(N6="N/A – rule","N/A – RULE",IF(TRIM(U6)="N/A",IF(AT6=0,"INVALID – N/A not permitted for this mandatory check",IF(AND(TRIM(AC6)&lt;&gt;"",TRIM(AE6)&lt;&gt;"",TRIM(T6)&lt;&gt;""),"N/A – JUSTIFIED","INVALID – N/A needs justification, PIC and verifier")),IF(OR(TRIM(U6)="Pass",TRIM(U6)="Pass after CA"),IF(NOT(ISNUMBER(AD6)),"INVALID – completion time missing",IF(TRIM(T6)="","INVALID – PIC missing",IF(TRIM(Z6)="","INVALID – evidence missing",IF(TRIM(AE6)="","INVALID – verifier missing",IF(AND(AQ6=1,TRIM(W6)=""),"INVALID – batch ID missing",IF(AND(AR6=1,OR(NOT(ISNUMBER(X6)),NOT(ISNUMBER(Y6)))),"INVALID – expected/actual qty missing",IF(IF(AND(TRIM(U6)="Pass",ISNUMBER(AF6)),IF(AF6&lt;&gt;0,"INVALID – qty variance: use Fail or Pass after CA",""),"")&amp;IF(AND(TRIM(U6)="Pass",AB6="Open"),"INVALID – corrective action still open: use Fail, then Pass after CA","")&amp;IF(AND(TRIM(U6)="Pass after CA",OR(TRIM(AA6)="",AB6&lt;&gt;"Closed")),"INVALID – corrective action not recorded/closed","")&lt;&gt;"",IF(AND(TRIM(U6)="Pass",ISNUMBER(AF6)),IF(AF6&lt;&gt;0,"INVALID – qty variance: use Fail or Pass after CA",""),"")&amp;IF(AND(TRIM(U6)="Pass",AB6="Open"),"INVALID – corrective action still open: use Fail, then Pass after CA","")&amp;IF(AND(TRIM(U6)="Pass after CA",OR(TRIM(AA6)="",AB6&lt;&gt;"Closed")),"INVALID – corrective action not recorded/closed",""),IF(AND(AS6=1,Documents!$J$5&lt;&gt;"ON FILE"),"INVALID – GLD not on file (Documents sheet)",IF(AND(AS6=2,Documents!$O$5&lt;&gt;"ON FILE"),"INVALID – menu checklist not on file (Documents sheet)",IF(AND(AS6=3,NOT(ISNUMBER(Flights!$AX$5))),"INVALID – enter carrying flight KUL departure (Flights AX)",IF(AG6&gt;AsOfUTC,"INVALID – completion time is in the future",IF(AND(ISNUMBER(S6),AG6&lt;S6),IF(H6="Physical uplift","INVALID – before uplift window (cannot confirm loading)","INVALID – before valid window"),IF(AG6&gt;Flights!$AA$5,"INVALID – completed after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f>
        <v>OPEN</v>
      </c>
      <c r="AI6" s="61" t="n">
        <f aca="false">IF(OR(AH6="N/A – RULE",AH6="N/A – JUSTIFIED"),0,1)</f>
        <v>1</v>
      </c>
      <c r="AJ6" s="61" t="n">
        <f aca="false">IF(LEFT(AH6,8)="COMPLETE",1,0)</f>
        <v>0</v>
      </c>
      <c r="AK6" s="61" t="n">
        <f aca="false">IF(AND(AI6=1,AJ6=0,AsOfUTC&gt;Q6),1,0)</f>
        <v>0</v>
      </c>
      <c r="AL6" s="61" t="n">
        <f aca="false">IF(AND(AI6=1,OR(TRIM(U6)="Fail",AB6="Open",AND(ISNUMBER(AF6),AF6&lt;&gt;0,TRIM(U6)&lt;&gt;"Pass after CA"))),1,0)</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1</v>
      </c>
    </row>
    <row r="7" customFormat="false" ht="41.25" hidden="false" customHeight="true" outlineLevel="0" collapsed="false">
      <c r="A7" s="57" t="s">
        <v>351</v>
      </c>
      <c r="B7" s="57" t="s">
        <v>173</v>
      </c>
      <c r="C7" s="57" t="str">
        <f aca="false">Flights!$F$5</f>
        <v>MH0001</v>
      </c>
      <c r="D7" s="58" t="n">
        <f aca="false">Flights!$D$5</f>
        <v>46303</v>
      </c>
      <c r="E7" s="57" t="str">
        <f aca="false">Flights!$G$5&amp;"-"&amp;Flights!$H$5</f>
        <v>LHR-KUL</v>
      </c>
      <c r="F7" s="57" t="str">
        <f aca="false">Flights!$K$5</f>
        <v>EY</v>
      </c>
      <c r="G7" s="57" t="s">
        <v>74</v>
      </c>
      <c r="H7" s="57" t="s">
        <v>341</v>
      </c>
      <c r="I7" s="57" t="s">
        <v>352</v>
      </c>
      <c r="J7" s="57" t="s">
        <v>353</v>
      </c>
      <c r="K7" s="67" t="s">
        <v>354</v>
      </c>
      <c r="L7" s="67" t="s">
        <v>345</v>
      </c>
      <c r="M7" s="67"/>
      <c r="N7" s="67" t="str">
        <f aca="false">IF(TRIM(Flights!$L$5)="A339","Required","N/A – rule")</f>
        <v>N/A – rule</v>
      </c>
      <c r="O7" s="67" t="s">
        <v>355</v>
      </c>
      <c r="P7" s="57" t="s">
        <v>176</v>
      </c>
      <c r="Q7" s="59" t="n">
        <f aca="false">ROUND((Flights!$AC$5)*1440,0)/1440</f>
        <v>46296.8576388889</v>
      </c>
      <c r="R7" s="59" t="n">
        <f aca="false">Q7+(IF(AND(INDEX(TZ_DSTS,MATCH(P7,TZ_STN,0))&lt;&gt;"",Q7&gt;=INDEX(TZ_DSTS,MATCH(P7,TZ_STN,0)),Q7&lt;INDEX(TZ_DSTE,MATCH(P7,TZ_STN,0))),INDEX(TZ_DST,MATCH(P7,TZ_STN,0)),INDEX(TZ_STD,MATCH(P7,TZ_STN,0))))/24</f>
        <v>46296.8993055556</v>
      </c>
      <c r="S7" s="59"/>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IF(N7="N/A – rule","N/A – RULE",IF(TRIM(U7)="N/A",IF(AT7=0,"INVALID – N/A not permitted for this mandatory check",IF(AND(TRIM(AC7)&lt;&gt;"",TRIM(AE7)&lt;&gt;"",TRIM(T7)&lt;&gt;""),"N/A – JUSTIFIED","INVALID – N/A needs justification, PIC and verifier")),IF(OR(TRIM(U7)="Pass",TRIM(U7)="Pass after CA"),IF(NOT(ISNUMBER(AD7)),"INVALID – completion time missing",IF(TRIM(T7)="","INVALID – PIC missing",IF(TRIM(Z7)="","INVALID – evidence missing",IF(TRIM(AE7)="","INVALID – verifier missing",IF(AND(AQ7=1,TRIM(W7)=""),"INVALID – batch ID missing",IF(AND(AR7=1,OR(NOT(ISNUMBER(X7)),NOT(ISNUMBER(Y7)))),"INVALID – expected/actual qty missing",IF(IF(AND(TRIM(U7)="Pass",ISNUMBER(AF7)),IF(AF7&lt;&gt;0,"INVALID – qty variance: use Fail or Pass after CA",""),"")&amp;IF(AND(TRIM(U7)="Pass",AB7="Open"),"INVALID – corrective action still open: use Fail, then Pass after CA","")&amp;IF(AND(TRIM(U7)="Pass after CA",OR(TRIM(AA7)="",AB7&lt;&gt;"Closed")),"INVALID – corrective action not recorded/closed","")&lt;&gt;"",IF(AND(TRIM(U7)="Pass",ISNUMBER(AF7)),IF(AF7&lt;&gt;0,"INVALID – qty variance: use Fail or Pass after CA",""),"")&amp;IF(AND(TRIM(U7)="Pass",AB7="Open"),"INVALID – corrective action still open: use Fail, then Pass after CA","")&amp;IF(AND(TRIM(U7)="Pass after CA",OR(TRIM(AA7)="",AB7&lt;&gt;"Closed")),"INVALID – corrective action not recorded/closed",""),IF(AND(AS7=1,Documents!$J$5&lt;&gt;"ON FILE"),"INVALID – GLD not on file (Documents sheet)",IF(AND(AS7=2,Documents!$O$5&lt;&gt;"ON FILE"),"INVALID – menu checklist not on file (Documents sheet)",IF(AND(AS7=3,NOT(ISNUMBER(Flights!$AX$5))),"INVALID – enter carrying flight KUL departure (Flights AX)",IF(AG7&gt;AsOfUTC,"INVALID – completion time is in the future",IF(AND(ISNUMBER(S7),AG7&lt;S7),IF(H7="Physical uplift","INVALID – before uplift window (cannot confirm loading)","INVALID – before valid window"),IF(AG7&gt;Flights!$AA$5,"INVALID – completed after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f>
        <v>N/A – RULE</v>
      </c>
      <c r="AI7" s="61" t="n">
        <f aca="false">IF(OR(AH7="N/A – RULE",AH7="N/A – JUSTIFIED"),0,1)</f>
        <v>0</v>
      </c>
      <c r="AJ7" s="61" t="n">
        <f aca="false">IF(LEFT(AH7,8)="COMPLETE",1,0)</f>
        <v>0</v>
      </c>
      <c r="AK7" s="61" t="n">
        <f aca="false">IF(AND(AI7=1,AJ7=0,AsOfUTC&gt;Q7),1,0)</f>
        <v>0</v>
      </c>
      <c r="AL7" s="61" t="n">
        <f aca="false">IF(AND(AI7=1,OR(TRIM(U7)="Fail",AB7="Open",AND(ISNUMBER(AF7),AF7&lt;&gt;0,TRIM(U7)&lt;&gt;"Pass after CA"))),1,0)</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row>
    <row r="8" customFormat="false" ht="39.75" hidden="false" customHeight="true" outlineLevel="0" collapsed="false">
      <c r="A8" s="57" t="s">
        <v>356</v>
      </c>
      <c r="B8" s="57" t="s">
        <v>173</v>
      </c>
      <c r="C8" s="57" t="str">
        <f aca="false">Flights!$F$5</f>
        <v>MH0001</v>
      </c>
      <c r="D8" s="58" t="n">
        <f aca="false">Flights!$D$5</f>
        <v>46303</v>
      </c>
      <c r="E8" s="57" t="str">
        <f aca="false">Flights!$G$5&amp;"-"&amp;Flights!$H$5</f>
        <v>LHR-KUL</v>
      </c>
      <c r="F8" s="57" t="str">
        <f aca="false">Flights!$K$5</f>
        <v>EY</v>
      </c>
      <c r="G8" s="57" t="s">
        <v>74</v>
      </c>
      <c r="H8" s="57" t="s">
        <v>341</v>
      </c>
      <c r="I8" s="57" t="s">
        <v>357</v>
      </c>
      <c r="J8" s="57" t="s">
        <v>358</v>
      </c>
      <c r="K8" s="67" t="s">
        <v>359</v>
      </c>
      <c r="L8" s="67" t="s">
        <v>345</v>
      </c>
      <c r="M8" s="67"/>
      <c r="N8" s="67" t="s">
        <v>346</v>
      </c>
      <c r="O8" s="67"/>
      <c r="P8" s="57" t="s">
        <v>176</v>
      </c>
      <c r="Q8" s="59" t="n">
        <f aca="false">ROUND((Flights!$AC$5)*1440,0)/1440</f>
        <v>46296.8576388889</v>
      </c>
      <c r="R8" s="59" t="n">
        <f aca="false">Q8+(IF(AND(INDEX(TZ_DSTS,MATCH(P8,TZ_STN,0))&lt;&gt;"",Q8&gt;=INDEX(TZ_DSTS,MATCH(P8,TZ_STN,0)),Q8&lt;INDEX(TZ_DSTE,MATCH(P8,TZ_STN,0))),INDEX(TZ_DST,MATCH(P8,TZ_STN,0)),INDEX(TZ_STD,MATCH(P8,TZ_STN,0))))/24</f>
        <v>46296.8993055556</v>
      </c>
      <c r="S8" s="59"/>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IF(N8="N/A – rule","N/A – RULE",IF(TRIM(U8)="N/A",IF(AT8=0,"INVALID – N/A not permitted for this mandatory check",IF(AND(TRIM(AC8)&lt;&gt;"",TRIM(AE8)&lt;&gt;"",TRIM(T8)&lt;&gt;""),"N/A – JUSTIFIED","INVALID – N/A needs justification, PIC and verifier")),IF(OR(TRIM(U8)="Pass",TRIM(U8)="Pass after CA"),IF(NOT(ISNUMBER(AD8)),"INVALID – completion time missing",IF(TRIM(T8)="","INVALID – PIC missing",IF(TRIM(Z8)="","INVALID – evidence missing",IF(TRIM(AE8)="","INVALID – verifier missing",IF(AND(AQ8=1,TRIM(W8)=""),"INVALID – batch ID missing",IF(AND(AR8=1,OR(NOT(ISNUMBER(X8)),NOT(ISNUMBER(Y8)))),"INVALID – expected/actual qty missing",IF(IF(AND(TRIM(U8)="Pass",ISNUMBER(AF8)),IF(AF8&lt;&gt;0,"INVALID – qty variance: use Fail or Pass after CA",""),"")&amp;IF(AND(TRIM(U8)="Pass",AB8="Open"),"INVALID – corrective action still open: use Fail, then Pass after CA","")&amp;IF(AND(TRIM(U8)="Pass after CA",OR(TRIM(AA8)="",AB8&lt;&gt;"Closed")),"INVALID – corrective action not recorded/closed","")&lt;&gt;"",IF(AND(TRIM(U8)="Pass",ISNUMBER(AF8)),IF(AF8&lt;&gt;0,"INVALID – qty variance: use Fail or Pass after CA",""),"")&amp;IF(AND(TRIM(U8)="Pass",AB8="Open"),"INVALID – corrective action still open: use Fail, then Pass after CA","")&amp;IF(AND(TRIM(U8)="Pass after CA",OR(TRIM(AA8)="",AB8&lt;&gt;"Closed")),"INVALID – corrective action not recorded/closed",""),IF(AND(AS8=1,Documents!$J$5&lt;&gt;"ON FILE"),"INVALID – GLD not on file (Documents sheet)",IF(AND(AS8=2,Documents!$O$5&lt;&gt;"ON FILE"),"INVALID – menu checklist not on file (Documents sheet)",IF(AND(AS8=3,NOT(ISNUMBER(Flights!$AX$5))),"INVALID – enter carrying flight KUL departure (Flights AX)",IF(AG8&gt;AsOfUTC,"INVALID – completion time is in the future",IF(AND(ISNUMBER(S8),AG8&lt;S8),IF(H8="Physical uplift","INVALID – before uplift window (cannot confirm loading)","INVALID – before valid window"),IF(AG8&gt;Flights!$AA$5,"INVALID – completed after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f>
        <v>OPEN</v>
      </c>
      <c r="AI8" s="61" t="n">
        <f aca="false">IF(OR(AH8="N/A – RULE",AH8="N/A – JUSTIFIED"),0,1)</f>
        <v>1</v>
      </c>
      <c r="AJ8" s="61" t="n">
        <f aca="false">IF(LEFT(AH8,8)="COMPLETE",1,0)</f>
        <v>0</v>
      </c>
      <c r="AK8" s="61" t="n">
        <f aca="false">IF(AND(AI8=1,AJ8=0,AsOfUTC&gt;Q8),1,0)</f>
        <v>0</v>
      </c>
      <c r="AL8" s="61" t="n">
        <f aca="false">IF(AND(AI8=1,OR(TRIM(U8)="Fail",AB8="Open",AND(ISNUMBER(AF8),AF8&lt;&gt;0,TRIM(U8)&lt;&gt;"Pass after CA"))),1,0)</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row>
    <row r="9" customFormat="false" ht="39.75" hidden="false" customHeight="true" outlineLevel="0" collapsed="false">
      <c r="A9" s="57" t="s">
        <v>360</v>
      </c>
      <c r="B9" s="57" t="s">
        <v>173</v>
      </c>
      <c r="C9" s="57" t="str">
        <f aca="false">Flights!$F$5</f>
        <v>MH0001</v>
      </c>
      <c r="D9" s="58" t="n">
        <f aca="false">Flights!$D$5</f>
        <v>46303</v>
      </c>
      <c r="E9" s="57" t="str">
        <f aca="false">Flights!$G$5&amp;"-"&amp;Flights!$H$5</f>
        <v>LHR-KUL</v>
      </c>
      <c r="F9" s="57" t="str">
        <f aca="false">Flights!$K$5</f>
        <v>EY</v>
      </c>
      <c r="G9" s="57" t="s">
        <v>74</v>
      </c>
      <c r="H9" s="57" t="s">
        <v>341</v>
      </c>
      <c r="I9" s="57" t="s">
        <v>361</v>
      </c>
      <c r="J9" s="57" t="s">
        <v>362</v>
      </c>
      <c r="K9" s="67" t="s">
        <v>363</v>
      </c>
      <c r="L9" s="67" t="s">
        <v>345</v>
      </c>
      <c r="M9" s="67"/>
      <c r="N9" s="67" t="s">
        <v>346</v>
      </c>
      <c r="O9" s="67"/>
      <c r="P9" s="57" t="s">
        <v>176</v>
      </c>
      <c r="Q9" s="59" t="n">
        <f aca="false">ROUND((Flights!$AC$5)*1440,0)/1440</f>
        <v>46296.8576388889</v>
      </c>
      <c r="R9" s="59" t="n">
        <f aca="false">Q9+(IF(AND(INDEX(TZ_DSTS,MATCH(P9,TZ_STN,0))&lt;&gt;"",Q9&gt;=INDEX(TZ_DSTS,MATCH(P9,TZ_STN,0)),Q9&lt;INDEX(TZ_DSTE,MATCH(P9,TZ_STN,0))),INDEX(TZ_DST,MATCH(P9,TZ_STN,0)),INDEX(TZ_STD,MATCH(P9,TZ_STN,0))))/24</f>
        <v>46296.8993055556</v>
      </c>
      <c r="S9" s="59"/>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IF(N9="N/A – rule","N/A – RULE",IF(TRIM(U9)="N/A",IF(AT9=0,"INVALID – N/A not permitted for this mandatory check",IF(AND(TRIM(AC9)&lt;&gt;"",TRIM(AE9)&lt;&gt;"",TRIM(T9)&lt;&gt;""),"N/A – JUSTIFIED","INVALID – N/A needs justification, PIC and verifier")),IF(OR(TRIM(U9)="Pass",TRIM(U9)="Pass after CA"),IF(NOT(ISNUMBER(AD9)),"INVALID – completion time missing",IF(TRIM(T9)="","INVALID – PIC missing",IF(TRIM(Z9)="","INVALID – evidence missing",IF(TRIM(AE9)="","INVALID – verifier missing",IF(AND(AQ9=1,TRIM(W9)=""),"INVALID – batch ID missing",IF(AND(AR9=1,OR(NOT(ISNUMBER(X9)),NOT(ISNUMBER(Y9)))),"INVALID – expected/actual qty missing",IF(IF(AND(TRIM(U9)="Pass",ISNUMBER(AF9)),IF(AF9&lt;&gt;0,"INVALID – qty variance: use Fail or Pass after CA",""),"")&amp;IF(AND(TRIM(U9)="Pass",AB9="Open"),"INVALID – corrective action still open: use Fail, then Pass after CA","")&amp;IF(AND(TRIM(U9)="Pass after CA",OR(TRIM(AA9)="",AB9&lt;&gt;"Closed")),"INVALID – corrective action not recorded/closed","")&lt;&gt;"",IF(AND(TRIM(U9)="Pass",ISNUMBER(AF9)),IF(AF9&lt;&gt;0,"INVALID – qty variance: use Fail or Pass after CA",""),"")&amp;IF(AND(TRIM(U9)="Pass",AB9="Open"),"INVALID – corrective action still open: use Fail, then Pass after CA","")&amp;IF(AND(TRIM(U9)="Pass after CA",OR(TRIM(AA9)="",AB9&lt;&gt;"Closed")),"INVALID – corrective action not recorded/closed",""),IF(AND(AS9=1,Documents!$J$5&lt;&gt;"ON FILE"),"INVALID – GLD not on file (Documents sheet)",IF(AND(AS9=2,Documents!$O$5&lt;&gt;"ON FILE"),"INVALID – menu checklist not on file (Documents sheet)",IF(AND(AS9=3,NOT(ISNUMBER(Flights!$AX$5))),"INVALID – enter carrying flight KUL departure (Flights AX)",IF(AG9&gt;AsOfUTC,"INVALID – completion time is in the future",IF(AND(ISNUMBER(S9),AG9&lt;S9),IF(H9="Physical uplift","INVALID – before uplift window (cannot confirm loading)","INVALID – before valid window"),IF(AG9&gt;Flights!$AA$5,"INVALID – completed after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f>
        <v>OPEN</v>
      </c>
      <c r="AI9" s="61" t="n">
        <f aca="false">IF(OR(AH9="N/A – RULE",AH9="N/A – JUSTIFIED"),0,1)</f>
        <v>1</v>
      </c>
      <c r="AJ9" s="61" t="n">
        <f aca="false">IF(LEFT(AH9,8)="COMPLETE",1,0)</f>
        <v>0</v>
      </c>
      <c r="AK9" s="61" t="n">
        <f aca="false">IF(AND(AI9=1,AJ9=0,AsOfUTC&gt;Q9),1,0)</f>
        <v>0</v>
      </c>
      <c r="AL9" s="61" t="n">
        <f aca="false">IF(AND(AI9=1,OR(TRIM(U9)="Fail",AB9="Open",AND(ISNUMBER(AF9),AF9&lt;&gt;0,TRIM(U9)&lt;&gt;"Pass after CA"))),1,0)</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row>
    <row r="10" customFormat="false" ht="39.75" hidden="false" customHeight="true" outlineLevel="0" collapsed="false">
      <c r="A10" s="57" t="s">
        <v>364</v>
      </c>
      <c r="B10" s="57" t="s">
        <v>173</v>
      </c>
      <c r="C10" s="57" t="str">
        <f aca="false">Flights!$F$5</f>
        <v>MH0001</v>
      </c>
      <c r="D10" s="58" t="n">
        <f aca="false">Flights!$D$5</f>
        <v>46303</v>
      </c>
      <c r="E10" s="57" t="str">
        <f aca="false">Flights!$G$5&amp;"-"&amp;Flights!$H$5</f>
        <v>LHR-KUL</v>
      </c>
      <c r="F10" s="57" t="str">
        <f aca="false">Flights!$K$5</f>
        <v>EY</v>
      </c>
      <c r="G10" s="57" t="s">
        <v>74</v>
      </c>
      <c r="H10" s="57" t="s">
        <v>341</v>
      </c>
      <c r="I10" s="57" t="s">
        <v>361</v>
      </c>
      <c r="J10" s="57" t="s">
        <v>365</v>
      </c>
      <c r="K10" s="67" t="s">
        <v>366</v>
      </c>
      <c r="L10" s="67" t="s">
        <v>345</v>
      </c>
      <c r="M10" s="67"/>
      <c r="N10" s="67" t="s">
        <v>346</v>
      </c>
      <c r="O10" s="67"/>
      <c r="P10" s="57" t="s">
        <v>176</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IF(N10="N/A – rule","N/A – RULE",IF(TRIM(U10)="N/A",IF(AT10=0,"INVALID – N/A not permitted for this mandatory check",IF(AND(TRIM(AC10)&lt;&gt;"",TRIM(AE10)&lt;&gt;"",TRIM(T10)&lt;&gt;""),"N/A – JUSTIFIED","INVALID – N/A needs justification, PIC and verifier")),IF(OR(TRIM(U10)="Pass",TRIM(U10)="Pass after CA"),IF(NOT(ISNUMBER(AD10)),"INVALID – completion time missing",IF(TRIM(T10)="","INVALID – PIC missing",IF(TRIM(Z10)="","INVALID – evidence missing",IF(TRIM(AE10)="","INVALID – verifier missing",IF(AND(AQ10=1,TRIM(W10)=""),"INVALID – batch ID missing",IF(AND(AR10=1,OR(NOT(ISNUMBER(X10)),NOT(ISNUMBER(Y10)))),"INVALID – expected/actual qty missing",IF(IF(AND(TRIM(U10)="Pass",ISNUMBER(AF10)),IF(AF10&lt;&gt;0,"INVALID – qty variance: use Fail or Pass after CA",""),"")&amp;IF(AND(TRIM(U10)="Pass",AB10="Open"),"INVALID – corrective action still open: use Fail, then Pass after CA","")&amp;IF(AND(TRIM(U10)="Pass after CA",OR(TRIM(AA10)="",AB10&lt;&gt;"Closed")),"INVALID – corrective action not recorded/closed","")&lt;&gt;"",IF(AND(TRIM(U10)="Pass",ISNUMBER(AF10)),IF(AF10&lt;&gt;0,"INVALID – qty variance: use Fail or Pass after CA",""),"")&amp;IF(AND(TRIM(U10)="Pass",AB10="Open"),"INVALID – corrective action still open: use Fail, then Pass after CA","")&amp;IF(AND(TRIM(U10)="Pass after CA",OR(TRIM(AA10)="",AB10&lt;&gt;"Closed")),"INVALID – corrective action not recorded/closed",""),IF(AND(AS10=1,Documents!$J$5&lt;&gt;"ON FILE"),"INVALID – GLD not on file (Documents sheet)",IF(AND(AS10=2,Documents!$O$5&lt;&gt;"ON FILE"),"INVALID – menu checklist not on file (Documents sheet)",IF(AND(AS10=3,NOT(ISNUMBER(Flights!$AX$5))),"INVALID – enter carrying flight KUL departure (Flights AX)",IF(AG10&gt;AsOfUTC,"INVALID – completion time is in the future",IF(AND(ISNUMBER(S10),AG10&lt;S10),IF(H10="Physical uplift","INVALID – before uplift window (cannot confirm loading)","INVALID – before valid window"),IF(AG10&gt;Flights!$AA$5,"INVALID – completed after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f>
        <v>OPEN</v>
      </c>
      <c r="AI10" s="61" t="n">
        <f aca="false">IF(OR(AH10="N/A – RULE",AH10="N/A – JUSTIFIED"),0,1)</f>
        <v>1</v>
      </c>
      <c r="AJ10" s="61" t="n">
        <f aca="false">IF(LEFT(AH10,8)="COMPLETE",1,0)</f>
        <v>0</v>
      </c>
      <c r="AK10" s="61" t="n">
        <f aca="false">IF(AND(AI10=1,AJ10=0,AsOfUTC&gt;Q10),1,0)</f>
        <v>0</v>
      </c>
      <c r="AL10" s="61" t="n">
        <f aca="false">IF(AND(AI10=1,OR(TRIM(U10)="Fail",AB10="Open",AND(ISNUMBER(AF10),AF10&lt;&gt;0,TRIM(U10)&lt;&gt;"Pass after CA"))),1,0)</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row>
    <row r="11" customFormat="false" ht="39.75" hidden="false" customHeight="true" outlineLevel="0" collapsed="false">
      <c r="A11" s="57" t="s">
        <v>367</v>
      </c>
      <c r="B11" s="57" t="s">
        <v>173</v>
      </c>
      <c r="C11" s="57" t="str">
        <f aca="false">Flights!$F$5</f>
        <v>MH0001</v>
      </c>
      <c r="D11" s="58" t="n">
        <f aca="false">Flights!$D$5</f>
        <v>46303</v>
      </c>
      <c r="E11" s="57" t="str">
        <f aca="false">Flights!$G$5&amp;"-"&amp;Flights!$H$5</f>
        <v>LHR-KUL</v>
      </c>
      <c r="F11" s="57" t="str">
        <f aca="false">Flights!$K$5</f>
        <v>EY</v>
      </c>
      <c r="G11" s="57" t="s">
        <v>74</v>
      </c>
      <c r="H11" s="57" t="s">
        <v>341</v>
      </c>
      <c r="I11" s="57" t="s">
        <v>368</v>
      </c>
      <c r="J11" s="57" t="s">
        <v>369</v>
      </c>
      <c r="K11" s="67" t="s">
        <v>370</v>
      </c>
      <c r="L11" s="67" t="s">
        <v>345</v>
      </c>
      <c r="M11" s="67"/>
      <c r="N11" s="67" t="s">
        <v>346</v>
      </c>
      <c r="O11" s="67"/>
      <c r="P11" s="57" t="s">
        <v>176</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IF(N11="N/A – rule","N/A – RULE",IF(TRIM(U11)="N/A",IF(AT11=0,"INVALID – N/A not permitted for this mandatory check",IF(AND(TRIM(AC11)&lt;&gt;"",TRIM(AE11)&lt;&gt;"",TRIM(T11)&lt;&gt;""),"N/A – JUSTIFIED","INVALID – N/A needs justification, PIC and verifier")),IF(OR(TRIM(U11)="Pass",TRIM(U11)="Pass after CA"),IF(NOT(ISNUMBER(AD11)),"INVALID – completion time missing",IF(TRIM(T11)="","INVALID – PIC missing",IF(TRIM(Z11)="","INVALID – evidence missing",IF(TRIM(AE11)="","INVALID – verifier missing",IF(AND(AQ11=1,TRIM(W11)=""),"INVALID – batch ID missing",IF(AND(AR11=1,OR(NOT(ISNUMBER(X11)),NOT(ISNUMBER(Y11)))),"INVALID – expected/actual qty missing",IF(IF(AND(TRIM(U11)="Pass",ISNUMBER(AF11)),IF(AF11&lt;&gt;0,"INVALID – qty variance: use Fail or Pass after CA",""),"")&amp;IF(AND(TRIM(U11)="Pass",AB11="Open"),"INVALID – corrective action still open: use Fail, then Pass after CA","")&amp;IF(AND(TRIM(U11)="Pass after CA",OR(TRIM(AA11)="",AB11&lt;&gt;"Closed")),"INVALID – corrective action not recorded/closed","")&lt;&gt;"",IF(AND(TRIM(U11)="Pass",ISNUMBER(AF11)),IF(AF11&lt;&gt;0,"INVALID – qty variance: use Fail or Pass after CA",""),"")&amp;IF(AND(TRIM(U11)="Pass",AB11="Open"),"INVALID – corrective action still open: use Fail, then Pass after CA","")&amp;IF(AND(TRIM(U11)="Pass after CA",OR(TRIM(AA11)="",AB11&lt;&gt;"Closed")),"INVALID – corrective action not recorded/closed",""),IF(AND(AS11=1,Documents!$J$5&lt;&gt;"ON FILE"),"INVALID – GLD not on file (Documents sheet)",IF(AND(AS11=2,Documents!$O$5&lt;&gt;"ON FILE"),"INVALID – menu checklist not on file (Documents sheet)",IF(AND(AS11=3,NOT(ISNUMBER(Flights!$AX$5))),"INVALID – enter carrying flight KUL departure (Flights AX)",IF(AG11&gt;AsOfUTC,"INVALID – completion time is in the future",IF(AND(ISNUMBER(S11),AG11&lt;S11),IF(H11="Physical uplift","INVALID – before uplift window (cannot confirm loading)","INVALID – before valid window"),IF(AG11&gt;Flights!$AA$5,"INVALID – completed after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f>
        <v>OPEN</v>
      </c>
      <c r="AI11" s="61" t="n">
        <f aca="false">IF(OR(AH11="N/A – RULE",AH11="N/A – JUSTIFIED"),0,1)</f>
        <v>1</v>
      </c>
      <c r="AJ11" s="61" t="n">
        <f aca="false">IF(LEFT(AH11,8)="COMPLETE",1,0)</f>
        <v>0</v>
      </c>
      <c r="AK11" s="61" t="n">
        <f aca="false">IF(AND(AI11=1,AJ11=0,AsOfUTC&gt;Q11),1,0)</f>
        <v>0</v>
      </c>
      <c r="AL11" s="61" t="n">
        <f aca="false">IF(AND(AI11=1,OR(TRIM(U11)="Fail",AB11="Open",AND(ISNUMBER(AF11),AF11&lt;&gt;0,TRIM(U11)&lt;&gt;"Pass after CA"))),1,0)</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row>
    <row r="12" customFormat="false" ht="39.75" hidden="false" customHeight="true" outlineLevel="0" collapsed="false">
      <c r="A12" s="57" t="s">
        <v>371</v>
      </c>
      <c r="B12" s="57" t="s">
        <v>173</v>
      </c>
      <c r="C12" s="57" t="str">
        <f aca="false">Flights!$F$5</f>
        <v>MH0001</v>
      </c>
      <c r="D12" s="58" t="n">
        <f aca="false">Flights!$D$5</f>
        <v>46303</v>
      </c>
      <c r="E12" s="57" t="str">
        <f aca="false">Flights!$G$5&amp;"-"&amp;Flights!$H$5</f>
        <v>LHR-KUL</v>
      </c>
      <c r="F12" s="57" t="str">
        <f aca="false">Flights!$K$5</f>
        <v>EY</v>
      </c>
      <c r="G12" s="57" t="s">
        <v>74</v>
      </c>
      <c r="H12" s="57" t="s">
        <v>341</v>
      </c>
      <c r="I12" s="57" t="s">
        <v>368</v>
      </c>
      <c r="J12" s="57" t="s">
        <v>372</v>
      </c>
      <c r="K12" s="67" t="s">
        <v>370</v>
      </c>
      <c r="L12" s="67" t="s">
        <v>345</v>
      </c>
      <c r="M12" s="67"/>
      <c r="N12" s="67" t="s">
        <v>346</v>
      </c>
      <c r="O12" s="67"/>
      <c r="P12" s="57" t="s">
        <v>176</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IF(N12="N/A – rule","N/A – RULE",IF(TRIM(U12)="N/A",IF(AT12=0,"INVALID – N/A not permitted for this mandatory check",IF(AND(TRIM(AC12)&lt;&gt;"",TRIM(AE12)&lt;&gt;"",TRIM(T12)&lt;&gt;""),"N/A – JUSTIFIED","INVALID – N/A needs justification, PIC and verifier")),IF(OR(TRIM(U12)="Pass",TRIM(U12)="Pass after CA"),IF(NOT(ISNUMBER(AD12)),"INVALID – completion time missing",IF(TRIM(T12)="","INVALID – PIC missing",IF(TRIM(Z12)="","INVALID – evidence missing",IF(TRIM(AE12)="","INVALID – verifier missing",IF(AND(AQ12=1,TRIM(W12)=""),"INVALID – batch ID missing",IF(AND(AR12=1,OR(NOT(ISNUMBER(X12)),NOT(ISNUMBER(Y12)))),"INVALID – expected/actual qty missing",IF(IF(AND(TRIM(U12)="Pass",ISNUMBER(AF12)),IF(AF12&lt;&gt;0,"INVALID – qty variance: use Fail or Pass after CA",""),"")&amp;IF(AND(TRIM(U12)="Pass",AB12="Open"),"INVALID – corrective action still open: use Fail, then Pass after CA","")&amp;IF(AND(TRIM(U12)="Pass after CA",OR(TRIM(AA12)="",AB12&lt;&gt;"Closed")),"INVALID – corrective action not recorded/closed","")&lt;&gt;"",IF(AND(TRIM(U12)="Pass",ISNUMBER(AF12)),IF(AF12&lt;&gt;0,"INVALID – qty variance: use Fail or Pass after CA",""),"")&amp;IF(AND(TRIM(U12)="Pass",AB12="Open"),"INVALID – corrective action still open: use Fail, then Pass after CA","")&amp;IF(AND(TRIM(U12)="Pass after CA",OR(TRIM(AA12)="",AB12&lt;&gt;"Closed")),"INVALID – corrective action not recorded/closed",""),IF(AND(AS12=1,Documents!$J$5&lt;&gt;"ON FILE"),"INVALID – GLD not on file (Documents sheet)",IF(AND(AS12=2,Documents!$O$5&lt;&gt;"ON FILE"),"INVALID – menu checklist not on file (Documents sheet)",IF(AND(AS12=3,NOT(ISNUMBER(Flights!$AX$5))),"INVALID – enter carrying flight KUL departure (Flights AX)",IF(AG12&gt;AsOfUTC,"INVALID – completion time is in the future",IF(AND(ISNUMBER(S12),AG12&lt;S12),IF(H12="Physical uplift","INVALID – before uplift window (cannot confirm loading)","INVALID – before valid window"),IF(AG12&gt;Flights!$AA$5,"INVALID – completed after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f>
        <v>OPEN</v>
      </c>
      <c r="AI12" s="61" t="n">
        <f aca="false">IF(OR(AH12="N/A – RULE",AH12="N/A – JUSTIFIED"),0,1)</f>
        <v>1</v>
      </c>
      <c r="AJ12" s="61" t="n">
        <f aca="false">IF(LEFT(AH12,8)="COMPLETE",1,0)</f>
        <v>0</v>
      </c>
      <c r="AK12" s="61" t="n">
        <f aca="false">IF(AND(AI12=1,AJ12=0,AsOfUTC&gt;Q12),1,0)</f>
        <v>0</v>
      </c>
      <c r="AL12" s="61" t="n">
        <f aca="false">IF(AND(AI12=1,OR(TRIM(U12)="Fail",AB12="Open",AND(ISNUMBER(AF12),AF12&lt;&gt;0,TRIM(U12)&lt;&gt;"Pass after CA"))),1,0)</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row>
    <row r="13" customFormat="false" ht="39.75" hidden="false" customHeight="true" outlineLevel="0" collapsed="false">
      <c r="A13" s="57" t="s">
        <v>373</v>
      </c>
      <c r="B13" s="57" t="s">
        <v>173</v>
      </c>
      <c r="C13" s="57" t="str">
        <f aca="false">Flights!$F$5</f>
        <v>MH0001</v>
      </c>
      <c r="D13" s="58" t="n">
        <f aca="false">Flights!$D$5</f>
        <v>46303</v>
      </c>
      <c r="E13" s="57" t="str">
        <f aca="false">Flights!$G$5&amp;"-"&amp;Flights!$H$5</f>
        <v>LHR-KUL</v>
      </c>
      <c r="F13" s="57" t="str">
        <f aca="false">Flights!$K$5</f>
        <v>EY</v>
      </c>
      <c r="G13" s="57" t="s">
        <v>74</v>
      </c>
      <c r="H13" s="57" t="s">
        <v>341</v>
      </c>
      <c r="I13" s="57" t="s">
        <v>374</v>
      </c>
      <c r="J13" s="57" t="s">
        <v>375</v>
      </c>
      <c r="K13" s="67" t="s">
        <v>376</v>
      </c>
      <c r="L13" s="67" t="s">
        <v>377</v>
      </c>
      <c r="M13" s="67"/>
      <c r="N13" s="67" t="s">
        <v>346</v>
      </c>
      <c r="O13" s="67"/>
      <c r="P13" s="57" t="s">
        <v>176</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IF(N13="N/A – rule","N/A – RULE",IF(TRIM(U13)="N/A",IF(AT13=0,"INVALID – N/A not permitted for this mandatory check",IF(AND(TRIM(AC13)&lt;&gt;"",TRIM(AE13)&lt;&gt;"",TRIM(T13)&lt;&gt;""),"N/A – JUSTIFIED","INVALID – N/A needs justification, PIC and verifier")),IF(OR(TRIM(U13)="Pass",TRIM(U13)="Pass after CA"),IF(NOT(ISNUMBER(AD13)),"INVALID – completion time missing",IF(TRIM(T13)="","INVALID – PIC missing",IF(TRIM(Z13)="","INVALID – evidence missing",IF(TRIM(AE13)="","INVALID – verifier missing",IF(AND(AQ13=1,TRIM(W13)=""),"INVALID – batch ID missing",IF(AND(AR13=1,OR(NOT(ISNUMBER(X13)),NOT(ISNUMBER(Y13)))),"INVALID – expected/actual qty missing",IF(IF(AND(TRIM(U13)="Pass",ISNUMBER(AF13)),IF(AF13&lt;&gt;0,"INVALID – qty variance: use Fail or Pass after CA",""),"")&amp;IF(AND(TRIM(U13)="Pass",AB13="Open"),"INVALID – corrective action still open: use Fail, then Pass after CA","")&amp;IF(AND(TRIM(U13)="Pass after CA",OR(TRIM(AA13)="",AB13&lt;&gt;"Closed")),"INVALID – corrective action not recorded/closed","")&lt;&gt;"",IF(AND(TRIM(U13)="Pass",ISNUMBER(AF13)),IF(AF13&lt;&gt;0,"INVALID – qty variance: use Fail or Pass after CA",""),"")&amp;IF(AND(TRIM(U13)="Pass",AB13="Open"),"INVALID – corrective action still open: use Fail, then Pass after CA","")&amp;IF(AND(TRIM(U13)="Pass after CA",OR(TRIM(AA13)="",AB13&lt;&gt;"Closed")),"INVALID – corrective action not recorded/closed",""),IF(AND(AS13=1,Documents!$J$5&lt;&gt;"ON FILE"),"INVALID – GLD not on file (Documents sheet)",IF(AND(AS13=2,Documents!$O$5&lt;&gt;"ON FILE"),"INVALID – menu checklist not on file (Documents sheet)",IF(AND(AS13=3,NOT(ISNUMBER(Flights!$AX$5))),"INVALID – enter carrying flight KUL departure (Flights AX)",IF(AG13&gt;AsOfUTC,"INVALID – completion time is in the future",IF(AND(ISNUMBER(S13),AG13&lt;S13),IF(H13="Physical uplift","INVALID – before uplift window (cannot confirm loading)","INVALID – before valid window"),IF(AG13&gt;Flights!$AA$5,"INVALID – completed after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f>
        <v>OPEN</v>
      </c>
      <c r="AI13" s="61" t="n">
        <f aca="false">IF(OR(AH13="N/A – RULE",AH13="N/A – JUSTIFIED"),0,1)</f>
        <v>1</v>
      </c>
      <c r="AJ13" s="61" t="n">
        <f aca="false">IF(LEFT(AH13,8)="COMPLETE",1,0)</f>
        <v>0</v>
      </c>
      <c r="AK13" s="61" t="n">
        <f aca="false">IF(AND(AI13=1,AJ13=0,AsOfUTC&gt;Q13),1,0)</f>
        <v>0</v>
      </c>
      <c r="AL13" s="61" t="n">
        <f aca="false">IF(AND(AI13=1,OR(TRIM(U13)="Fail",AB13="Open",AND(ISNUMBER(AF13),AF13&lt;&gt;0,TRIM(U13)&lt;&gt;"Pass after CA"))),1,0)</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row>
    <row r="14" customFormat="false" ht="39.75" hidden="false" customHeight="true" outlineLevel="0" collapsed="false">
      <c r="A14" s="57" t="s">
        <v>378</v>
      </c>
      <c r="B14" s="57" t="s">
        <v>173</v>
      </c>
      <c r="C14" s="57" t="str">
        <f aca="false">Flights!$F$5</f>
        <v>MH0001</v>
      </c>
      <c r="D14" s="58" t="n">
        <f aca="false">Flights!$D$5</f>
        <v>46303</v>
      </c>
      <c r="E14" s="57" t="str">
        <f aca="false">Flights!$G$5&amp;"-"&amp;Flights!$H$5</f>
        <v>LHR-KUL</v>
      </c>
      <c r="F14" s="57" t="str">
        <f aca="false">Flights!$K$5</f>
        <v>EY</v>
      </c>
      <c r="G14" s="57" t="s">
        <v>76</v>
      </c>
      <c r="H14" s="57" t="s">
        <v>341</v>
      </c>
      <c r="I14" s="57" t="s">
        <v>342</v>
      </c>
      <c r="J14" s="57" t="s">
        <v>379</v>
      </c>
      <c r="K14" s="67" t="s">
        <v>380</v>
      </c>
      <c r="L14" s="67" t="s">
        <v>381</v>
      </c>
      <c r="M14" s="67"/>
      <c r="N14" s="67" t="s">
        <v>346</v>
      </c>
      <c r="O14" s="67"/>
      <c r="P14" s="57" t="s">
        <v>176</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IF(N14="N/A – rule","N/A – RULE",IF(TRIM(U14)="N/A",IF(AT14=0,"INVALID – N/A not permitted for this mandatory check",IF(AND(TRIM(AC14)&lt;&gt;"",TRIM(AE14)&lt;&gt;"",TRIM(T14)&lt;&gt;""),"N/A – JUSTIFIED","INVALID – N/A needs justification, PIC and verifier")),IF(OR(TRIM(U14)="Pass",TRIM(U14)="Pass after CA"),IF(NOT(ISNUMBER(AD14)),"INVALID – completion time missing",IF(TRIM(T14)="","INVALID – PIC missing",IF(TRIM(Z14)="","INVALID – evidence missing",IF(TRIM(AE14)="","INVALID – verifier missing",IF(AND(AQ14=1,TRIM(W14)=""),"INVALID – batch ID missing",IF(AND(AR14=1,OR(NOT(ISNUMBER(X14)),NOT(ISNUMBER(Y14)))),"INVALID – expected/actual qty missing",IF(IF(AND(TRIM(U14)="Pass",ISNUMBER(AF14)),IF(AF14&lt;&gt;0,"INVALID – qty variance: use Fail or Pass after CA",""),"")&amp;IF(AND(TRIM(U14)="Pass",AB14="Open"),"INVALID – corrective action still open: use Fail, then Pass after CA","")&amp;IF(AND(TRIM(U14)="Pass after CA",OR(TRIM(AA14)="",AB14&lt;&gt;"Closed")),"INVALID – corrective action not recorded/closed","")&lt;&gt;"",IF(AND(TRIM(U14)="Pass",ISNUMBER(AF14)),IF(AF14&lt;&gt;0,"INVALID – qty variance: use Fail or Pass after CA",""),"")&amp;IF(AND(TRIM(U14)="Pass",AB14="Open"),"INVALID – corrective action still open: use Fail, then Pass after CA","")&amp;IF(AND(TRIM(U14)="Pass after CA",OR(TRIM(AA14)="",AB14&lt;&gt;"Closed")),"INVALID – corrective action not recorded/closed",""),IF(AND(AS14=1,Documents!$J$5&lt;&gt;"ON FILE"),"INVALID – GLD not on file (Documents sheet)",IF(AND(AS14=2,Documents!$O$5&lt;&gt;"ON FILE"),"INVALID – menu checklist not on file (Documents sheet)",IF(AND(AS14=3,NOT(ISNUMBER(Flights!$AX$5))),"INVALID – enter carrying flight KUL departure (Flights AX)",IF(AG14&gt;AsOfUTC,"INVALID – completion time is in the future",IF(AND(ISNUMBER(S14),AG14&lt;S14),IF(H14="Physical uplift","INVALID – before uplift window (cannot confirm loading)","INVALID – before valid window"),IF(AG14&gt;Flights!$AA$5,"INVALID – completed after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f>
        <v>OPEN</v>
      </c>
      <c r="AI14" s="61" t="n">
        <f aca="false">IF(OR(AH14="N/A – RULE",AH14="N/A – JUSTIFIED"),0,1)</f>
        <v>1</v>
      </c>
      <c r="AJ14" s="61" t="n">
        <f aca="false">IF(LEFT(AH14,8)="COMPLETE",1,0)</f>
        <v>0</v>
      </c>
      <c r="AK14" s="61" t="n">
        <f aca="false">IF(AND(AI14=1,AJ14=0,AsOfUTC&gt;Q14),1,0)</f>
        <v>0</v>
      </c>
      <c r="AL14" s="61" t="n">
        <f aca="false">IF(AND(AI14=1,OR(TRIM(U14)="Fail",AB14="Open",AND(ISNUMBER(AF14),AF14&lt;&gt;0,TRIM(U14)&lt;&gt;"Pass after CA"))),1,0)</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row>
    <row r="15" customFormat="false" ht="39.75" hidden="false" customHeight="true" outlineLevel="0" collapsed="false">
      <c r="A15" s="57" t="s">
        <v>382</v>
      </c>
      <c r="B15" s="57" t="s">
        <v>173</v>
      </c>
      <c r="C15" s="57" t="str">
        <f aca="false">Flights!$F$5</f>
        <v>MH0001</v>
      </c>
      <c r="D15" s="58" t="n">
        <f aca="false">Flights!$D$5</f>
        <v>46303</v>
      </c>
      <c r="E15" s="57" t="str">
        <f aca="false">Flights!$G$5&amp;"-"&amp;Flights!$H$5</f>
        <v>LHR-KUL</v>
      </c>
      <c r="F15" s="57" t="str">
        <f aca="false">Flights!$K$5</f>
        <v>EY</v>
      </c>
      <c r="G15" s="57" t="s">
        <v>383</v>
      </c>
      <c r="H15" s="57" t="s">
        <v>341</v>
      </c>
      <c r="I15" s="57" t="s">
        <v>342</v>
      </c>
      <c r="J15" s="57" t="s">
        <v>384</v>
      </c>
      <c r="K15" s="67"/>
      <c r="L15" s="67" t="s">
        <v>385</v>
      </c>
      <c r="M15" s="67"/>
      <c r="N15" s="67" t="s">
        <v>346</v>
      </c>
      <c r="O15" s="67" t="s">
        <v>386</v>
      </c>
      <c r="P15" s="57" t="s">
        <v>176</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IF(N15="N/A – rule","N/A – RULE",IF(TRIM(U15)="N/A",IF(AT15=0,"INVALID – N/A not permitted for this mandatory check",IF(AND(TRIM(AC15)&lt;&gt;"",TRIM(AE15)&lt;&gt;"",TRIM(T15)&lt;&gt;""),"N/A – JUSTIFIED","INVALID – N/A needs justification, PIC and verifier")),IF(OR(TRIM(U15)="Pass",TRIM(U15)="Pass after CA"),IF(NOT(ISNUMBER(AD15)),"INVALID – completion time missing",IF(TRIM(T15)="","INVALID – PIC missing",IF(TRIM(Z15)="","INVALID – evidence missing",IF(TRIM(AE15)="","INVALID – verifier missing",IF(AND(AQ15=1,TRIM(W15)=""),"INVALID – batch ID missing",IF(AND(AR15=1,OR(NOT(ISNUMBER(X15)),NOT(ISNUMBER(Y15)))),"INVALID – expected/actual qty missing",IF(IF(AND(TRIM(U15)="Pass",ISNUMBER(AF15)),IF(AF15&lt;&gt;0,"INVALID – qty variance: use Fail or Pass after CA",""),"")&amp;IF(AND(TRIM(U15)="Pass",AB15="Open"),"INVALID – corrective action still open: use Fail, then Pass after CA","")&amp;IF(AND(TRIM(U15)="Pass after CA",OR(TRIM(AA15)="",AB15&lt;&gt;"Closed")),"INVALID – corrective action not recorded/closed","")&lt;&gt;"",IF(AND(TRIM(U15)="Pass",ISNUMBER(AF15)),IF(AF15&lt;&gt;0,"INVALID – qty variance: use Fail or Pass after CA",""),"")&amp;IF(AND(TRIM(U15)="Pass",AB15="Open"),"INVALID – corrective action still open: use Fail, then Pass after CA","")&amp;IF(AND(TRIM(U15)="Pass after CA",OR(TRIM(AA15)="",AB15&lt;&gt;"Closed")),"INVALID – corrective action not recorded/closed",""),IF(AND(AS15=1,Documents!$J$5&lt;&gt;"ON FILE"),"INVALID – GLD not on file (Documents sheet)",IF(AND(AS15=2,Documents!$O$5&lt;&gt;"ON FILE"),"INVALID – menu checklist not on file (Documents sheet)",IF(AND(AS15=3,NOT(ISNUMBER(Flights!$AX$5))),"INVALID – enter carrying flight KUL departure (Flights AX)",IF(AG15&gt;AsOfUTC,"INVALID – completion time is in the future",IF(AND(ISNUMBER(S15),AG15&lt;S15),IF(H15="Physical uplift","INVALID – before uplift window (cannot confirm loading)","INVALID – before valid window"),IF(AG15&gt;Flights!$AA$5,"INVALID – completed after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f>
        <v>OPEN</v>
      </c>
      <c r="AI15" s="61" t="n">
        <f aca="false">IF(OR(AH15="N/A – RULE",AH15="N/A – JUSTIFIED"),0,1)</f>
        <v>1</v>
      </c>
      <c r="AJ15" s="61" t="n">
        <f aca="false">IF(LEFT(AH15,8)="COMPLETE",1,0)</f>
        <v>0</v>
      </c>
      <c r="AK15" s="61" t="n">
        <f aca="false">IF(AND(AI15=1,AJ15=0,AsOfUTC&gt;Q15),1,0)</f>
        <v>0</v>
      </c>
      <c r="AL15" s="61" t="n">
        <f aca="false">IF(AND(AI15=1,OR(TRIM(U15)="Fail",AB15="Open",AND(ISNUMBER(AF15),AF15&lt;&gt;0,TRIM(U15)&lt;&gt;"Pass after CA"))),1,0)</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row>
    <row r="16" customFormat="false" ht="39.75" hidden="false" customHeight="true" outlineLevel="0" collapsed="false">
      <c r="A16" s="57" t="s">
        <v>387</v>
      </c>
      <c r="B16" s="57" t="s">
        <v>173</v>
      </c>
      <c r="C16" s="57" t="str">
        <f aca="false">Flights!$F$5</f>
        <v>MH0001</v>
      </c>
      <c r="D16" s="58" t="n">
        <f aca="false">Flights!$D$5</f>
        <v>46303</v>
      </c>
      <c r="E16" s="57" t="str">
        <f aca="false">Flights!$G$5&amp;"-"&amp;Flights!$H$5</f>
        <v>LHR-KUL</v>
      </c>
      <c r="F16" s="57" t="str">
        <f aca="false">Flights!$K$5</f>
        <v>EY</v>
      </c>
      <c r="G16" s="57" t="s">
        <v>383</v>
      </c>
      <c r="H16" s="57" t="s">
        <v>341</v>
      </c>
      <c r="I16" s="57" t="s">
        <v>342</v>
      </c>
      <c r="J16" s="57" t="s">
        <v>388</v>
      </c>
      <c r="K16" s="67" t="s">
        <v>389</v>
      </c>
      <c r="L16" s="67" t="s">
        <v>385</v>
      </c>
      <c r="M16" s="67"/>
      <c r="N16" s="67" t="s">
        <v>346</v>
      </c>
      <c r="O16" s="67" t="s">
        <v>386</v>
      </c>
      <c r="P16" s="57" t="s">
        <v>176</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IF(N16="N/A – rule","N/A – RULE",IF(TRIM(U16)="N/A",IF(AT16=0,"INVALID – N/A not permitted for this mandatory check",IF(AND(TRIM(AC16)&lt;&gt;"",TRIM(AE16)&lt;&gt;"",TRIM(T16)&lt;&gt;""),"N/A – JUSTIFIED","INVALID – N/A needs justification, PIC and verifier")),IF(OR(TRIM(U16)="Pass",TRIM(U16)="Pass after CA"),IF(NOT(ISNUMBER(AD16)),"INVALID – completion time missing",IF(TRIM(T16)="","INVALID – PIC missing",IF(TRIM(Z16)="","INVALID – evidence missing",IF(TRIM(AE16)="","INVALID – verifier missing",IF(AND(AQ16=1,TRIM(W16)=""),"INVALID – batch ID missing",IF(AND(AR16=1,OR(NOT(ISNUMBER(X16)),NOT(ISNUMBER(Y16)))),"INVALID – expected/actual qty missing",IF(IF(AND(TRIM(U16)="Pass",ISNUMBER(AF16)),IF(AF16&lt;&gt;0,"INVALID – qty variance: use Fail or Pass after CA",""),"")&amp;IF(AND(TRIM(U16)="Pass",AB16="Open"),"INVALID – corrective action still open: use Fail, then Pass after CA","")&amp;IF(AND(TRIM(U16)="Pass after CA",OR(TRIM(AA16)="",AB16&lt;&gt;"Closed")),"INVALID – corrective action not recorded/closed","")&lt;&gt;"",IF(AND(TRIM(U16)="Pass",ISNUMBER(AF16)),IF(AF16&lt;&gt;0,"INVALID – qty variance: use Fail or Pass after CA",""),"")&amp;IF(AND(TRIM(U16)="Pass",AB16="Open"),"INVALID – corrective action still open: use Fail, then Pass after CA","")&amp;IF(AND(TRIM(U16)="Pass after CA",OR(TRIM(AA16)="",AB16&lt;&gt;"Closed")),"INVALID – corrective action not recorded/closed",""),IF(AND(AS16=1,Documents!$J$5&lt;&gt;"ON FILE"),"INVALID – GLD not on file (Documents sheet)",IF(AND(AS16=2,Documents!$O$5&lt;&gt;"ON FILE"),"INVALID – menu checklist not on file (Documents sheet)",IF(AND(AS16=3,NOT(ISNUMBER(Flights!$AX$5))),"INVALID – enter carrying flight KUL departure (Flights AX)",IF(AG16&gt;AsOfUTC,"INVALID – completion time is in the future",IF(AND(ISNUMBER(S16),AG16&lt;S16),IF(H16="Physical uplift","INVALID – before uplift window (cannot confirm loading)","INVALID – before valid window"),IF(AG16&gt;Flights!$AA$5,"INVALID – completed after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f>
        <v>OPEN</v>
      </c>
      <c r="AI16" s="61" t="n">
        <f aca="false">IF(OR(AH16="N/A – RULE",AH16="N/A – JUSTIFIED"),0,1)</f>
        <v>1</v>
      </c>
      <c r="AJ16" s="61" t="n">
        <f aca="false">IF(LEFT(AH16,8)="COMPLETE",1,0)</f>
        <v>0</v>
      </c>
      <c r="AK16" s="61" t="n">
        <f aca="false">IF(AND(AI16=1,AJ16=0,AsOfUTC&gt;Q16),1,0)</f>
        <v>0</v>
      </c>
      <c r="AL16" s="61" t="n">
        <f aca="false">IF(AND(AI16=1,OR(TRIM(U16)="Fail",AB16="Open",AND(ISNUMBER(AF16),AF16&lt;&gt;0,TRIM(U16)&lt;&gt;"Pass after CA"))),1,0)</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row>
    <row r="17" customFormat="false" ht="39.75" hidden="false" customHeight="true" outlineLevel="0" collapsed="false">
      <c r="A17" s="57" t="s">
        <v>390</v>
      </c>
      <c r="B17" s="57" t="s">
        <v>173</v>
      </c>
      <c r="C17" s="57" t="str">
        <f aca="false">Flights!$F$5</f>
        <v>MH0001</v>
      </c>
      <c r="D17" s="58" t="n">
        <f aca="false">Flights!$D$5</f>
        <v>46303</v>
      </c>
      <c r="E17" s="57" t="str">
        <f aca="false">Flights!$G$5&amp;"-"&amp;Flights!$H$5</f>
        <v>LHR-KUL</v>
      </c>
      <c r="F17" s="57" t="str">
        <f aca="false">Flights!$K$5</f>
        <v>EY</v>
      </c>
      <c r="G17" s="57" t="s">
        <v>383</v>
      </c>
      <c r="H17" s="57" t="s">
        <v>341</v>
      </c>
      <c r="I17" s="57" t="s">
        <v>391</v>
      </c>
      <c r="J17" s="57" t="s">
        <v>392</v>
      </c>
      <c r="K17" s="67"/>
      <c r="L17" s="67" t="s">
        <v>385</v>
      </c>
      <c r="M17" s="67"/>
      <c r="N17" s="67" t="s">
        <v>346</v>
      </c>
      <c r="O17" s="67" t="s">
        <v>386</v>
      </c>
      <c r="P17" s="57" t="s">
        <v>176</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IF(N17="N/A – rule","N/A – RULE",IF(TRIM(U17)="N/A",IF(AT17=0,"INVALID – N/A not permitted for this mandatory check",IF(AND(TRIM(AC17)&lt;&gt;"",TRIM(AE17)&lt;&gt;"",TRIM(T17)&lt;&gt;""),"N/A – JUSTIFIED","INVALID – N/A needs justification, PIC and verifier")),IF(OR(TRIM(U17)="Pass",TRIM(U17)="Pass after CA"),IF(NOT(ISNUMBER(AD17)),"INVALID – completion time missing",IF(TRIM(T17)="","INVALID – PIC missing",IF(TRIM(Z17)="","INVALID – evidence missing",IF(TRIM(AE17)="","INVALID – verifier missing",IF(AND(AQ17=1,TRIM(W17)=""),"INVALID – batch ID missing",IF(AND(AR17=1,OR(NOT(ISNUMBER(X17)),NOT(ISNUMBER(Y17)))),"INVALID – expected/actual qty missing",IF(IF(AND(TRIM(U17)="Pass",ISNUMBER(AF17)),IF(AF17&lt;&gt;0,"INVALID – qty variance: use Fail or Pass after CA",""),"")&amp;IF(AND(TRIM(U17)="Pass",AB17="Open"),"INVALID – corrective action still open: use Fail, then Pass after CA","")&amp;IF(AND(TRIM(U17)="Pass after CA",OR(TRIM(AA17)="",AB17&lt;&gt;"Closed")),"INVALID – corrective action not recorded/closed","")&lt;&gt;"",IF(AND(TRIM(U17)="Pass",ISNUMBER(AF17)),IF(AF17&lt;&gt;0,"INVALID – qty variance: use Fail or Pass after CA",""),"")&amp;IF(AND(TRIM(U17)="Pass",AB17="Open"),"INVALID – corrective action still open: use Fail, then Pass after CA","")&amp;IF(AND(TRIM(U17)="Pass after CA",OR(TRIM(AA17)="",AB17&lt;&gt;"Closed")),"INVALID – corrective action not recorded/closed",""),IF(AND(AS17=1,Documents!$J$5&lt;&gt;"ON FILE"),"INVALID – GLD not on file (Documents sheet)",IF(AND(AS17=2,Documents!$O$5&lt;&gt;"ON FILE"),"INVALID – menu checklist not on file (Documents sheet)",IF(AND(AS17=3,NOT(ISNUMBER(Flights!$AX$5))),"INVALID – enter carrying flight KUL departure (Flights AX)",IF(AG17&gt;AsOfUTC,"INVALID – completion time is in the future",IF(AND(ISNUMBER(S17),AG17&lt;S17),IF(H17="Physical uplift","INVALID – before uplift window (cannot confirm loading)","INVALID – before valid window"),IF(AG17&gt;Flights!$AA$5,"INVALID – completed after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f>
        <v>OPEN</v>
      </c>
      <c r="AI17" s="61" t="n">
        <f aca="false">IF(OR(AH17="N/A – RULE",AH17="N/A – JUSTIFIED"),0,1)</f>
        <v>1</v>
      </c>
      <c r="AJ17" s="61" t="n">
        <f aca="false">IF(LEFT(AH17,8)="COMPLETE",1,0)</f>
        <v>0</v>
      </c>
      <c r="AK17" s="61" t="n">
        <f aca="false">IF(AND(AI17=1,AJ17=0,AsOfUTC&gt;Q17),1,0)</f>
        <v>0</v>
      </c>
      <c r="AL17" s="61" t="n">
        <f aca="false">IF(AND(AI17=1,OR(TRIM(U17)="Fail",AB17="Open",AND(ISNUMBER(AF17),AF17&lt;&gt;0,TRIM(U17)&lt;&gt;"Pass after CA"))),1,0)</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row>
    <row r="18" customFormat="false" ht="39.75" hidden="false" customHeight="true" outlineLevel="0" collapsed="false">
      <c r="A18" s="57" t="s">
        <v>393</v>
      </c>
      <c r="B18" s="57" t="s">
        <v>173</v>
      </c>
      <c r="C18" s="57" t="str">
        <f aca="false">Flights!$F$5</f>
        <v>MH0001</v>
      </c>
      <c r="D18" s="58" t="n">
        <f aca="false">Flights!$D$5</f>
        <v>46303</v>
      </c>
      <c r="E18" s="57" t="str">
        <f aca="false">Flights!$G$5&amp;"-"&amp;Flights!$H$5</f>
        <v>LHR-KUL</v>
      </c>
      <c r="F18" s="57" t="str">
        <f aca="false">Flights!$K$5</f>
        <v>EY</v>
      </c>
      <c r="G18" s="57" t="s">
        <v>383</v>
      </c>
      <c r="H18" s="57" t="s">
        <v>341</v>
      </c>
      <c r="I18" s="57" t="s">
        <v>391</v>
      </c>
      <c r="J18" s="57" t="s">
        <v>394</v>
      </c>
      <c r="K18" s="67"/>
      <c r="L18" s="67" t="s">
        <v>385</v>
      </c>
      <c r="M18" s="67"/>
      <c r="N18" s="67" t="s">
        <v>346</v>
      </c>
      <c r="O18" s="67" t="s">
        <v>386</v>
      </c>
      <c r="P18" s="57" t="s">
        <v>176</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IF(N18="N/A – rule","N/A – RULE",IF(TRIM(U18)="N/A",IF(AT18=0,"INVALID – N/A not permitted for this mandatory check",IF(AND(TRIM(AC18)&lt;&gt;"",TRIM(AE18)&lt;&gt;"",TRIM(T18)&lt;&gt;""),"N/A – JUSTIFIED","INVALID – N/A needs justification, PIC and verifier")),IF(OR(TRIM(U18)="Pass",TRIM(U18)="Pass after CA"),IF(NOT(ISNUMBER(AD18)),"INVALID – completion time missing",IF(TRIM(T18)="","INVALID – PIC missing",IF(TRIM(Z18)="","INVALID – evidence missing",IF(TRIM(AE18)="","INVALID – verifier missing",IF(AND(AQ18=1,TRIM(W18)=""),"INVALID – batch ID missing",IF(AND(AR18=1,OR(NOT(ISNUMBER(X18)),NOT(ISNUMBER(Y18)))),"INVALID – expected/actual qty missing",IF(IF(AND(TRIM(U18)="Pass",ISNUMBER(AF18)),IF(AF18&lt;&gt;0,"INVALID – qty variance: use Fail or Pass after CA",""),"")&amp;IF(AND(TRIM(U18)="Pass",AB18="Open"),"INVALID – corrective action still open: use Fail, then Pass after CA","")&amp;IF(AND(TRIM(U18)="Pass after CA",OR(TRIM(AA18)="",AB18&lt;&gt;"Closed")),"INVALID – corrective action not recorded/closed","")&lt;&gt;"",IF(AND(TRIM(U18)="Pass",ISNUMBER(AF18)),IF(AF18&lt;&gt;0,"INVALID – qty variance: use Fail or Pass after CA",""),"")&amp;IF(AND(TRIM(U18)="Pass",AB18="Open"),"INVALID – corrective action still open: use Fail, then Pass after CA","")&amp;IF(AND(TRIM(U18)="Pass after CA",OR(TRIM(AA18)="",AB18&lt;&gt;"Closed")),"INVALID – corrective action not recorded/closed",""),IF(AND(AS18=1,Documents!$J$5&lt;&gt;"ON FILE"),"INVALID – GLD not on file (Documents sheet)",IF(AND(AS18=2,Documents!$O$5&lt;&gt;"ON FILE"),"INVALID – menu checklist not on file (Documents sheet)",IF(AND(AS18=3,NOT(ISNUMBER(Flights!$AX$5))),"INVALID – enter carrying flight KUL departure (Flights AX)",IF(AG18&gt;AsOfUTC,"INVALID – completion time is in the future",IF(AND(ISNUMBER(S18),AG18&lt;S18),IF(H18="Physical uplift","INVALID – before uplift window (cannot confirm loading)","INVALID – before valid window"),IF(AG18&gt;Flights!$AA$5,"INVALID – completed after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f>
        <v>OPEN</v>
      </c>
      <c r="AI18" s="61" t="n">
        <f aca="false">IF(OR(AH18="N/A – RULE",AH18="N/A – JUSTIFIED"),0,1)</f>
        <v>1</v>
      </c>
      <c r="AJ18" s="61" t="n">
        <f aca="false">IF(LEFT(AH18,8)="COMPLETE",1,0)</f>
        <v>0</v>
      </c>
      <c r="AK18" s="61" t="n">
        <f aca="false">IF(AND(AI18=1,AJ18=0,AsOfUTC&gt;Q18),1,0)</f>
        <v>0</v>
      </c>
      <c r="AL18" s="61" t="n">
        <f aca="false">IF(AND(AI18=1,OR(TRIM(U18)="Fail",AB18="Open",AND(ISNUMBER(AF18),AF18&lt;&gt;0,TRIM(U18)&lt;&gt;"Pass after CA"))),1,0)</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row>
    <row r="19" customFormat="false" ht="39.75" hidden="false" customHeight="true" outlineLevel="0" collapsed="false">
      <c r="A19" s="57" t="s">
        <v>395</v>
      </c>
      <c r="B19" s="57" t="s">
        <v>173</v>
      </c>
      <c r="C19" s="57" t="str">
        <f aca="false">Flights!$F$5</f>
        <v>MH0001</v>
      </c>
      <c r="D19" s="58" t="n">
        <f aca="false">Flights!$D$5</f>
        <v>46303</v>
      </c>
      <c r="E19" s="57" t="str">
        <f aca="false">Flights!$G$5&amp;"-"&amp;Flights!$H$5</f>
        <v>LHR-KUL</v>
      </c>
      <c r="F19" s="57" t="str">
        <f aca="false">Flights!$K$5</f>
        <v>EY</v>
      </c>
      <c r="G19" s="57" t="s">
        <v>383</v>
      </c>
      <c r="H19" s="57" t="s">
        <v>341</v>
      </c>
      <c r="I19" s="57" t="s">
        <v>391</v>
      </c>
      <c r="J19" s="57" t="s">
        <v>396</v>
      </c>
      <c r="K19" s="67"/>
      <c r="L19" s="67" t="s">
        <v>385</v>
      </c>
      <c r="M19" s="67"/>
      <c r="N19" s="67" t="s">
        <v>346</v>
      </c>
      <c r="O19" s="67" t="s">
        <v>386</v>
      </c>
      <c r="P19" s="57" t="s">
        <v>176</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IF(N19="N/A – rule","N/A – RULE",IF(TRIM(U19)="N/A",IF(AT19=0,"INVALID – N/A not permitted for this mandatory check",IF(AND(TRIM(AC19)&lt;&gt;"",TRIM(AE19)&lt;&gt;"",TRIM(T19)&lt;&gt;""),"N/A – JUSTIFIED","INVALID – N/A needs justification, PIC and verifier")),IF(OR(TRIM(U19)="Pass",TRIM(U19)="Pass after CA"),IF(NOT(ISNUMBER(AD19)),"INVALID – completion time missing",IF(TRIM(T19)="","INVALID – PIC missing",IF(TRIM(Z19)="","INVALID – evidence missing",IF(TRIM(AE19)="","INVALID – verifier missing",IF(AND(AQ19=1,TRIM(W19)=""),"INVALID – batch ID missing",IF(AND(AR19=1,OR(NOT(ISNUMBER(X19)),NOT(ISNUMBER(Y19)))),"INVALID – expected/actual qty missing",IF(IF(AND(TRIM(U19)="Pass",ISNUMBER(AF19)),IF(AF19&lt;&gt;0,"INVALID – qty variance: use Fail or Pass after CA",""),"")&amp;IF(AND(TRIM(U19)="Pass",AB19="Open"),"INVALID – corrective action still open: use Fail, then Pass after CA","")&amp;IF(AND(TRIM(U19)="Pass after CA",OR(TRIM(AA19)="",AB19&lt;&gt;"Closed")),"INVALID – corrective action not recorded/closed","")&lt;&gt;"",IF(AND(TRIM(U19)="Pass",ISNUMBER(AF19)),IF(AF19&lt;&gt;0,"INVALID – qty variance: use Fail or Pass after CA",""),"")&amp;IF(AND(TRIM(U19)="Pass",AB19="Open"),"INVALID – corrective action still open: use Fail, then Pass after CA","")&amp;IF(AND(TRIM(U19)="Pass after CA",OR(TRIM(AA19)="",AB19&lt;&gt;"Closed")),"INVALID – corrective action not recorded/closed",""),IF(AND(AS19=1,Documents!$J$5&lt;&gt;"ON FILE"),"INVALID – GLD not on file (Documents sheet)",IF(AND(AS19=2,Documents!$O$5&lt;&gt;"ON FILE"),"INVALID – menu checklist not on file (Documents sheet)",IF(AND(AS19=3,NOT(ISNUMBER(Flights!$AX$5))),"INVALID – enter carrying flight KUL departure (Flights AX)",IF(AG19&gt;AsOfUTC,"INVALID – completion time is in the future",IF(AND(ISNUMBER(S19),AG19&lt;S19),IF(H19="Physical uplift","INVALID – before uplift window (cannot confirm loading)","INVALID – before valid window"),IF(AG19&gt;Flights!$AA$5,"INVALID – completed after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f>
        <v>OPEN</v>
      </c>
      <c r="AI19" s="61" t="n">
        <f aca="false">IF(OR(AH19="N/A – RULE",AH19="N/A – JUSTIFIED"),0,1)</f>
        <v>1</v>
      </c>
      <c r="AJ19" s="61" t="n">
        <f aca="false">IF(LEFT(AH19,8)="COMPLETE",1,0)</f>
        <v>0</v>
      </c>
      <c r="AK19" s="61" t="n">
        <f aca="false">IF(AND(AI19=1,AJ19=0,AsOfUTC&gt;Q19),1,0)</f>
        <v>0</v>
      </c>
      <c r="AL19" s="61" t="n">
        <f aca="false">IF(AND(AI19=1,OR(TRIM(U19)="Fail",AB19="Open",AND(ISNUMBER(AF19),AF19&lt;&gt;0,TRIM(U19)&lt;&gt;"Pass after CA"))),1,0)</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row>
    <row r="20" customFormat="false" ht="141" hidden="false" customHeight="true" outlineLevel="0" collapsed="false">
      <c r="A20" s="57" t="s">
        <v>397</v>
      </c>
      <c r="B20" s="57" t="s">
        <v>173</v>
      </c>
      <c r="C20" s="57" t="str">
        <f aca="false">Flights!$F$5</f>
        <v>MH0001</v>
      </c>
      <c r="D20" s="58" t="n">
        <f aca="false">Flights!$D$5</f>
        <v>46303</v>
      </c>
      <c r="E20" s="57" t="str">
        <f aca="false">Flights!$G$5&amp;"-"&amp;Flights!$H$5</f>
        <v>LHR-KUL</v>
      </c>
      <c r="F20" s="57" t="str">
        <f aca="false">Flights!$K$5</f>
        <v>EY</v>
      </c>
      <c r="G20" s="57" t="s">
        <v>383</v>
      </c>
      <c r="H20" s="57" t="s">
        <v>341</v>
      </c>
      <c r="I20" s="57" t="s">
        <v>391</v>
      </c>
      <c r="J20" s="57" t="s">
        <v>398</v>
      </c>
      <c r="K20" s="67" t="s">
        <v>399</v>
      </c>
      <c r="L20" s="67" t="s">
        <v>385</v>
      </c>
      <c r="M20" s="67"/>
      <c r="N20" s="67" t="s">
        <v>346</v>
      </c>
      <c r="O20" s="67" t="s">
        <v>386</v>
      </c>
      <c r="P20" s="57" t="s">
        <v>176</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IF(N20="N/A – rule","N/A – RULE",IF(TRIM(U20)="N/A",IF(AT20=0,"INVALID – N/A not permitted for this mandatory check",IF(AND(TRIM(AC20)&lt;&gt;"",TRIM(AE20)&lt;&gt;"",TRIM(T20)&lt;&gt;""),"N/A – JUSTIFIED","INVALID – N/A needs justification, PIC and verifier")),IF(OR(TRIM(U20)="Pass",TRIM(U20)="Pass after CA"),IF(NOT(ISNUMBER(AD20)),"INVALID – completion time missing",IF(TRIM(T20)="","INVALID – PIC missing",IF(TRIM(Z20)="","INVALID – evidence missing",IF(TRIM(AE20)="","INVALID – verifier missing",IF(AND(AQ20=1,TRIM(W20)=""),"INVALID – batch ID missing",IF(AND(AR20=1,OR(NOT(ISNUMBER(X20)),NOT(ISNUMBER(Y20)))),"INVALID – expected/actual qty missing",IF(IF(AND(TRIM(U20)="Pass",ISNUMBER(AF20)),IF(AF20&lt;&gt;0,"INVALID – qty variance: use Fail or Pass after CA",""),"")&amp;IF(AND(TRIM(U20)="Pass",AB20="Open"),"INVALID – corrective action still open: use Fail, then Pass after CA","")&amp;IF(AND(TRIM(U20)="Pass after CA",OR(TRIM(AA20)="",AB20&lt;&gt;"Closed")),"INVALID – corrective action not recorded/closed","")&lt;&gt;"",IF(AND(TRIM(U20)="Pass",ISNUMBER(AF20)),IF(AF20&lt;&gt;0,"INVALID – qty variance: use Fail or Pass after CA",""),"")&amp;IF(AND(TRIM(U20)="Pass",AB20="Open"),"INVALID – corrective action still open: use Fail, then Pass after CA","")&amp;IF(AND(TRIM(U20)="Pass after CA",OR(TRIM(AA20)="",AB20&lt;&gt;"Closed")),"INVALID – corrective action not recorded/closed",""),IF(AND(AS20=1,Documents!$J$5&lt;&gt;"ON FILE"),"INVALID – GLD not on file (Documents sheet)",IF(AND(AS20=2,Documents!$O$5&lt;&gt;"ON FILE"),"INVALID – menu checklist not on file (Documents sheet)",IF(AND(AS20=3,NOT(ISNUMBER(Flights!$AX$5))),"INVALID – enter carrying flight KUL departure (Flights AX)",IF(AG20&gt;AsOfUTC,"INVALID – completion time is in the future",IF(AND(ISNUMBER(S20),AG20&lt;S20),IF(H20="Physical uplift","INVALID – before uplift window (cannot confirm loading)","INVALID – before valid window"),IF(AG20&gt;Flights!$AA$5,"INVALID – completed after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f>
        <v>OPEN</v>
      </c>
      <c r="AI20" s="61" t="n">
        <f aca="false">IF(OR(AH20="N/A – RULE",AH20="N/A – JUSTIFIED"),0,1)</f>
        <v>1</v>
      </c>
      <c r="AJ20" s="61" t="n">
        <f aca="false">IF(LEFT(AH20,8)="COMPLETE",1,0)</f>
        <v>0</v>
      </c>
      <c r="AK20" s="61" t="n">
        <f aca="false">IF(AND(AI20=1,AJ20=0,AsOfUTC&gt;Q20),1,0)</f>
        <v>0</v>
      </c>
      <c r="AL20" s="61" t="n">
        <f aca="false">IF(AND(AI20=1,OR(TRIM(U20)="Fail",AB20="Open",AND(ISNUMBER(AF20),AF20&lt;&gt;0,TRIM(U20)&lt;&gt;"Pass after CA"))),1,0)</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row>
    <row r="21" customFormat="false" ht="39.75" hidden="false" customHeight="true" outlineLevel="0" collapsed="false">
      <c r="A21" s="57" t="s">
        <v>400</v>
      </c>
      <c r="B21" s="57" t="s">
        <v>173</v>
      </c>
      <c r="C21" s="57" t="str">
        <f aca="false">Flights!$F$5</f>
        <v>MH0001</v>
      </c>
      <c r="D21" s="58" t="n">
        <f aca="false">Flights!$D$5</f>
        <v>46303</v>
      </c>
      <c r="E21" s="57" t="str">
        <f aca="false">Flights!$G$5&amp;"-"&amp;Flights!$H$5</f>
        <v>LHR-KUL</v>
      </c>
      <c r="F21" s="57" t="str">
        <f aca="false">Flights!$K$5</f>
        <v>EY</v>
      </c>
      <c r="G21" s="57" t="s">
        <v>383</v>
      </c>
      <c r="H21" s="57" t="s">
        <v>341</v>
      </c>
      <c r="I21" s="57" t="s">
        <v>391</v>
      </c>
      <c r="J21" s="57" t="s">
        <v>401</v>
      </c>
      <c r="K21" s="67"/>
      <c r="L21" s="67" t="s">
        <v>385</v>
      </c>
      <c r="M21" s="67"/>
      <c r="N21" s="67" t="s">
        <v>346</v>
      </c>
      <c r="O21" s="67" t="s">
        <v>386</v>
      </c>
      <c r="P21" s="57" t="s">
        <v>176</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IF(N21="N/A – rule","N/A – RULE",IF(TRIM(U21)="N/A",IF(AT21=0,"INVALID – N/A not permitted for this mandatory check",IF(AND(TRIM(AC21)&lt;&gt;"",TRIM(AE21)&lt;&gt;"",TRIM(T21)&lt;&gt;""),"N/A – JUSTIFIED","INVALID – N/A needs justification, PIC and verifier")),IF(OR(TRIM(U21)="Pass",TRIM(U21)="Pass after CA"),IF(NOT(ISNUMBER(AD21)),"INVALID – completion time missing",IF(TRIM(T21)="","INVALID – PIC missing",IF(TRIM(Z21)="","INVALID – evidence missing",IF(TRIM(AE21)="","INVALID – verifier missing",IF(AND(AQ21=1,TRIM(W21)=""),"INVALID – batch ID missing",IF(AND(AR21=1,OR(NOT(ISNUMBER(X21)),NOT(ISNUMBER(Y21)))),"INVALID – expected/actual qty missing",IF(IF(AND(TRIM(U21)="Pass",ISNUMBER(AF21)),IF(AF21&lt;&gt;0,"INVALID – qty variance: use Fail or Pass after CA",""),"")&amp;IF(AND(TRIM(U21)="Pass",AB21="Open"),"INVALID – corrective action still open: use Fail, then Pass after CA","")&amp;IF(AND(TRIM(U21)="Pass after CA",OR(TRIM(AA21)="",AB21&lt;&gt;"Closed")),"INVALID – corrective action not recorded/closed","")&lt;&gt;"",IF(AND(TRIM(U21)="Pass",ISNUMBER(AF21)),IF(AF21&lt;&gt;0,"INVALID – qty variance: use Fail or Pass after CA",""),"")&amp;IF(AND(TRIM(U21)="Pass",AB21="Open"),"INVALID – corrective action still open: use Fail, then Pass after CA","")&amp;IF(AND(TRIM(U21)="Pass after CA",OR(TRIM(AA21)="",AB21&lt;&gt;"Closed")),"INVALID – corrective action not recorded/closed",""),IF(AND(AS21=1,Documents!$J$5&lt;&gt;"ON FILE"),"INVALID – GLD not on file (Documents sheet)",IF(AND(AS21=2,Documents!$O$5&lt;&gt;"ON FILE"),"INVALID – menu checklist not on file (Documents sheet)",IF(AND(AS21=3,NOT(ISNUMBER(Flights!$AX$5))),"INVALID – enter carrying flight KUL departure (Flights AX)",IF(AG21&gt;AsOfUTC,"INVALID – completion time is in the future",IF(AND(ISNUMBER(S21),AG21&lt;S21),IF(H21="Physical uplift","INVALID – before uplift window (cannot confirm loading)","INVALID – before valid window"),IF(AG21&gt;Flights!$AA$5,"INVALID – completed after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f>
        <v>OPEN</v>
      </c>
      <c r="AI21" s="61" t="n">
        <f aca="false">IF(OR(AH21="N/A – RULE",AH21="N/A – JUSTIFIED"),0,1)</f>
        <v>1</v>
      </c>
      <c r="AJ21" s="61" t="n">
        <f aca="false">IF(LEFT(AH21,8)="COMPLETE",1,0)</f>
        <v>0</v>
      </c>
      <c r="AK21" s="61" t="n">
        <f aca="false">IF(AND(AI21=1,AJ21=0,AsOfUTC&gt;Q21),1,0)</f>
        <v>0</v>
      </c>
      <c r="AL21" s="61" t="n">
        <f aca="false">IF(AND(AI21=1,OR(TRIM(U21)="Fail",AB21="Open",AND(ISNUMBER(AF21),AF21&lt;&gt;0,TRIM(U21)&lt;&gt;"Pass after CA"))),1,0)</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row>
    <row r="22" customFormat="false" ht="54" hidden="false" customHeight="true" outlineLevel="0" collapsed="false">
      <c r="A22" s="57" t="s">
        <v>402</v>
      </c>
      <c r="B22" s="57" t="s">
        <v>173</v>
      </c>
      <c r="C22" s="57" t="str">
        <f aca="false">Flights!$F$5</f>
        <v>MH0001</v>
      </c>
      <c r="D22" s="58" t="n">
        <f aca="false">Flights!$D$5</f>
        <v>46303</v>
      </c>
      <c r="E22" s="57" t="str">
        <f aca="false">Flights!$G$5&amp;"-"&amp;Flights!$H$5</f>
        <v>LHR-KUL</v>
      </c>
      <c r="F22" s="57" t="str">
        <f aca="false">Flights!$K$5</f>
        <v>EY</v>
      </c>
      <c r="G22" s="57" t="s">
        <v>383</v>
      </c>
      <c r="H22" s="57" t="s">
        <v>341</v>
      </c>
      <c r="I22" s="57" t="s">
        <v>403</v>
      </c>
      <c r="J22" s="57" t="s">
        <v>404</v>
      </c>
      <c r="K22" s="67" t="s">
        <v>405</v>
      </c>
      <c r="L22" s="67" t="s">
        <v>406</v>
      </c>
      <c r="M22" s="67" t="s">
        <v>176</v>
      </c>
      <c r="N22" s="67" t="s">
        <v>407</v>
      </c>
      <c r="O22" s="67" t="s">
        <v>408</v>
      </c>
      <c r="P22" s="57" t="s">
        <v>176</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IF(N22="N/A – rule","N/A – RULE",IF(TRIM(U22)="N/A",IF(AT22=0,"INVALID – N/A not permitted for this mandatory check",IF(AND(TRIM(AC22)&lt;&gt;"",TRIM(AE22)&lt;&gt;"",TRIM(T22)&lt;&gt;""),"N/A – JUSTIFIED","INVALID – N/A needs justification, PIC and verifier")),IF(OR(TRIM(U22)="Pass",TRIM(U22)="Pass after CA"),IF(NOT(ISNUMBER(AD22)),"INVALID – completion time missing",IF(TRIM(T22)="","INVALID – PIC missing",IF(TRIM(Z22)="","INVALID – evidence missing",IF(TRIM(AE22)="","INVALID – verifier missing",IF(AND(AQ22=1,TRIM(W22)=""),"INVALID – batch ID missing",IF(AND(AR22=1,OR(NOT(ISNUMBER(X22)),NOT(ISNUMBER(Y22)))),"INVALID – expected/actual qty missing",IF(IF(AND(TRIM(U22)="Pass",ISNUMBER(AF22)),IF(AF22&lt;&gt;0,"INVALID – qty variance: use Fail or Pass after CA",""),"")&amp;IF(AND(TRIM(U22)="Pass",AB22="Open"),"INVALID – corrective action still open: use Fail, then Pass after CA","")&amp;IF(AND(TRIM(U22)="Pass after CA",OR(TRIM(AA22)="",AB22&lt;&gt;"Closed")),"INVALID – corrective action not recorded/closed","")&lt;&gt;"",IF(AND(TRIM(U22)="Pass",ISNUMBER(AF22)),IF(AF22&lt;&gt;0,"INVALID – qty variance: use Fail or Pass after CA",""),"")&amp;IF(AND(TRIM(U22)="Pass",AB22="Open"),"INVALID – corrective action still open: use Fail, then Pass after CA","")&amp;IF(AND(TRIM(U22)="Pass after CA",OR(TRIM(AA22)="",AB22&lt;&gt;"Closed")),"INVALID – corrective action not recorded/closed",""),IF(AND(AS22=1,Documents!$J$5&lt;&gt;"ON FILE"),"INVALID – GLD not on file (Documents sheet)",IF(AND(AS22=2,Documents!$O$5&lt;&gt;"ON FILE"),"INVALID – menu checklist not on file (Documents sheet)",IF(AND(AS22=3,NOT(ISNUMBER(Flights!$AX$5))),"INVALID – enter carrying flight KUL departure (Flights AX)",IF(AG22&gt;AsOfUTC,"INVALID – completion time is in the future",IF(AND(ISNUMBER(S22),AG22&lt;S22),IF(H22="Physical uplift","INVALID – before uplift window (cannot confirm loading)","INVALID – before valid window"),IF(AG22&gt;Flights!$AA$5,"INVALID – completed after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f>
        <v>OPEN – CLARIFICATION</v>
      </c>
      <c r="AI22" s="61" t="n">
        <f aca="false">IF(OR(AH22="N/A – RULE",AH22="N/A – JUSTIFIED"),0,1)</f>
        <v>1</v>
      </c>
      <c r="AJ22" s="61" t="n">
        <f aca="false">IF(LEFT(AH22,8)="COMPLETE",1,0)</f>
        <v>0</v>
      </c>
      <c r="AK22" s="61" t="n">
        <f aca="false">IF(AND(AI22=1,AJ22=0,AsOfUTC&gt;Q22),1,0)</f>
        <v>0</v>
      </c>
      <c r="AL22" s="61" t="n">
        <f aca="false">IF(AND(AI22=1,OR(TRIM(U22)="Fail",AB22="Open",AND(ISNUMBER(AF22),AF22&lt;&gt;0,TRIM(U22)&lt;&gt;"Pass after CA"))),1,0)</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row>
    <row r="23" customFormat="false" ht="41.25" hidden="false" customHeight="true" outlineLevel="0" collapsed="false">
      <c r="A23" s="57" t="s">
        <v>409</v>
      </c>
      <c r="B23" s="57" t="s">
        <v>173</v>
      </c>
      <c r="C23" s="57" t="str">
        <f aca="false">Flights!$F$5</f>
        <v>MH0001</v>
      </c>
      <c r="D23" s="58" t="n">
        <f aca="false">Flights!$D$5</f>
        <v>46303</v>
      </c>
      <c r="E23" s="57" t="str">
        <f aca="false">Flights!$G$5&amp;"-"&amp;Flights!$H$5</f>
        <v>LHR-KUL</v>
      </c>
      <c r="F23" s="57" t="str">
        <f aca="false">Flights!$K$5</f>
        <v>EY</v>
      </c>
      <c r="G23" s="57" t="s">
        <v>383</v>
      </c>
      <c r="H23" s="57" t="s">
        <v>341</v>
      </c>
      <c r="I23" s="57" t="s">
        <v>410</v>
      </c>
      <c r="J23" s="57" t="s">
        <v>411</v>
      </c>
      <c r="K23" s="67" t="s">
        <v>412</v>
      </c>
      <c r="L23" s="67" t="s">
        <v>413</v>
      </c>
      <c r="M23" s="67" t="s">
        <v>414</v>
      </c>
      <c r="N23" s="67" t="s">
        <v>346</v>
      </c>
      <c r="O23" s="67" t="s">
        <v>415</v>
      </c>
      <c r="P23" s="57" t="s">
        <v>176</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IF(N23="N/A – rule","N/A – RULE",IF(TRIM(U23)="N/A",IF(AT23=0,"INVALID – N/A not permitted for this mandatory check",IF(AND(TRIM(AC23)&lt;&gt;"",TRIM(AE23)&lt;&gt;"",TRIM(T23)&lt;&gt;""),"N/A – JUSTIFIED","INVALID – N/A needs justification, PIC and verifier")),IF(OR(TRIM(U23)="Pass",TRIM(U23)="Pass after CA"),IF(NOT(ISNUMBER(AD23)),"INVALID – completion time missing",IF(TRIM(T23)="","INVALID – PIC missing",IF(TRIM(Z23)="","INVALID – evidence missing",IF(TRIM(AE23)="","INVALID – verifier missing",IF(AND(AQ23=1,TRIM(W23)=""),"INVALID – batch ID missing",IF(AND(AR23=1,OR(NOT(ISNUMBER(X23)),NOT(ISNUMBER(Y23)))),"INVALID – expected/actual qty missing",IF(IF(AND(TRIM(U23)="Pass",ISNUMBER(AF23)),IF(AF23&lt;&gt;0,"INVALID – qty variance: use Fail or Pass after CA",""),"")&amp;IF(AND(TRIM(U23)="Pass",AB23="Open"),"INVALID – corrective action still open: use Fail, then Pass after CA","")&amp;IF(AND(TRIM(U23)="Pass after CA",OR(TRIM(AA23)="",AB23&lt;&gt;"Closed")),"INVALID – corrective action not recorded/closed","")&lt;&gt;"",IF(AND(TRIM(U23)="Pass",ISNUMBER(AF23)),IF(AF23&lt;&gt;0,"INVALID – qty variance: use Fail or Pass after CA",""),"")&amp;IF(AND(TRIM(U23)="Pass",AB23="Open"),"INVALID – corrective action still open: use Fail, then Pass after CA","")&amp;IF(AND(TRIM(U23)="Pass after CA",OR(TRIM(AA23)="",AB23&lt;&gt;"Closed")),"INVALID – corrective action not recorded/closed",""),IF(AND(AS23=1,Documents!$J$5&lt;&gt;"ON FILE"),"INVALID – GLD not on file (Documents sheet)",IF(AND(AS23=2,Documents!$O$5&lt;&gt;"ON FILE"),"INVALID – menu checklist not on file (Documents sheet)",IF(AND(AS23=3,NOT(ISNUMBER(Flights!$AX$5))),"INVALID – enter carrying flight KUL departure (Flights AX)",IF(AG23&gt;AsOfUTC,"INVALID – completion time is in the future",IF(AND(ISNUMBER(S23),AG23&lt;S23),IF(H23="Physical uplift","INVALID – before uplift window (cannot confirm loading)","INVALID – before valid window"),IF(AG23&gt;Flights!$AA$5,"INVALID – completed after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f>
        <v>OPEN</v>
      </c>
      <c r="AI23" s="61" t="n">
        <f aca="false">IF(OR(AH23="N/A – RULE",AH23="N/A – JUSTIFIED"),0,1)</f>
        <v>1</v>
      </c>
      <c r="AJ23" s="61" t="n">
        <f aca="false">IF(LEFT(AH23,8)="COMPLETE",1,0)</f>
        <v>0</v>
      </c>
      <c r="AK23" s="61" t="n">
        <f aca="false">IF(AND(AI23=1,AJ23=0,AsOfUTC&gt;Q23),1,0)</f>
        <v>0</v>
      </c>
      <c r="AL23" s="61" t="n">
        <f aca="false">IF(AND(AI23=1,OR(TRIM(U23)="Fail",AB23="Open",AND(ISNUMBER(AF23),AF23&lt;&gt;0,TRIM(U23)&lt;&gt;"Pass after CA"))),1,0)</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1</v>
      </c>
    </row>
    <row r="24" customFormat="false" ht="91.5" hidden="false" customHeight="true" outlineLevel="0" collapsed="false">
      <c r="A24" s="57" t="s">
        <v>416</v>
      </c>
      <c r="B24" s="57" t="s">
        <v>173</v>
      </c>
      <c r="C24" s="57" t="str">
        <f aca="false">Flights!$F$5</f>
        <v>MH0001</v>
      </c>
      <c r="D24" s="58" t="n">
        <f aca="false">Flights!$D$5</f>
        <v>46303</v>
      </c>
      <c r="E24" s="57" t="str">
        <f aca="false">Flights!$G$5&amp;"-"&amp;Flights!$H$5</f>
        <v>LHR-KUL</v>
      </c>
      <c r="F24" s="57" t="str">
        <f aca="false">Flights!$K$5</f>
        <v>EY</v>
      </c>
      <c r="G24" s="57" t="s">
        <v>383</v>
      </c>
      <c r="H24" s="57" t="s">
        <v>341</v>
      </c>
      <c r="I24" s="57" t="s">
        <v>410</v>
      </c>
      <c r="J24" s="57" t="s">
        <v>417</v>
      </c>
      <c r="K24" s="67" t="s">
        <v>418</v>
      </c>
      <c r="L24" s="67" t="s">
        <v>419</v>
      </c>
      <c r="M24" s="67" t="s">
        <v>414</v>
      </c>
      <c r="N24" s="67" t="s">
        <v>346</v>
      </c>
      <c r="O24" s="67" t="s">
        <v>420</v>
      </c>
      <c r="P24" s="57" t="s">
        <v>176</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IF(N24="N/A – rule","N/A – RULE",IF(TRIM(U24)="N/A",IF(AT24=0,"INVALID – N/A not permitted for this mandatory check",IF(AND(TRIM(AC24)&lt;&gt;"",TRIM(AE24)&lt;&gt;"",TRIM(T24)&lt;&gt;""),"N/A – JUSTIFIED","INVALID – N/A needs justification, PIC and verifier")),IF(OR(TRIM(U24)="Pass",TRIM(U24)="Pass after CA"),IF(NOT(ISNUMBER(AD24)),"INVALID – completion time missing",IF(TRIM(T24)="","INVALID – PIC missing",IF(TRIM(Z24)="","INVALID – evidence missing",IF(TRIM(AE24)="","INVALID – verifier missing",IF(AND(AQ24=1,TRIM(W24)=""),"INVALID – batch ID missing",IF(AND(AR24=1,OR(NOT(ISNUMBER(X24)),NOT(ISNUMBER(Y24)))),"INVALID – expected/actual qty missing",IF(IF(AND(TRIM(U24)="Pass",ISNUMBER(AF24)),IF(AF24&lt;&gt;0,"INVALID – qty variance: use Fail or Pass after CA",""),"")&amp;IF(AND(TRIM(U24)="Pass",AB24="Open"),"INVALID – corrective action still open: use Fail, then Pass after CA","")&amp;IF(AND(TRIM(U24)="Pass after CA",OR(TRIM(AA24)="",AB24&lt;&gt;"Closed")),"INVALID – corrective action not recorded/closed","")&lt;&gt;"",IF(AND(TRIM(U24)="Pass",ISNUMBER(AF24)),IF(AF24&lt;&gt;0,"INVALID – qty variance: use Fail or Pass after CA",""),"")&amp;IF(AND(TRIM(U24)="Pass",AB24="Open"),"INVALID – corrective action still open: use Fail, then Pass after CA","")&amp;IF(AND(TRIM(U24)="Pass after CA",OR(TRIM(AA24)="",AB24&lt;&gt;"Closed")),"INVALID – corrective action not recorded/closed",""),IF(AND(AS24=1,Documents!$J$5&lt;&gt;"ON FILE"),"INVALID – GLD not on file (Documents sheet)",IF(AND(AS24=2,Documents!$O$5&lt;&gt;"ON FILE"),"INVALID – menu checklist not on file (Documents sheet)",IF(AND(AS24=3,NOT(ISNUMBER(Flights!$AX$5))),"INVALID – enter carrying flight KUL departure (Flights AX)",IF(AG24&gt;AsOfUTC,"INVALID – completion time is in the future",IF(AND(ISNUMBER(S24),AG24&lt;S24),IF(H24="Physical uplift","INVALID – before uplift window (cannot confirm loading)","INVALID – before valid window"),IF(AG24&gt;Flights!$AA$5,"INVALID – completed after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f>
        <v>OPEN</v>
      </c>
      <c r="AI24" s="61" t="n">
        <f aca="false">IF(OR(AH24="N/A – RULE",AH24="N/A – JUSTIFIED"),0,1)</f>
        <v>1</v>
      </c>
      <c r="AJ24" s="61" t="n">
        <f aca="false">IF(LEFT(AH24,8)="COMPLETE",1,0)</f>
        <v>0</v>
      </c>
      <c r="AK24" s="61" t="n">
        <f aca="false">IF(AND(AI24=1,AJ24=0,AsOfUTC&gt;Q24),1,0)</f>
        <v>0</v>
      </c>
      <c r="AL24" s="61" t="n">
        <f aca="false">IF(AND(AI24=1,OR(TRIM(U24)="Fail",AB24="Open",AND(ISNUMBER(AF24),AF24&lt;&gt;0,TRIM(U24)&lt;&gt;"Pass after CA"))),1,0)</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1</v>
      </c>
    </row>
    <row r="25" customFormat="false" ht="39.75" hidden="false" customHeight="true" outlineLevel="0" collapsed="false">
      <c r="A25" s="57" t="s">
        <v>421</v>
      </c>
      <c r="B25" s="57" t="s">
        <v>173</v>
      </c>
      <c r="C25" s="57" t="str">
        <f aca="false">Flights!$F$5</f>
        <v>MH0001</v>
      </c>
      <c r="D25" s="58" t="n">
        <f aca="false">Flights!$D$5</f>
        <v>46303</v>
      </c>
      <c r="E25" s="57" t="str">
        <f aca="false">Flights!$G$5&amp;"-"&amp;Flights!$H$5</f>
        <v>LHR-KUL</v>
      </c>
      <c r="F25" s="57" t="str">
        <f aca="false">Flights!$K$5</f>
        <v>EY</v>
      </c>
      <c r="G25" s="57" t="s">
        <v>422</v>
      </c>
      <c r="H25" s="57" t="s">
        <v>423</v>
      </c>
      <c r="I25" s="57" t="s">
        <v>342</v>
      </c>
      <c r="J25" s="57" t="s">
        <v>424</v>
      </c>
      <c r="K25" s="67" t="s">
        <v>389</v>
      </c>
      <c r="L25" s="67" t="s">
        <v>425</v>
      </c>
      <c r="M25" s="67"/>
      <c r="N25" s="67" t="s">
        <v>346</v>
      </c>
      <c r="O25" s="67" t="s">
        <v>426</v>
      </c>
      <c r="P25" s="57" t="s">
        <v>176</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IF(N25="N/A – rule","N/A – RULE",IF(TRIM(U25)="N/A",IF(AT25=0,"INVALID – N/A not permitted for this mandatory check",IF(AND(TRIM(AC25)&lt;&gt;"",TRIM(AE25)&lt;&gt;"",TRIM(T25)&lt;&gt;""),"N/A – JUSTIFIED","INVALID – N/A needs justification, PIC and verifier")),IF(OR(TRIM(U25)="Pass",TRIM(U25)="Pass after CA"),IF(NOT(ISNUMBER(AD25)),"INVALID – completion time missing",IF(TRIM(T25)="","INVALID – PIC missing",IF(TRIM(Z25)="","INVALID – evidence missing",IF(TRIM(AE25)="","INVALID – verifier missing",IF(AND(AQ25=1,TRIM(W25)=""),"INVALID – batch ID missing",IF(AND(AR25=1,OR(NOT(ISNUMBER(X25)),NOT(ISNUMBER(Y25)))),"INVALID – expected/actual qty missing",IF(IF(AND(TRIM(U25)="Pass",ISNUMBER(AF25)),IF(AF25&lt;&gt;0,"INVALID – qty variance: use Fail or Pass after CA",""),"")&amp;IF(AND(TRIM(U25)="Pass",AB25="Open"),"INVALID – corrective action still open: use Fail, then Pass after CA","")&amp;IF(AND(TRIM(U25)="Pass after CA",OR(TRIM(AA25)="",AB25&lt;&gt;"Closed")),"INVALID – corrective action not recorded/closed","")&lt;&gt;"",IF(AND(TRIM(U25)="Pass",ISNUMBER(AF25)),IF(AF25&lt;&gt;0,"INVALID – qty variance: use Fail or Pass after CA",""),"")&amp;IF(AND(TRIM(U25)="Pass",AB25="Open"),"INVALID – corrective action still open: use Fail, then Pass after CA","")&amp;IF(AND(TRIM(U25)="Pass after CA",OR(TRIM(AA25)="",AB25&lt;&gt;"Closed")),"INVALID – corrective action not recorded/closed",""),IF(AND(AS25=1,Documents!$J$5&lt;&gt;"ON FILE"),"INVALID – GLD not on file (Documents sheet)",IF(AND(AS25=2,Documents!$O$5&lt;&gt;"ON FILE"),"INVALID – menu checklist not on file (Documents sheet)",IF(AND(AS25=3,NOT(ISNUMBER(Flights!$AX$5))),"INVALID – enter carrying flight KUL departure (Flights AX)",IF(AG25&gt;AsOfUTC,"INVALID – completion time is in the future",IF(AND(ISNUMBER(S25),AG25&lt;S25),IF(H25="Physical uplift","INVALID – before uplift window (cannot confirm loading)","INVALID – before valid window"),IF(AG25&gt;Flights!$AA$5,"INVALID – completed after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f>
        <v>OPEN</v>
      </c>
      <c r="AI25" s="61" t="n">
        <f aca="false">IF(OR(AH25="N/A – RULE",AH25="N/A – JUSTIFIED"),0,1)</f>
        <v>1</v>
      </c>
      <c r="AJ25" s="61" t="n">
        <f aca="false">IF(LEFT(AH25,8)="COMPLETE",1,0)</f>
        <v>0</v>
      </c>
      <c r="AK25" s="61" t="n">
        <f aca="false">IF(AND(AI25=1,AJ25=0,AsOfUTC&gt;Q25),1,0)</f>
        <v>0</v>
      </c>
      <c r="AL25" s="61" t="n">
        <f aca="false">IF(AND(AI25=1,OR(TRIM(U25)="Fail",AB25="Open",AND(ISNUMBER(AF25),AF25&lt;&gt;0,TRIM(U25)&lt;&gt;"Pass after CA"))),1,0)</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row>
    <row r="26" customFormat="false" ht="39.75" hidden="false" customHeight="true" outlineLevel="0" collapsed="false">
      <c r="A26" s="57" t="s">
        <v>427</v>
      </c>
      <c r="B26" s="57" t="s">
        <v>173</v>
      </c>
      <c r="C26" s="57" t="str">
        <f aca="false">Flights!$F$5</f>
        <v>MH0001</v>
      </c>
      <c r="D26" s="58" t="n">
        <f aca="false">Flights!$D$5</f>
        <v>46303</v>
      </c>
      <c r="E26" s="57" t="str">
        <f aca="false">Flights!$G$5&amp;"-"&amp;Flights!$H$5</f>
        <v>LHR-KUL</v>
      </c>
      <c r="F26" s="57" t="str">
        <f aca="false">Flights!$K$5</f>
        <v>EY</v>
      </c>
      <c r="G26" s="57" t="s">
        <v>422</v>
      </c>
      <c r="H26" s="57" t="s">
        <v>423</v>
      </c>
      <c r="I26" s="57" t="s">
        <v>391</v>
      </c>
      <c r="J26" s="57" t="s">
        <v>428</v>
      </c>
      <c r="K26" s="67" t="s">
        <v>389</v>
      </c>
      <c r="L26" s="67" t="s">
        <v>425</v>
      </c>
      <c r="M26" s="67"/>
      <c r="N26" s="67" t="s">
        <v>346</v>
      </c>
      <c r="O26" s="67" t="s">
        <v>426</v>
      </c>
      <c r="P26" s="57" t="s">
        <v>176</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IF(N26="N/A – rule","N/A – RULE",IF(TRIM(U26)="N/A",IF(AT26=0,"INVALID – N/A not permitted for this mandatory check",IF(AND(TRIM(AC26)&lt;&gt;"",TRIM(AE26)&lt;&gt;"",TRIM(T26)&lt;&gt;""),"N/A – JUSTIFIED","INVALID – N/A needs justification, PIC and verifier")),IF(OR(TRIM(U26)="Pass",TRIM(U26)="Pass after CA"),IF(NOT(ISNUMBER(AD26)),"INVALID – completion time missing",IF(TRIM(T26)="","INVALID – PIC missing",IF(TRIM(Z26)="","INVALID – evidence missing",IF(TRIM(AE26)="","INVALID – verifier missing",IF(AND(AQ26=1,TRIM(W26)=""),"INVALID – batch ID missing",IF(AND(AR26=1,OR(NOT(ISNUMBER(X26)),NOT(ISNUMBER(Y26)))),"INVALID – expected/actual qty missing",IF(IF(AND(TRIM(U26)="Pass",ISNUMBER(AF26)),IF(AF26&lt;&gt;0,"INVALID – qty variance: use Fail or Pass after CA",""),"")&amp;IF(AND(TRIM(U26)="Pass",AB26="Open"),"INVALID – corrective action still open: use Fail, then Pass after CA","")&amp;IF(AND(TRIM(U26)="Pass after CA",OR(TRIM(AA26)="",AB26&lt;&gt;"Closed")),"INVALID – corrective action not recorded/closed","")&lt;&gt;"",IF(AND(TRIM(U26)="Pass",ISNUMBER(AF26)),IF(AF26&lt;&gt;0,"INVALID – qty variance: use Fail or Pass after CA",""),"")&amp;IF(AND(TRIM(U26)="Pass",AB26="Open"),"INVALID – corrective action still open: use Fail, then Pass after CA","")&amp;IF(AND(TRIM(U26)="Pass after CA",OR(TRIM(AA26)="",AB26&lt;&gt;"Closed")),"INVALID – corrective action not recorded/closed",""),IF(AND(AS26=1,Documents!$J$5&lt;&gt;"ON FILE"),"INVALID – GLD not on file (Documents sheet)",IF(AND(AS26=2,Documents!$O$5&lt;&gt;"ON FILE"),"INVALID – menu checklist not on file (Documents sheet)",IF(AND(AS26=3,NOT(ISNUMBER(Flights!$AX$5))),"INVALID – enter carrying flight KUL departure (Flights AX)",IF(AG26&gt;AsOfUTC,"INVALID – completion time is in the future",IF(AND(ISNUMBER(S26),AG26&lt;S26),IF(H26="Physical uplift","INVALID – before uplift window (cannot confirm loading)","INVALID – before valid window"),IF(AG26&gt;Flights!$AA$5,"INVALID – completed after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f>
        <v>OPEN</v>
      </c>
      <c r="AI26" s="61" t="n">
        <f aca="false">IF(OR(AH26="N/A – RULE",AH26="N/A – JUSTIFIED"),0,1)</f>
        <v>1</v>
      </c>
      <c r="AJ26" s="61" t="n">
        <f aca="false">IF(LEFT(AH26,8)="COMPLETE",1,0)</f>
        <v>0</v>
      </c>
      <c r="AK26" s="61" t="n">
        <f aca="false">IF(AND(AI26=1,AJ26=0,AsOfUTC&gt;Q26),1,0)</f>
        <v>0</v>
      </c>
      <c r="AL26" s="61" t="n">
        <f aca="false">IF(AND(AI26=1,OR(TRIM(U26)="Fail",AB26="Open",AND(ISNUMBER(AF26),AF26&lt;&gt;0,TRIM(U26)&lt;&gt;"Pass after CA"))),1,0)</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row>
    <row r="27" customFormat="false" ht="54" hidden="false" customHeight="true" outlineLevel="0" collapsed="false">
      <c r="A27" s="57" t="s">
        <v>429</v>
      </c>
      <c r="B27" s="57" t="s">
        <v>173</v>
      </c>
      <c r="C27" s="57" t="str">
        <f aca="false">Flights!$F$5</f>
        <v>MH0001</v>
      </c>
      <c r="D27" s="58" t="n">
        <f aca="false">Flights!$D$5</f>
        <v>46303</v>
      </c>
      <c r="E27" s="57" t="str">
        <f aca="false">Flights!$G$5&amp;"-"&amp;Flights!$H$5</f>
        <v>LHR-KUL</v>
      </c>
      <c r="F27" s="57" t="str">
        <f aca="false">Flights!$K$5</f>
        <v>EY</v>
      </c>
      <c r="G27" s="57" t="s">
        <v>422</v>
      </c>
      <c r="H27" s="57" t="s">
        <v>423</v>
      </c>
      <c r="I27" s="57" t="s">
        <v>403</v>
      </c>
      <c r="J27" s="57" t="s">
        <v>430</v>
      </c>
      <c r="K27" s="67" t="s">
        <v>405</v>
      </c>
      <c r="L27" s="67" t="s">
        <v>406</v>
      </c>
      <c r="M27" s="67" t="s">
        <v>176</v>
      </c>
      <c r="N27" s="67" t="s">
        <v>407</v>
      </c>
      <c r="O27" s="67" t="s">
        <v>408</v>
      </c>
      <c r="P27" s="57" t="s">
        <v>176</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IF(N27="N/A – rule","N/A – RULE",IF(TRIM(U27)="N/A",IF(AT27=0,"INVALID – N/A not permitted for this mandatory check",IF(AND(TRIM(AC27)&lt;&gt;"",TRIM(AE27)&lt;&gt;"",TRIM(T27)&lt;&gt;""),"N/A – JUSTIFIED","INVALID – N/A needs justification, PIC and verifier")),IF(OR(TRIM(U27)="Pass",TRIM(U27)="Pass after CA"),IF(NOT(ISNUMBER(AD27)),"INVALID – completion time missing",IF(TRIM(T27)="","INVALID – PIC missing",IF(TRIM(Z27)="","INVALID – evidence missing",IF(TRIM(AE27)="","INVALID – verifier missing",IF(AND(AQ27=1,TRIM(W27)=""),"INVALID – batch ID missing",IF(AND(AR27=1,OR(NOT(ISNUMBER(X27)),NOT(ISNUMBER(Y27)))),"INVALID – expected/actual qty missing",IF(IF(AND(TRIM(U27)="Pass",ISNUMBER(AF27)),IF(AF27&lt;&gt;0,"INVALID – qty variance: use Fail or Pass after CA",""),"")&amp;IF(AND(TRIM(U27)="Pass",AB27="Open"),"INVALID – corrective action still open: use Fail, then Pass after CA","")&amp;IF(AND(TRIM(U27)="Pass after CA",OR(TRIM(AA27)="",AB27&lt;&gt;"Closed")),"INVALID – corrective action not recorded/closed","")&lt;&gt;"",IF(AND(TRIM(U27)="Pass",ISNUMBER(AF27)),IF(AF27&lt;&gt;0,"INVALID – qty variance: use Fail or Pass after CA",""),"")&amp;IF(AND(TRIM(U27)="Pass",AB27="Open"),"INVALID – corrective action still open: use Fail, then Pass after CA","")&amp;IF(AND(TRIM(U27)="Pass after CA",OR(TRIM(AA27)="",AB27&lt;&gt;"Closed")),"INVALID – corrective action not recorded/closed",""),IF(AND(AS27=1,Documents!$J$5&lt;&gt;"ON FILE"),"INVALID – GLD not on file (Documents sheet)",IF(AND(AS27=2,Documents!$O$5&lt;&gt;"ON FILE"),"INVALID – menu checklist not on file (Documents sheet)",IF(AND(AS27=3,NOT(ISNUMBER(Flights!$AX$5))),"INVALID – enter carrying flight KUL departure (Flights AX)",IF(AG27&gt;AsOfUTC,"INVALID – completion time is in the future",IF(AND(ISNUMBER(S27),AG27&lt;S27),IF(H27="Physical uplift","INVALID – before uplift window (cannot confirm loading)","INVALID – before valid window"),IF(AG27&gt;Flights!$AA$5,"INVALID – completed after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f>
        <v>OPEN – CLARIFICATION</v>
      </c>
      <c r="AI27" s="61" t="n">
        <f aca="false">IF(OR(AH27="N/A – RULE",AH27="N/A – JUSTIFIED"),0,1)</f>
        <v>1</v>
      </c>
      <c r="AJ27" s="61" t="n">
        <f aca="false">IF(LEFT(AH27,8)="COMPLETE",1,0)</f>
        <v>0</v>
      </c>
      <c r="AK27" s="61" t="n">
        <f aca="false">IF(AND(AI27=1,AJ27=0,AsOfUTC&gt;Q27),1,0)</f>
        <v>0</v>
      </c>
      <c r="AL27" s="61" t="n">
        <f aca="false">IF(AND(AI27=1,OR(TRIM(U27)="Fail",AB27="Open",AND(ISNUMBER(AF27),AF27&lt;&gt;0,TRIM(U27)&lt;&gt;"Pass after CA"))),1,0)</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row>
    <row r="28" customFormat="false" ht="39.75" hidden="false" customHeight="true" outlineLevel="0" collapsed="false">
      <c r="A28" s="57" t="s">
        <v>431</v>
      </c>
      <c r="B28" s="57" t="s">
        <v>173</v>
      </c>
      <c r="C28" s="57" t="str">
        <f aca="false">Flights!$F$5</f>
        <v>MH0001</v>
      </c>
      <c r="D28" s="58" t="n">
        <f aca="false">Flights!$D$5</f>
        <v>46303</v>
      </c>
      <c r="E28" s="57" t="str">
        <f aca="false">Flights!$G$5&amp;"-"&amp;Flights!$H$5</f>
        <v>LHR-KUL</v>
      </c>
      <c r="F28" s="57" t="str">
        <f aca="false">Flights!$K$5</f>
        <v>EY</v>
      </c>
      <c r="G28" s="57" t="s">
        <v>422</v>
      </c>
      <c r="H28" s="57" t="s">
        <v>423</v>
      </c>
      <c r="I28" s="57" t="s">
        <v>410</v>
      </c>
      <c r="J28" s="57" t="s">
        <v>432</v>
      </c>
      <c r="K28" s="67" t="s">
        <v>412</v>
      </c>
      <c r="L28" s="67" t="s">
        <v>413</v>
      </c>
      <c r="M28" s="67" t="s">
        <v>414</v>
      </c>
      <c r="N28" s="67" t="s">
        <v>346</v>
      </c>
      <c r="O28" s="67"/>
      <c r="P28" s="57" t="s">
        <v>176</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IF(N28="N/A – rule","N/A – RULE",IF(TRIM(U28)="N/A",IF(AT28=0,"INVALID – N/A not permitted for this mandatory check",IF(AND(TRIM(AC28)&lt;&gt;"",TRIM(AE28)&lt;&gt;"",TRIM(T28)&lt;&gt;""),"N/A – JUSTIFIED","INVALID – N/A needs justification, PIC and verifier")),IF(OR(TRIM(U28)="Pass",TRIM(U28)="Pass after CA"),IF(NOT(ISNUMBER(AD28)),"INVALID – completion time missing",IF(TRIM(T28)="","INVALID – PIC missing",IF(TRIM(Z28)="","INVALID – evidence missing",IF(TRIM(AE28)="","INVALID – verifier missing",IF(AND(AQ28=1,TRIM(W28)=""),"INVALID – batch ID missing",IF(AND(AR28=1,OR(NOT(ISNUMBER(X28)),NOT(ISNUMBER(Y28)))),"INVALID – expected/actual qty missing",IF(IF(AND(TRIM(U28)="Pass",ISNUMBER(AF28)),IF(AF28&lt;&gt;0,"INVALID – qty variance: use Fail or Pass after CA",""),"")&amp;IF(AND(TRIM(U28)="Pass",AB28="Open"),"INVALID – corrective action still open: use Fail, then Pass after CA","")&amp;IF(AND(TRIM(U28)="Pass after CA",OR(TRIM(AA28)="",AB28&lt;&gt;"Closed")),"INVALID – corrective action not recorded/closed","")&lt;&gt;"",IF(AND(TRIM(U28)="Pass",ISNUMBER(AF28)),IF(AF28&lt;&gt;0,"INVALID – qty variance: use Fail or Pass after CA",""),"")&amp;IF(AND(TRIM(U28)="Pass",AB28="Open"),"INVALID – corrective action still open: use Fail, then Pass after CA","")&amp;IF(AND(TRIM(U28)="Pass after CA",OR(TRIM(AA28)="",AB28&lt;&gt;"Closed")),"INVALID – corrective action not recorded/closed",""),IF(AND(AS28=1,Documents!$J$5&lt;&gt;"ON FILE"),"INVALID – GLD not on file (Documents sheet)",IF(AND(AS28=2,Documents!$O$5&lt;&gt;"ON FILE"),"INVALID – menu checklist not on file (Documents sheet)",IF(AND(AS28=3,NOT(ISNUMBER(Flights!$AX$5))),"INVALID – enter carrying flight KUL departure (Flights AX)",IF(AG28&gt;AsOfUTC,"INVALID – completion time is in the future",IF(AND(ISNUMBER(S28),AG28&lt;S28),IF(H28="Physical uplift","INVALID – before uplift window (cannot confirm loading)","INVALID – before valid window"),IF(AG28&gt;Flights!$AA$5,"INVALID – completed after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f>
        <v>OPEN</v>
      </c>
      <c r="AI28" s="61" t="n">
        <f aca="false">IF(OR(AH28="N/A – RULE",AH28="N/A – JUSTIFIED"),0,1)</f>
        <v>1</v>
      </c>
      <c r="AJ28" s="61" t="n">
        <f aca="false">IF(LEFT(AH28,8)="COMPLETE",1,0)</f>
        <v>0</v>
      </c>
      <c r="AK28" s="61" t="n">
        <f aca="false">IF(AND(AI28=1,AJ28=0,AsOfUTC&gt;Q28),1,0)</f>
        <v>0</v>
      </c>
      <c r="AL28" s="61" t="n">
        <f aca="false">IF(AND(AI28=1,OR(TRIM(U28)="Fail",AB28="Open",AND(ISNUMBER(AF28),AF28&lt;&gt;0,TRIM(U28)&lt;&gt;"Pass after CA"))),1,0)</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1</v>
      </c>
    </row>
    <row r="29" customFormat="false" ht="54" hidden="false" customHeight="true" outlineLevel="0" collapsed="false">
      <c r="A29" s="57" t="s">
        <v>433</v>
      </c>
      <c r="B29" s="57" t="s">
        <v>173</v>
      </c>
      <c r="C29" s="57" t="str">
        <f aca="false">Flights!$F$5</f>
        <v>MH0001</v>
      </c>
      <c r="D29" s="58" t="n">
        <f aca="false">Flights!$D$5</f>
        <v>46303</v>
      </c>
      <c r="E29" s="57" t="str">
        <f aca="false">Flights!$G$5&amp;"-"&amp;Flights!$H$5</f>
        <v>LHR-KUL</v>
      </c>
      <c r="F29" s="57" t="str">
        <f aca="false">Flights!$K$5</f>
        <v>EY</v>
      </c>
      <c r="G29" s="57" t="s">
        <v>422</v>
      </c>
      <c r="H29" s="57" t="s">
        <v>423</v>
      </c>
      <c r="I29" s="57" t="s">
        <v>410</v>
      </c>
      <c r="J29" s="57" t="s">
        <v>434</v>
      </c>
      <c r="K29" s="67" t="s">
        <v>418</v>
      </c>
      <c r="L29" s="67" t="s">
        <v>419</v>
      </c>
      <c r="M29" s="67" t="s">
        <v>414</v>
      </c>
      <c r="N29" s="67" t="s">
        <v>346</v>
      </c>
      <c r="O29" s="67" t="s">
        <v>435</v>
      </c>
      <c r="P29" s="57" t="s">
        <v>176</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IF(N29="N/A – rule","N/A – RULE",IF(TRIM(U29)="N/A",IF(AT29=0,"INVALID – N/A not permitted for this mandatory check",IF(AND(TRIM(AC29)&lt;&gt;"",TRIM(AE29)&lt;&gt;"",TRIM(T29)&lt;&gt;""),"N/A – JUSTIFIED","INVALID – N/A needs justification, PIC and verifier")),IF(OR(TRIM(U29)="Pass",TRIM(U29)="Pass after CA"),IF(NOT(ISNUMBER(AD29)),"INVALID – completion time missing",IF(TRIM(T29)="","INVALID – PIC missing",IF(TRIM(Z29)="","INVALID – evidence missing",IF(TRIM(AE29)="","INVALID – verifier missing",IF(AND(AQ29=1,TRIM(W29)=""),"INVALID – batch ID missing",IF(AND(AR29=1,OR(NOT(ISNUMBER(X29)),NOT(ISNUMBER(Y29)))),"INVALID – expected/actual qty missing",IF(IF(AND(TRIM(U29)="Pass",ISNUMBER(AF29)),IF(AF29&lt;&gt;0,"INVALID – qty variance: use Fail or Pass after CA",""),"")&amp;IF(AND(TRIM(U29)="Pass",AB29="Open"),"INVALID – corrective action still open: use Fail, then Pass after CA","")&amp;IF(AND(TRIM(U29)="Pass after CA",OR(TRIM(AA29)="",AB29&lt;&gt;"Closed")),"INVALID – corrective action not recorded/closed","")&lt;&gt;"",IF(AND(TRIM(U29)="Pass",ISNUMBER(AF29)),IF(AF29&lt;&gt;0,"INVALID – qty variance: use Fail or Pass after CA",""),"")&amp;IF(AND(TRIM(U29)="Pass",AB29="Open"),"INVALID – corrective action still open: use Fail, then Pass after CA","")&amp;IF(AND(TRIM(U29)="Pass after CA",OR(TRIM(AA29)="",AB29&lt;&gt;"Closed")),"INVALID – corrective action not recorded/closed",""),IF(AND(AS29=1,Documents!$J$5&lt;&gt;"ON FILE"),"INVALID – GLD not on file (Documents sheet)",IF(AND(AS29=2,Documents!$O$5&lt;&gt;"ON FILE"),"INVALID – menu checklist not on file (Documents sheet)",IF(AND(AS29=3,NOT(ISNUMBER(Flights!$AX$5))),"INVALID – enter carrying flight KUL departure (Flights AX)",IF(AG29&gt;AsOfUTC,"INVALID – completion time is in the future",IF(AND(ISNUMBER(S29),AG29&lt;S29),IF(H29="Physical uplift","INVALID – before uplift window (cannot confirm loading)","INVALID – before valid window"),IF(AG29&gt;Flights!$AA$5,"INVALID – completed after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f>
        <v>OPEN</v>
      </c>
      <c r="AI29" s="61" t="n">
        <f aca="false">IF(OR(AH29="N/A – RULE",AH29="N/A – JUSTIFIED"),0,1)</f>
        <v>1</v>
      </c>
      <c r="AJ29" s="61" t="n">
        <f aca="false">IF(LEFT(AH29,8)="COMPLETE",1,0)</f>
        <v>0</v>
      </c>
      <c r="AK29" s="61" t="n">
        <f aca="false">IF(AND(AI29=1,AJ29=0,AsOfUTC&gt;Q29),1,0)</f>
        <v>0</v>
      </c>
      <c r="AL29" s="61" t="n">
        <f aca="false">IF(AND(AI29=1,OR(TRIM(U29)="Fail",AB29="Open",AND(ISNUMBER(AF29),AF29&lt;&gt;0,TRIM(U29)&lt;&gt;"Pass after CA"))),1,0)</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1</v>
      </c>
    </row>
    <row r="30" customFormat="false" ht="39.75" hidden="false" customHeight="true" outlineLevel="0" collapsed="false">
      <c r="A30" s="57" t="s">
        <v>436</v>
      </c>
      <c r="B30" s="57" t="s">
        <v>188</v>
      </c>
      <c r="C30" s="57" t="str">
        <f aca="false">Flights!$F$6</f>
        <v>MH0727</v>
      </c>
      <c r="D30" s="58" t="n">
        <f aca="false">Flights!$D$6</f>
        <v>46304</v>
      </c>
      <c r="E30" s="57" t="str">
        <f aca="false">Flights!$G$6&amp;"-"&amp;Flights!$H$6</f>
        <v>KUL-CGK</v>
      </c>
      <c r="F30" s="57" t="str">
        <f aca="false">Flights!$K$6</f>
        <v>BC</v>
      </c>
      <c r="G30" s="57" t="s">
        <v>74</v>
      </c>
      <c r="H30" s="57" t="s">
        <v>341</v>
      </c>
      <c r="I30" s="57" t="s">
        <v>342</v>
      </c>
      <c r="J30" s="57" t="s">
        <v>343</v>
      </c>
      <c r="K30" s="67" t="s">
        <v>344</v>
      </c>
      <c r="L30" s="67" t="s">
        <v>345</v>
      </c>
      <c r="M30" s="67"/>
      <c r="N30" s="67" t="s">
        <v>346</v>
      </c>
      <c r="O30" s="67"/>
      <c r="P30" s="57" t="s">
        <v>177</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IF(N30="N/A – rule","N/A – RULE",IF(TRIM(U30)="N/A",IF(AT30=0,"INVALID – N/A not permitted for this mandatory check",IF(AND(TRIM(AC30)&lt;&gt;"",TRIM(AE30)&lt;&gt;"",TRIM(T30)&lt;&gt;""),"N/A – JUSTIFIED","INVALID – N/A needs justification, PIC and verifier")),IF(OR(TRIM(U30)="Pass",TRIM(U30)="Pass after CA"),IF(NOT(ISNUMBER(AD30)),"INVALID – completion time missing",IF(TRIM(T30)="","INVALID – PIC missing",IF(TRIM(Z30)="","INVALID – evidence missing",IF(TRIM(AE30)="","INVALID – verifier missing",IF(AND(AQ30=1,TRIM(W30)=""),"INVALID – batch ID missing",IF(AND(AR30=1,OR(NOT(ISNUMBER(X30)),NOT(ISNUMBER(Y30)))),"INVALID – expected/actual qty missing",IF(IF(AND(TRIM(U30)="Pass",ISNUMBER(AF30)),IF(AF30&lt;&gt;0,"INVALID – qty variance: use Fail or Pass after CA",""),"")&amp;IF(AND(TRIM(U30)="Pass",AB30="Open"),"INVALID – corrective action still open: use Fail, then Pass after CA","")&amp;IF(AND(TRIM(U30)="Pass after CA",OR(TRIM(AA30)="",AB30&lt;&gt;"Closed")),"INVALID – corrective action not recorded/closed","")&lt;&gt;"",IF(AND(TRIM(U30)="Pass",ISNUMBER(AF30)),IF(AF30&lt;&gt;0,"INVALID – qty variance: use Fail or Pass after CA",""),"")&amp;IF(AND(TRIM(U30)="Pass",AB30="Open"),"INVALID – corrective action still open: use Fail, then Pass after CA","")&amp;IF(AND(TRIM(U30)="Pass after CA",OR(TRIM(AA30)="",AB30&lt;&gt;"Closed")),"INVALID – corrective action not recorded/closed",""),IF(AND(AS30=1,Documents!$J$6&lt;&gt;"ON FILE"),"INVALID – GLD not on file (Documents sheet)",IF(AND(AS30=2,Documents!$O$6&lt;&gt;"ON FILE"),"INVALID – menu checklist not on file (Documents sheet)",IF(AND(AS30=3,NOT(ISNUMBER(Flights!$AX$6))),"INVALID – enter carrying flight KUL departure (Flights AX)",IF(AG30&gt;AsOfUTC,"INVALID – completion time is in the future",IF(AND(ISNUMBER(S30),AG30&lt;S30),IF(H30="Physical uplift","INVALID – before uplift window (cannot confirm loading)","INVALID – before valid window"),IF(AG30&gt;Flights!$AA$6,"INVALID – completed after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f>
        <v>OPEN</v>
      </c>
      <c r="AI30" s="61" t="n">
        <f aca="false">IF(OR(AH30="N/A – RULE",AH30="N/A – JUSTIFIED"),0,1)</f>
        <v>1</v>
      </c>
      <c r="AJ30" s="61" t="n">
        <f aca="false">IF(LEFT(AH30,8)="COMPLETE",1,0)</f>
        <v>0</v>
      </c>
      <c r="AK30" s="61" t="n">
        <f aca="false">IF(AND(AI30=1,AJ30=0,AsOfUTC&gt;Q30),1,0)</f>
        <v>0</v>
      </c>
      <c r="AL30" s="61" t="n">
        <f aca="false">IF(AND(AI30=1,OR(TRIM(U30)="Fail",AB30="Open",AND(ISNUMBER(AF30),AF30&lt;&gt;0,TRIM(U30)&lt;&gt;"Pass after CA"))),1,0)</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row>
    <row r="31" customFormat="false" ht="39.75" hidden="false" customHeight="true" outlineLevel="0" collapsed="false">
      <c r="A31" s="57" t="s">
        <v>437</v>
      </c>
      <c r="B31" s="57" t="s">
        <v>188</v>
      </c>
      <c r="C31" s="57" t="str">
        <f aca="false">Flights!$F$6</f>
        <v>MH0727</v>
      </c>
      <c r="D31" s="58" t="n">
        <f aca="false">Flights!$D$6</f>
        <v>46304</v>
      </c>
      <c r="E31" s="57" t="str">
        <f aca="false">Flights!$G$6&amp;"-"&amp;Flights!$H$6</f>
        <v>KUL-CGK</v>
      </c>
      <c r="F31" s="57" t="str">
        <f aca="false">Flights!$K$6</f>
        <v>BC</v>
      </c>
      <c r="G31" s="57" t="s">
        <v>74</v>
      </c>
      <c r="H31" s="57" t="s">
        <v>341</v>
      </c>
      <c r="I31" s="57" t="s">
        <v>348</v>
      </c>
      <c r="J31" s="57" t="s">
        <v>349</v>
      </c>
      <c r="K31" s="67" t="s">
        <v>350</v>
      </c>
      <c r="L31" s="67" t="s">
        <v>345</v>
      </c>
      <c r="M31" s="67"/>
      <c r="N31" s="67" t="s">
        <v>346</v>
      </c>
      <c r="O31" s="67"/>
      <c r="P31" s="57" t="s">
        <v>177</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IF(N31="N/A – rule","N/A – RULE",IF(TRIM(U31)="N/A",IF(AT31=0,"INVALID – N/A not permitted for this mandatory check",IF(AND(TRIM(AC31)&lt;&gt;"",TRIM(AE31)&lt;&gt;"",TRIM(T31)&lt;&gt;""),"N/A – JUSTIFIED","INVALID – N/A needs justification, PIC and verifier")),IF(OR(TRIM(U31)="Pass",TRIM(U31)="Pass after CA"),IF(NOT(ISNUMBER(AD31)),"INVALID – completion time missing",IF(TRIM(T31)="","INVALID – PIC missing",IF(TRIM(Z31)="","INVALID – evidence missing",IF(TRIM(AE31)="","INVALID – verifier missing",IF(AND(AQ31=1,TRIM(W31)=""),"INVALID – batch ID missing",IF(AND(AR31=1,OR(NOT(ISNUMBER(X31)),NOT(ISNUMBER(Y31)))),"INVALID – expected/actual qty missing",IF(IF(AND(TRIM(U31)="Pass",ISNUMBER(AF31)),IF(AF31&lt;&gt;0,"INVALID – qty variance: use Fail or Pass after CA",""),"")&amp;IF(AND(TRIM(U31)="Pass",AB31="Open"),"INVALID – corrective action still open: use Fail, then Pass after CA","")&amp;IF(AND(TRIM(U31)="Pass after CA",OR(TRIM(AA31)="",AB31&lt;&gt;"Closed")),"INVALID – corrective action not recorded/closed","")&lt;&gt;"",IF(AND(TRIM(U31)="Pass",ISNUMBER(AF31)),IF(AF31&lt;&gt;0,"INVALID – qty variance: use Fail or Pass after CA",""),"")&amp;IF(AND(TRIM(U31)="Pass",AB31="Open"),"INVALID – corrective action still open: use Fail, then Pass after CA","")&amp;IF(AND(TRIM(U31)="Pass after CA",OR(TRIM(AA31)="",AB31&lt;&gt;"Closed")),"INVALID – corrective action not recorded/closed",""),IF(AND(AS31=1,Documents!$J$6&lt;&gt;"ON FILE"),"INVALID – GLD not on file (Documents sheet)",IF(AND(AS31=2,Documents!$O$6&lt;&gt;"ON FILE"),"INVALID – menu checklist not on file (Documents sheet)",IF(AND(AS31=3,NOT(ISNUMBER(Flights!$AX$6))),"INVALID – enter carrying flight KUL departure (Flights AX)",IF(AG31&gt;AsOfUTC,"INVALID – completion time is in the future",IF(AND(ISNUMBER(S31),AG31&lt;S31),IF(H31="Physical uplift","INVALID – before uplift window (cannot confirm loading)","INVALID – before valid window"),IF(AG31&gt;Flights!$AA$6,"INVALID – completed after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f>
        <v>OPEN</v>
      </c>
      <c r="AI31" s="61" t="n">
        <f aca="false">IF(OR(AH31="N/A – RULE",AH31="N/A – JUSTIFIED"),0,1)</f>
        <v>1</v>
      </c>
      <c r="AJ31" s="61" t="n">
        <f aca="false">IF(LEFT(AH31,8)="COMPLETE",1,0)</f>
        <v>0</v>
      </c>
      <c r="AK31" s="61" t="n">
        <f aca="false">IF(AND(AI31=1,AJ31=0,AsOfUTC&gt;Q31),1,0)</f>
        <v>0</v>
      </c>
      <c r="AL31" s="61" t="n">
        <f aca="false">IF(AND(AI31=1,OR(TRIM(U31)="Fail",AB31="Open",AND(ISNUMBER(AF31),AF31&lt;&gt;0,TRIM(U31)&lt;&gt;"Pass after CA"))),1,0)</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1</v>
      </c>
    </row>
    <row r="32" customFormat="false" ht="41.25" hidden="false" customHeight="true" outlineLevel="0" collapsed="false">
      <c r="A32" s="57" t="s">
        <v>438</v>
      </c>
      <c r="B32" s="57" t="s">
        <v>188</v>
      </c>
      <c r="C32" s="57" t="str">
        <f aca="false">Flights!$F$6</f>
        <v>MH0727</v>
      </c>
      <c r="D32" s="58" t="n">
        <f aca="false">Flights!$D$6</f>
        <v>46304</v>
      </c>
      <c r="E32" s="57" t="str">
        <f aca="false">Flights!$G$6&amp;"-"&amp;Flights!$H$6</f>
        <v>KUL-CGK</v>
      </c>
      <c r="F32" s="57" t="str">
        <f aca="false">Flights!$K$6</f>
        <v>BC</v>
      </c>
      <c r="G32" s="57" t="s">
        <v>74</v>
      </c>
      <c r="H32" s="57" t="s">
        <v>341</v>
      </c>
      <c r="I32" s="57" t="s">
        <v>352</v>
      </c>
      <c r="J32" s="57" t="s">
        <v>353</v>
      </c>
      <c r="K32" s="67" t="s">
        <v>354</v>
      </c>
      <c r="L32" s="67" t="s">
        <v>345</v>
      </c>
      <c r="M32" s="67"/>
      <c r="N32" s="67" t="str">
        <f aca="false">IF(TRIM(Flights!$L$6)="A339","Required","N/A – rule")</f>
        <v>N/A – rule</v>
      </c>
      <c r="O32" s="67" t="s">
        <v>355</v>
      </c>
      <c r="P32" s="57" t="s">
        <v>177</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IF(N32="N/A – rule","N/A – RULE",IF(TRIM(U32)="N/A",IF(AT32=0,"INVALID – N/A not permitted for this mandatory check",IF(AND(TRIM(AC32)&lt;&gt;"",TRIM(AE32)&lt;&gt;"",TRIM(T32)&lt;&gt;""),"N/A – JUSTIFIED","INVALID – N/A needs justification, PIC and verifier")),IF(OR(TRIM(U32)="Pass",TRIM(U32)="Pass after CA"),IF(NOT(ISNUMBER(AD32)),"INVALID – completion time missing",IF(TRIM(T32)="","INVALID – PIC missing",IF(TRIM(Z32)="","INVALID – evidence missing",IF(TRIM(AE32)="","INVALID – verifier missing",IF(AND(AQ32=1,TRIM(W32)=""),"INVALID – batch ID missing",IF(AND(AR32=1,OR(NOT(ISNUMBER(X32)),NOT(ISNUMBER(Y32)))),"INVALID – expected/actual qty missing",IF(IF(AND(TRIM(U32)="Pass",ISNUMBER(AF32)),IF(AF32&lt;&gt;0,"INVALID – qty variance: use Fail or Pass after CA",""),"")&amp;IF(AND(TRIM(U32)="Pass",AB32="Open"),"INVALID – corrective action still open: use Fail, then Pass after CA","")&amp;IF(AND(TRIM(U32)="Pass after CA",OR(TRIM(AA32)="",AB32&lt;&gt;"Closed")),"INVALID – corrective action not recorded/closed","")&lt;&gt;"",IF(AND(TRIM(U32)="Pass",ISNUMBER(AF32)),IF(AF32&lt;&gt;0,"INVALID – qty variance: use Fail or Pass after CA",""),"")&amp;IF(AND(TRIM(U32)="Pass",AB32="Open"),"INVALID – corrective action still open: use Fail, then Pass after CA","")&amp;IF(AND(TRIM(U32)="Pass after CA",OR(TRIM(AA32)="",AB32&lt;&gt;"Closed")),"INVALID – corrective action not recorded/closed",""),IF(AND(AS32=1,Documents!$J$6&lt;&gt;"ON FILE"),"INVALID – GLD not on file (Documents sheet)",IF(AND(AS32=2,Documents!$O$6&lt;&gt;"ON FILE"),"INVALID – menu checklist not on file (Documents sheet)",IF(AND(AS32=3,NOT(ISNUMBER(Flights!$AX$6))),"INVALID – enter carrying flight KUL departure (Flights AX)",IF(AG32&gt;AsOfUTC,"INVALID – completion time is in the future",IF(AND(ISNUMBER(S32),AG32&lt;S32),IF(H32="Physical uplift","INVALID – before uplift window (cannot confirm loading)","INVALID – before valid window"),IF(AG32&gt;Flights!$AA$6,"INVALID – completed after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f>
        <v>N/A – RULE</v>
      </c>
      <c r="AI32" s="61" t="n">
        <f aca="false">IF(OR(AH32="N/A – RULE",AH32="N/A – JUSTIFIED"),0,1)</f>
        <v>0</v>
      </c>
      <c r="AJ32" s="61" t="n">
        <f aca="false">IF(LEFT(AH32,8)="COMPLETE",1,0)</f>
        <v>0</v>
      </c>
      <c r="AK32" s="61" t="n">
        <f aca="false">IF(AND(AI32=1,AJ32=0,AsOfUTC&gt;Q32),1,0)</f>
        <v>0</v>
      </c>
      <c r="AL32" s="61" t="n">
        <f aca="false">IF(AND(AI32=1,OR(TRIM(U32)="Fail",AB32="Open",AND(ISNUMBER(AF32),AF32&lt;&gt;0,TRIM(U32)&lt;&gt;"Pass after CA"))),1,0)</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row>
    <row r="33" customFormat="false" ht="39.75" hidden="false" customHeight="true" outlineLevel="0" collapsed="false">
      <c r="A33" s="57" t="s">
        <v>439</v>
      </c>
      <c r="B33" s="57" t="s">
        <v>188</v>
      </c>
      <c r="C33" s="57" t="str">
        <f aca="false">Flights!$F$6</f>
        <v>MH0727</v>
      </c>
      <c r="D33" s="58" t="n">
        <f aca="false">Flights!$D$6</f>
        <v>46304</v>
      </c>
      <c r="E33" s="57" t="str">
        <f aca="false">Flights!$G$6&amp;"-"&amp;Flights!$H$6</f>
        <v>KUL-CGK</v>
      </c>
      <c r="F33" s="57" t="str">
        <f aca="false">Flights!$K$6</f>
        <v>BC</v>
      </c>
      <c r="G33" s="57" t="s">
        <v>74</v>
      </c>
      <c r="H33" s="57" t="s">
        <v>341</v>
      </c>
      <c r="I33" s="57" t="s">
        <v>357</v>
      </c>
      <c r="J33" s="57" t="s">
        <v>358</v>
      </c>
      <c r="K33" s="67" t="s">
        <v>359</v>
      </c>
      <c r="L33" s="67" t="s">
        <v>345</v>
      </c>
      <c r="M33" s="67"/>
      <c r="N33" s="67" t="s">
        <v>346</v>
      </c>
      <c r="O33" s="67"/>
      <c r="P33" s="57" t="s">
        <v>177</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IF(N33="N/A – rule","N/A – RULE",IF(TRIM(U33)="N/A",IF(AT33=0,"INVALID – N/A not permitted for this mandatory check",IF(AND(TRIM(AC33)&lt;&gt;"",TRIM(AE33)&lt;&gt;"",TRIM(T33)&lt;&gt;""),"N/A – JUSTIFIED","INVALID – N/A needs justification, PIC and verifier")),IF(OR(TRIM(U33)="Pass",TRIM(U33)="Pass after CA"),IF(NOT(ISNUMBER(AD33)),"INVALID – completion time missing",IF(TRIM(T33)="","INVALID – PIC missing",IF(TRIM(Z33)="","INVALID – evidence missing",IF(TRIM(AE33)="","INVALID – verifier missing",IF(AND(AQ33=1,TRIM(W33)=""),"INVALID – batch ID missing",IF(AND(AR33=1,OR(NOT(ISNUMBER(X33)),NOT(ISNUMBER(Y33)))),"INVALID – expected/actual qty missing",IF(IF(AND(TRIM(U33)="Pass",ISNUMBER(AF33)),IF(AF33&lt;&gt;0,"INVALID – qty variance: use Fail or Pass after CA",""),"")&amp;IF(AND(TRIM(U33)="Pass",AB33="Open"),"INVALID – corrective action still open: use Fail, then Pass after CA","")&amp;IF(AND(TRIM(U33)="Pass after CA",OR(TRIM(AA33)="",AB33&lt;&gt;"Closed")),"INVALID – corrective action not recorded/closed","")&lt;&gt;"",IF(AND(TRIM(U33)="Pass",ISNUMBER(AF33)),IF(AF33&lt;&gt;0,"INVALID – qty variance: use Fail or Pass after CA",""),"")&amp;IF(AND(TRIM(U33)="Pass",AB33="Open"),"INVALID – corrective action still open: use Fail, then Pass after CA","")&amp;IF(AND(TRIM(U33)="Pass after CA",OR(TRIM(AA33)="",AB33&lt;&gt;"Closed")),"INVALID – corrective action not recorded/closed",""),IF(AND(AS33=1,Documents!$J$6&lt;&gt;"ON FILE"),"INVALID – GLD not on file (Documents sheet)",IF(AND(AS33=2,Documents!$O$6&lt;&gt;"ON FILE"),"INVALID – menu checklist not on file (Documents sheet)",IF(AND(AS33=3,NOT(ISNUMBER(Flights!$AX$6))),"INVALID – enter carrying flight KUL departure (Flights AX)",IF(AG33&gt;AsOfUTC,"INVALID – completion time is in the future",IF(AND(ISNUMBER(S33),AG33&lt;S33),IF(H33="Physical uplift","INVALID – before uplift window (cannot confirm loading)","INVALID – before valid window"),IF(AG33&gt;Flights!$AA$6,"INVALID – completed after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f>
        <v>OPEN</v>
      </c>
      <c r="AI33" s="61" t="n">
        <f aca="false">IF(OR(AH33="N/A – RULE",AH33="N/A – JUSTIFIED"),0,1)</f>
        <v>1</v>
      </c>
      <c r="AJ33" s="61" t="n">
        <f aca="false">IF(LEFT(AH33,8)="COMPLETE",1,0)</f>
        <v>0</v>
      </c>
      <c r="AK33" s="61" t="n">
        <f aca="false">IF(AND(AI33=1,AJ33=0,AsOfUTC&gt;Q33),1,0)</f>
        <v>0</v>
      </c>
      <c r="AL33" s="61" t="n">
        <f aca="false">IF(AND(AI33=1,OR(TRIM(U33)="Fail",AB33="Open",AND(ISNUMBER(AF33),AF33&lt;&gt;0,TRIM(U33)&lt;&gt;"Pass after CA"))),1,0)</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row>
    <row r="34" customFormat="false" ht="39.75" hidden="false" customHeight="true" outlineLevel="0" collapsed="false">
      <c r="A34" s="57" t="s">
        <v>440</v>
      </c>
      <c r="B34" s="57" t="s">
        <v>188</v>
      </c>
      <c r="C34" s="57" t="str">
        <f aca="false">Flights!$F$6</f>
        <v>MH0727</v>
      </c>
      <c r="D34" s="58" t="n">
        <f aca="false">Flights!$D$6</f>
        <v>46304</v>
      </c>
      <c r="E34" s="57" t="str">
        <f aca="false">Flights!$G$6&amp;"-"&amp;Flights!$H$6</f>
        <v>KUL-CGK</v>
      </c>
      <c r="F34" s="57" t="str">
        <f aca="false">Flights!$K$6</f>
        <v>BC</v>
      </c>
      <c r="G34" s="57" t="s">
        <v>74</v>
      </c>
      <c r="H34" s="57" t="s">
        <v>341</v>
      </c>
      <c r="I34" s="57" t="s">
        <v>361</v>
      </c>
      <c r="J34" s="57" t="s">
        <v>362</v>
      </c>
      <c r="K34" s="67" t="s">
        <v>363</v>
      </c>
      <c r="L34" s="67" t="s">
        <v>345</v>
      </c>
      <c r="M34" s="67"/>
      <c r="N34" s="67" t="s">
        <v>346</v>
      </c>
      <c r="O34" s="67"/>
      <c r="P34" s="57" t="s">
        <v>177</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IF(N34="N/A – rule","N/A – RULE",IF(TRIM(U34)="N/A",IF(AT34=0,"INVALID – N/A not permitted for this mandatory check",IF(AND(TRIM(AC34)&lt;&gt;"",TRIM(AE34)&lt;&gt;"",TRIM(T34)&lt;&gt;""),"N/A – JUSTIFIED","INVALID – N/A needs justification, PIC and verifier")),IF(OR(TRIM(U34)="Pass",TRIM(U34)="Pass after CA"),IF(NOT(ISNUMBER(AD34)),"INVALID – completion time missing",IF(TRIM(T34)="","INVALID – PIC missing",IF(TRIM(Z34)="","INVALID – evidence missing",IF(TRIM(AE34)="","INVALID – verifier missing",IF(AND(AQ34=1,TRIM(W34)=""),"INVALID – batch ID missing",IF(AND(AR34=1,OR(NOT(ISNUMBER(X34)),NOT(ISNUMBER(Y34)))),"INVALID – expected/actual qty missing",IF(IF(AND(TRIM(U34)="Pass",ISNUMBER(AF34)),IF(AF34&lt;&gt;0,"INVALID – qty variance: use Fail or Pass after CA",""),"")&amp;IF(AND(TRIM(U34)="Pass",AB34="Open"),"INVALID – corrective action still open: use Fail, then Pass after CA","")&amp;IF(AND(TRIM(U34)="Pass after CA",OR(TRIM(AA34)="",AB34&lt;&gt;"Closed")),"INVALID – corrective action not recorded/closed","")&lt;&gt;"",IF(AND(TRIM(U34)="Pass",ISNUMBER(AF34)),IF(AF34&lt;&gt;0,"INVALID – qty variance: use Fail or Pass after CA",""),"")&amp;IF(AND(TRIM(U34)="Pass",AB34="Open"),"INVALID – corrective action still open: use Fail, then Pass after CA","")&amp;IF(AND(TRIM(U34)="Pass after CA",OR(TRIM(AA34)="",AB34&lt;&gt;"Closed")),"INVALID – corrective action not recorded/closed",""),IF(AND(AS34=1,Documents!$J$6&lt;&gt;"ON FILE"),"INVALID – GLD not on file (Documents sheet)",IF(AND(AS34=2,Documents!$O$6&lt;&gt;"ON FILE"),"INVALID – menu checklist not on file (Documents sheet)",IF(AND(AS34=3,NOT(ISNUMBER(Flights!$AX$6))),"INVALID – enter carrying flight KUL departure (Flights AX)",IF(AG34&gt;AsOfUTC,"INVALID – completion time is in the future",IF(AND(ISNUMBER(S34),AG34&lt;S34),IF(H34="Physical uplift","INVALID – before uplift window (cannot confirm loading)","INVALID – before valid window"),IF(AG34&gt;Flights!$AA$6,"INVALID – completed after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f>
        <v>OPEN</v>
      </c>
      <c r="AI34" s="61" t="n">
        <f aca="false">IF(OR(AH34="N/A – RULE",AH34="N/A – JUSTIFIED"),0,1)</f>
        <v>1</v>
      </c>
      <c r="AJ34" s="61" t="n">
        <f aca="false">IF(LEFT(AH34,8)="COMPLETE",1,0)</f>
        <v>0</v>
      </c>
      <c r="AK34" s="61" t="n">
        <f aca="false">IF(AND(AI34=1,AJ34=0,AsOfUTC&gt;Q34),1,0)</f>
        <v>0</v>
      </c>
      <c r="AL34" s="61" t="n">
        <f aca="false">IF(AND(AI34=1,OR(TRIM(U34)="Fail",AB34="Open",AND(ISNUMBER(AF34),AF34&lt;&gt;0,TRIM(U34)&lt;&gt;"Pass after CA"))),1,0)</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row>
    <row r="35" customFormat="false" ht="39.75" hidden="false" customHeight="true" outlineLevel="0" collapsed="false">
      <c r="A35" s="57" t="s">
        <v>441</v>
      </c>
      <c r="B35" s="57" t="s">
        <v>188</v>
      </c>
      <c r="C35" s="57" t="str">
        <f aca="false">Flights!$F$6</f>
        <v>MH0727</v>
      </c>
      <c r="D35" s="58" t="n">
        <f aca="false">Flights!$D$6</f>
        <v>46304</v>
      </c>
      <c r="E35" s="57" t="str">
        <f aca="false">Flights!$G$6&amp;"-"&amp;Flights!$H$6</f>
        <v>KUL-CGK</v>
      </c>
      <c r="F35" s="57" t="str">
        <f aca="false">Flights!$K$6</f>
        <v>BC</v>
      </c>
      <c r="G35" s="57" t="s">
        <v>74</v>
      </c>
      <c r="H35" s="57" t="s">
        <v>341</v>
      </c>
      <c r="I35" s="57" t="s">
        <v>361</v>
      </c>
      <c r="J35" s="57" t="s">
        <v>365</v>
      </c>
      <c r="K35" s="67" t="s">
        <v>366</v>
      </c>
      <c r="L35" s="67" t="s">
        <v>345</v>
      </c>
      <c r="M35" s="67"/>
      <c r="N35" s="67" t="s">
        <v>346</v>
      </c>
      <c r="O35" s="67"/>
      <c r="P35" s="57" t="s">
        <v>177</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IF(N35="N/A – rule","N/A – RULE",IF(TRIM(U35)="N/A",IF(AT35=0,"INVALID – N/A not permitted for this mandatory check",IF(AND(TRIM(AC35)&lt;&gt;"",TRIM(AE35)&lt;&gt;"",TRIM(T35)&lt;&gt;""),"N/A – JUSTIFIED","INVALID – N/A needs justification, PIC and verifier")),IF(OR(TRIM(U35)="Pass",TRIM(U35)="Pass after CA"),IF(NOT(ISNUMBER(AD35)),"INVALID – completion time missing",IF(TRIM(T35)="","INVALID – PIC missing",IF(TRIM(Z35)="","INVALID – evidence missing",IF(TRIM(AE35)="","INVALID – verifier missing",IF(AND(AQ35=1,TRIM(W35)=""),"INVALID – batch ID missing",IF(AND(AR35=1,OR(NOT(ISNUMBER(X35)),NOT(ISNUMBER(Y35)))),"INVALID – expected/actual qty missing",IF(IF(AND(TRIM(U35)="Pass",ISNUMBER(AF35)),IF(AF35&lt;&gt;0,"INVALID – qty variance: use Fail or Pass after CA",""),"")&amp;IF(AND(TRIM(U35)="Pass",AB35="Open"),"INVALID – corrective action still open: use Fail, then Pass after CA","")&amp;IF(AND(TRIM(U35)="Pass after CA",OR(TRIM(AA35)="",AB35&lt;&gt;"Closed")),"INVALID – corrective action not recorded/closed","")&lt;&gt;"",IF(AND(TRIM(U35)="Pass",ISNUMBER(AF35)),IF(AF35&lt;&gt;0,"INVALID – qty variance: use Fail or Pass after CA",""),"")&amp;IF(AND(TRIM(U35)="Pass",AB35="Open"),"INVALID – corrective action still open: use Fail, then Pass after CA","")&amp;IF(AND(TRIM(U35)="Pass after CA",OR(TRIM(AA35)="",AB35&lt;&gt;"Closed")),"INVALID – corrective action not recorded/closed",""),IF(AND(AS35=1,Documents!$J$6&lt;&gt;"ON FILE"),"INVALID – GLD not on file (Documents sheet)",IF(AND(AS35=2,Documents!$O$6&lt;&gt;"ON FILE"),"INVALID – menu checklist not on file (Documents sheet)",IF(AND(AS35=3,NOT(ISNUMBER(Flights!$AX$6))),"INVALID – enter carrying flight KUL departure (Flights AX)",IF(AG35&gt;AsOfUTC,"INVALID – completion time is in the future",IF(AND(ISNUMBER(S35),AG35&lt;S35),IF(H35="Physical uplift","INVALID – before uplift window (cannot confirm loading)","INVALID – before valid window"),IF(AG35&gt;Flights!$AA$6,"INVALID – completed after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f>
        <v>OPEN</v>
      </c>
      <c r="AI35" s="61" t="n">
        <f aca="false">IF(OR(AH35="N/A – RULE",AH35="N/A – JUSTIFIED"),0,1)</f>
        <v>1</v>
      </c>
      <c r="AJ35" s="61" t="n">
        <f aca="false">IF(LEFT(AH35,8)="COMPLETE",1,0)</f>
        <v>0</v>
      </c>
      <c r="AK35" s="61" t="n">
        <f aca="false">IF(AND(AI35=1,AJ35=0,AsOfUTC&gt;Q35),1,0)</f>
        <v>0</v>
      </c>
      <c r="AL35" s="61" t="n">
        <f aca="false">IF(AND(AI35=1,OR(TRIM(U35)="Fail",AB35="Open",AND(ISNUMBER(AF35),AF35&lt;&gt;0,TRIM(U35)&lt;&gt;"Pass after CA"))),1,0)</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row>
    <row r="36" customFormat="false" ht="39.75" hidden="false" customHeight="true" outlineLevel="0" collapsed="false">
      <c r="A36" s="57" t="s">
        <v>442</v>
      </c>
      <c r="B36" s="57" t="s">
        <v>188</v>
      </c>
      <c r="C36" s="57" t="str">
        <f aca="false">Flights!$F$6</f>
        <v>MH0727</v>
      </c>
      <c r="D36" s="58" t="n">
        <f aca="false">Flights!$D$6</f>
        <v>46304</v>
      </c>
      <c r="E36" s="57" t="str">
        <f aca="false">Flights!$G$6&amp;"-"&amp;Flights!$H$6</f>
        <v>KUL-CGK</v>
      </c>
      <c r="F36" s="57" t="str">
        <f aca="false">Flights!$K$6</f>
        <v>BC</v>
      </c>
      <c r="G36" s="57" t="s">
        <v>74</v>
      </c>
      <c r="H36" s="57" t="s">
        <v>341</v>
      </c>
      <c r="I36" s="57" t="s">
        <v>368</v>
      </c>
      <c r="J36" s="57" t="s">
        <v>369</v>
      </c>
      <c r="K36" s="67" t="s">
        <v>370</v>
      </c>
      <c r="L36" s="67" t="s">
        <v>345</v>
      </c>
      <c r="M36" s="67"/>
      <c r="N36" s="67" t="s">
        <v>346</v>
      </c>
      <c r="O36" s="67"/>
      <c r="P36" s="57" t="s">
        <v>177</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IF(N36="N/A – rule","N/A – RULE",IF(TRIM(U36)="N/A",IF(AT36=0,"INVALID – N/A not permitted for this mandatory check",IF(AND(TRIM(AC36)&lt;&gt;"",TRIM(AE36)&lt;&gt;"",TRIM(T36)&lt;&gt;""),"N/A – JUSTIFIED","INVALID – N/A needs justification, PIC and verifier")),IF(OR(TRIM(U36)="Pass",TRIM(U36)="Pass after CA"),IF(NOT(ISNUMBER(AD36)),"INVALID – completion time missing",IF(TRIM(T36)="","INVALID – PIC missing",IF(TRIM(Z36)="","INVALID – evidence missing",IF(TRIM(AE36)="","INVALID – verifier missing",IF(AND(AQ36=1,TRIM(W36)=""),"INVALID – batch ID missing",IF(AND(AR36=1,OR(NOT(ISNUMBER(X36)),NOT(ISNUMBER(Y36)))),"INVALID – expected/actual qty missing",IF(IF(AND(TRIM(U36)="Pass",ISNUMBER(AF36)),IF(AF36&lt;&gt;0,"INVALID – qty variance: use Fail or Pass after CA",""),"")&amp;IF(AND(TRIM(U36)="Pass",AB36="Open"),"INVALID – corrective action still open: use Fail, then Pass after CA","")&amp;IF(AND(TRIM(U36)="Pass after CA",OR(TRIM(AA36)="",AB36&lt;&gt;"Closed")),"INVALID – corrective action not recorded/closed","")&lt;&gt;"",IF(AND(TRIM(U36)="Pass",ISNUMBER(AF36)),IF(AF36&lt;&gt;0,"INVALID – qty variance: use Fail or Pass after CA",""),"")&amp;IF(AND(TRIM(U36)="Pass",AB36="Open"),"INVALID – corrective action still open: use Fail, then Pass after CA","")&amp;IF(AND(TRIM(U36)="Pass after CA",OR(TRIM(AA36)="",AB36&lt;&gt;"Closed")),"INVALID – corrective action not recorded/closed",""),IF(AND(AS36=1,Documents!$J$6&lt;&gt;"ON FILE"),"INVALID – GLD not on file (Documents sheet)",IF(AND(AS36=2,Documents!$O$6&lt;&gt;"ON FILE"),"INVALID – menu checklist not on file (Documents sheet)",IF(AND(AS36=3,NOT(ISNUMBER(Flights!$AX$6))),"INVALID – enter carrying flight KUL departure (Flights AX)",IF(AG36&gt;AsOfUTC,"INVALID – completion time is in the future",IF(AND(ISNUMBER(S36),AG36&lt;S36),IF(H36="Physical uplift","INVALID – before uplift window (cannot confirm loading)","INVALID – before valid window"),IF(AG36&gt;Flights!$AA$6,"INVALID – completed after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f>
        <v>OPEN</v>
      </c>
      <c r="AI36" s="61" t="n">
        <f aca="false">IF(OR(AH36="N/A – RULE",AH36="N/A – JUSTIFIED"),0,1)</f>
        <v>1</v>
      </c>
      <c r="AJ36" s="61" t="n">
        <f aca="false">IF(LEFT(AH36,8)="COMPLETE",1,0)</f>
        <v>0</v>
      </c>
      <c r="AK36" s="61" t="n">
        <f aca="false">IF(AND(AI36=1,AJ36=0,AsOfUTC&gt;Q36),1,0)</f>
        <v>0</v>
      </c>
      <c r="AL36" s="61" t="n">
        <f aca="false">IF(AND(AI36=1,OR(TRIM(U36)="Fail",AB36="Open",AND(ISNUMBER(AF36),AF36&lt;&gt;0,TRIM(U36)&lt;&gt;"Pass after CA"))),1,0)</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row>
    <row r="37" customFormat="false" ht="39.75" hidden="false" customHeight="true" outlineLevel="0" collapsed="false">
      <c r="A37" s="57" t="s">
        <v>443</v>
      </c>
      <c r="B37" s="57" t="s">
        <v>188</v>
      </c>
      <c r="C37" s="57" t="str">
        <f aca="false">Flights!$F$6</f>
        <v>MH0727</v>
      </c>
      <c r="D37" s="58" t="n">
        <f aca="false">Flights!$D$6</f>
        <v>46304</v>
      </c>
      <c r="E37" s="57" t="str">
        <f aca="false">Flights!$G$6&amp;"-"&amp;Flights!$H$6</f>
        <v>KUL-CGK</v>
      </c>
      <c r="F37" s="57" t="str">
        <f aca="false">Flights!$K$6</f>
        <v>BC</v>
      </c>
      <c r="G37" s="57" t="s">
        <v>74</v>
      </c>
      <c r="H37" s="57" t="s">
        <v>341</v>
      </c>
      <c r="I37" s="57" t="s">
        <v>368</v>
      </c>
      <c r="J37" s="57" t="s">
        <v>372</v>
      </c>
      <c r="K37" s="67" t="s">
        <v>370</v>
      </c>
      <c r="L37" s="67" t="s">
        <v>345</v>
      </c>
      <c r="M37" s="67"/>
      <c r="N37" s="67" t="s">
        <v>346</v>
      </c>
      <c r="O37" s="67"/>
      <c r="P37" s="57" t="s">
        <v>177</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IF(N37="N/A – rule","N/A – RULE",IF(TRIM(U37)="N/A",IF(AT37=0,"INVALID – N/A not permitted for this mandatory check",IF(AND(TRIM(AC37)&lt;&gt;"",TRIM(AE37)&lt;&gt;"",TRIM(T37)&lt;&gt;""),"N/A – JUSTIFIED","INVALID – N/A needs justification, PIC and verifier")),IF(OR(TRIM(U37)="Pass",TRIM(U37)="Pass after CA"),IF(NOT(ISNUMBER(AD37)),"INVALID – completion time missing",IF(TRIM(T37)="","INVALID – PIC missing",IF(TRIM(Z37)="","INVALID – evidence missing",IF(TRIM(AE37)="","INVALID – verifier missing",IF(AND(AQ37=1,TRIM(W37)=""),"INVALID – batch ID missing",IF(AND(AR37=1,OR(NOT(ISNUMBER(X37)),NOT(ISNUMBER(Y37)))),"INVALID – expected/actual qty missing",IF(IF(AND(TRIM(U37)="Pass",ISNUMBER(AF37)),IF(AF37&lt;&gt;0,"INVALID – qty variance: use Fail or Pass after CA",""),"")&amp;IF(AND(TRIM(U37)="Pass",AB37="Open"),"INVALID – corrective action still open: use Fail, then Pass after CA","")&amp;IF(AND(TRIM(U37)="Pass after CA",OR(TRIM(AA37)="",AB37&lt;&gt;"Closed")),"INVALID – corrective action not recorded/closed","")&lt;&gt;"",IF(AND(TRIM(U37)="Pass",ISNUMBER(AF37)),IF(AF37&lt;&gt;0,"INVALID – qty variance: use Fail or Pass after CA",""),"")&amp;IF(AND(TRIM(U37)="Pass",AB37="Open"),"INVALID – corrective action still open: use Fail, then Pass after CA","")&amp;IF(AND(TRIM(U37)="Pass after CA",OR(TRIM(AA37)="",AB37&lt;&gt;"Closed")),"INVALID – corrective action not recorded/closed",""),IF(AND(AS37=1,Documents!$J$6&lt;&gt;"ON FILE"),"INVALID – GLD not on file (Documents sheet)",IF(AND(AS37=2,Documents!$O$6&lt;&gt;"ON FILE"),"INVALID – menu checklist not on file (Documents sheet)",IF(AND(AS37=3,NOT(ISNUMBER(Flights!$AX$6))),"INVALID – enter carrying flight KUL departure (Flights AX)",IF(AG37&gt;AsOfUTC,"INVALID – completion time is in the future",IF(AND(ISNUMBER(S37),AG37&lt;S37),IF(H37="Physical uplift","INVALID – before uplift window (cannot confirm loading)","INVALID – before valid window"),IF(AG37&gt;Flights!$AA$6,"INVALID – completed after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f>
        <v>OPEN</v>
      </c>
      <c r="AI37" s="61" t="n">
        <f aca="false">IF(OR(AH37="N/A – RULE",AH37="N/A – JUSTIFIED"),0,1)</f>
        <v>1</v>
      </c>
      <c r="AJ37" s="61" t="n">
        <f aca="false">IF(LEFT(AH37,8)="COMPLETE",1,0)</f>
        <v>0</v>
      </c>
      <c r="AK37" s="61" t="n">
        <f aca="false">IF(AND(AI37=1,AJ37=0,AsOfUTC&gt;Q37),1,0)</f>
        <v>0</v>
      </c>
      <c r="AL37" s="61" t="n">
        <f aca="false">IF(AND(AI37=1,OR(TRIM(U37)="Fail",AB37="Open",AND(ISNUMBER(AF37),AF37&lt;&gt;0,TRIM(U37)&lt;&gt;"Pass after CA"))),1,0)</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row>
    <row r="38" customFormat="false" ht="39.75" hidden="false" customHeight="true" outlineLevel="0" collapsed="false">
      <c r="A38" s="57" t="s">
        <v>444</v>
      </c>
      <c r="B38" s="57" t="s">
        <v>188</v>
      </c>
      <c r="C38" s="57" t="str">
        <f aca="false">Flights!$F$6</f>
        <v>MH0727</v>
      </c>
      <c r="D38" s="58" t="n">
        <f aca="false">Flights!$D$6</f>
        <v>46304</v>
      </c>
      <c r="E38" s="57" t="str">
        <f aca="false">Flights!$G$6&amp;"-"&amp;Flights!$H$6</f>
        <v>KUL-CGK</v>
      </c>
      <c r="F38" s="57" t="str">
        <f aca="false">Flights!$K$6</f>
        <v>BC</v>
      </c>
      <c r="G38" s="57" t="s">
        <v>74</v>
      </c>
      <c r="H38" s="57" t="s">
        <v>341</v>
      </c>
      <c r="I38" s="57" t="s">
        <v>374</v>
      </c>
      <c r="J38" s="57" t="s">
        <v>375</v>
      </c>
      <c r="K38" s="67" t="s">
        <v>445</v>
      </c>
      <c r="L38" s="67" t="s">
        <v>446</v>
      </c>
      <c r="M38" s="67"/>
      <c r="N38" s="67" t="s">
        <v>346</v>
      </c>
      <c r="O38" s="67"/>
      <c r="P38" s="57" t="s">
        <v>177</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IF(N38="N/A – rule","N/A – RULE",IF(TRIM(U38)="N/A",IF(AT38=0,"INVALID – N/A not permitted for this mandatory check",IF(AND(TRIM(AC38)&lt;&gt;"",TRIM(AE38)&lt;&gt;"",TRIM(T38)&lt;&gt;""),"N/A – JUSTIFIED","INVALID – N/A needs justification, PIC and verifier")),IF(OR(TRIM(U38)="Pass",TRIM(U38)="Pass after CA"),IF(NOT(ISNUMBER(AD38)),"INVALID – completion time missing",IF(TRIM(T38)="","INVALID – PIC missing",IF(TRIM(Z38)="","INVALID – evidence missing",IF(TRIM(AE38)="","INVALID – verifier missing",IF(AND(AQ38=1,TRIM(W38)=""),"INVALID – batch ID missing",IF(AND(AR38=1,OR(NOT(ISNUMBER(X38)),NOT(ISNUMBER(Y38)))),"INVALID – expected/actual qty missing",IF(IF(AND(TRIM(U38)="Pass",ISNUMBER(AF38)),IF(AF38&lt;&gt;0,"INVALID – qty variance: use Fail or Pass after CA",""),"")&amp;IF(AND(TRIM(U38)="Pass",AB38="Open"),"INVALID – corrective action still open: use Fail, then Pass after CA","")&amp;IF(AND(TRIM(U38)="Pass after CA",OR(TRIM(AA38)="",AB38&lt;&gt;"Closed")),"INVALID – corrective action not recorded/closed","")&lt;&gt;"",IF(AND(TRIM(U38)="Pass",ISNUMBER(AF38)),IF(AF38&lt;&gt;0,"INVALID – qty variance: use Fail or Pass after CA",""),"")&amp;IF(AND(TRIM(U38)="Pass",AB38="Open"),"INVALID – corrective action still open: use Fail, then Pass after CA","")&amp;IF(AND(TRIM(U38)="Pass after CA",OR(TRIM(AA38)="",AB38&lt;&gt;"Closed")),"INVALID – corrective action not recorded/closed",""),IF(AND(AS38=1,Documents!$J$6&lt;&gt;"ON FILE"),"INVALID – GLD not on file (Documents sheet)",IF(AND(AS38=2,Documents!$O$6&lt;&gt;"ON FILE"),"INVALID – menu checklist not on file (Documents sheet)",IF(AND(AS38=3,NOT(ISNUMBER(Flights!$AX$6))),"INVALID – enter carrying flight KUL departure (Flights AX)",IF(AG38&gt;AsOfUTC,"INVALID – completion time is in the future",IF(AND(ISNUMBER(S38),AG38&lt;S38),IF(H38="Physical uplift","INVALID – before uplift window (cannot confirm loading)","INVALID – before valid window"),IF(AG38&gt;Flights!$AA$6,"INVALID – completed after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f>
        <v>OPEN</v>
      </c>
      <c r="AI38" s="61" t="n">
        <f aca="false">IF(OR(AH38="N/A – RULE",AH38="N/A – JUSTIFIED"),0,1)</f>
        <v>1</v>
      </c>
      <c r="AJ38" s="61" t="n">
        <f aca="false">IF(LEFT(AH38,8)="COMPLETE",1,0)</f>
        <v>0</v>
      </c>
      <c r="AK38" s="61" t="n">
        <f aca="false">IF(AND(AI38=1,AJ38=0,AsOfUTC&gt;Q38),1,0)</f>
        <v>0</v>
      </c>
      <c r="AL38" s="61" t="n">
        <f aca="false">IF(AND(AI38=1,OR(TRIM(U38)="Fail",AB38="Open",AND(ISNUMBER(AF38),AF38&lt;&gt;0,TRIM(U38)&lt;&gt;"Pass after CA"))),1,0)</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row>
    <row r="39" customFormat="false" ht="39.75" hidden="false" customHeight="true" outlineLevel="0" collapsed="false">
      <c r="A39" s="57" t="s">
        <v>447</v>
      </c>
      <c r="B39" s="57" t="s">
        <v>188</v>
      </c>
      <c r="C39" s="57" t="str">
        <f aca="false">Flights!$F$6</f>
        <v>MH0727</v>
      </c>
      <c r="D39" s="58" t="n">
        <f aca="false">Flights!$D$6</f>
        <v>46304</v>
      </c>
      <c r="E39" s="57" t="str">
        <f aca="false">Flights!$G$6&amp;"-"&amp;Flights!$H$6</f>
        <v>KUL-CGK</v>
      </c>
      <c r="F39" s="57" t="str">
        <f aca="false">Flights!$K$6</f>
        <v>BC</v>
      </c>
      <c r="G39" s="57" t="s">
        <v>76</v>
      </c>
      <c r="H39" s="57" t="s">
        <v>341</v>
      </c>
      <c r="I39" s="57" t="s">
        <v>342</v>
      </c>
      <c r="J39" s="57" t="s">
        <v>379</v>
      </c>
      <c r="K39" s="67" t="s">
        <v>380</v>
      </c>
      <c r="L39" s="67" t="s">
        <v>381</v>
      </c>
      <c r="M39" s="67"/>
      <c r="N39" s="67" t="s">
        <v>346</v>
      </c>
      <c r="O39" s="67"/>
      <c r="P39" s="57" t="s">
        <v>177</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IF(N39="N/A – rule","N/A – RULE",IF(TRIM(U39)="N/A",IF(AT39=0,"INVALID – N/A not permitted for this mandatory check",IF(AND(TRIM(AC39)&lt;&gt;"",TRIM(AE39)&lt;&gt;"",TRIM(T39)&lt;&gt;""),"N/A – JUSTIFIED","INVALID – N/A needs justification, PIC and verifier")),IF(OR(TRIM(U39)="Pass",TRIM(U39)="Pass after CA"),IF(NOT(ISNUMBER(AD39)),"INVALID – completion time missing",IF(TRIM(T39)="","INVALID – PIC missing",IF(TRIM(Z39)="","INVALID – evidence missing",IF(TRIM(AE39)="","INVALID – verifier missing",IF(AND(AQ39=1,TRIM(W39)=""),"INVALID – batch ID missing",IF(AND(AR39=1,OR(NOT(ISNUMBER(X39)),NOT(ISNUMBER(Y39)))),"INVALID – expected/actual qty missing",IF(IF(AND(TRIM(U39)="Pass",ISNUMBER(AF39)),IF(AF39&lt;&gt;0,"INVALID – qty variance: use Fail or Pass after CA",""),"")&amp;IF(AND(TRIM(U39)="Pass",AB39="Open"),"INVALID – corrective action still open: use Fail, then Pass after CA","")&amp;IF(AND(TRIM(U39)="Pass after CA",OR(TRIM(AA39)="",AB39&lt;&gt;"Closed")),"INVALID – corrective action not recorded/closed","")&lt;&gt;"",IF(AND(TRIM(U39)="Pass",ISNUMBER(AF39)),IF(AF39&lt;&gt;0,"INVALID – qty variance: use Fail or Pass after CA",""),"")&amp;IF(AND(TRIM(U39)="Pass",AB39="Open"),"INVALID – corrective action still open: use Fail, then Pass after CA","")&amp;IF(AND(TRIM(U39)="Pass after CA",OR(TRIM(AA39)="",AB39&lt;&gt;"Closed")),"INVALID – corrective action not recorded/closed",""),IF(AND(AS39=1,Documents!$J$6&lt;&gt;"ON FILE"),"INVALID – GLD not on file (Documents sheet)",IF(AND(AS39=2,Documents!$O$6&lt;&gt;"ON FILE"),"INVALID – menu checklist not on file (Documents sheet)",IF(AND(AS39=3,NOT(ISNUMBER(Flights!$AX$6))),"INVALID – enter carrying flight KUL departure (Flights AX)",IF(AG39&gt;AsOfUTC,"INVALID – completion time is in the future",IF(AND(ISNUMBER(S39),AG39&lt;S39),IF(H39="Physical uplift","INVALID – before uplift window (cannot confirm loading)","INVALID – before valid window"),IF(AG39&gt;Flights!$AA$6,"INVALID – completed after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f>
        <v>OPEN</v>
      </c>
      <c r="AI39" s="61" t="n">
        <f aca="false">IF(OR(AH39="N/A – RULE",AH39="N/A – JUSTIFIED"),0,1)</f>
        <v>1</v>
      </c>
      <c r="AJ39" s="61" t="n">
        <f aca="false">IF(LEFT(AH39,8)="COMPLETE",1,0)</f>
        <v>0</v>
      </c>
      <c r="AK39" s="61" t="n">
        <f aca="false">IF(AND(AI39=1,AJ39=0,AsOfUTC&gt;Q39),1,0)</f>
        <v>0</v>
      </c>
      <c r="AL39" s="61" t="n">
        <f aca="false">IF(AND(AI39=1,OR(TRIM(U39)="Fail",AB39="Open",AND(ISNUMBER(AF39),AF39&lt;&gt;0,TRIM(U39)&lt;&gt;"Pass after CA"))),1,0)</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row>
    <row r="40" customFormat="false" ht="39.75" hidden="false" customHeight="true" outlineLevel="0" collapsed="false">
      <c r="A40" s="57" t="s">
        <v>448</v>
      </c>
      <c r="B40" s="57" t="s">
        <v>188</v>
      </c>
      <c r="C40" s="57" t="str">
        <f aca="false">Flights!$F$6</f>
        <v>MH0727</v>
      </c>
      <c r="D40" s="58" t="n">
        <f aca="false">Flights!$D$6</f>
        <v>46304</v>
      </c>
      <c r="E40" s="57" t="str">
        <f aca="false">Flights!$G$6&amp;"-"&amp;Flights!$H$6</f>
        <v>KUL-CGK</v>
      </c>
      <c r="F40" s="57" t="str">
        <f aca="false">Flights!$K$6</f>
        <v>BC</v>
      </c>
      <c r="G40" s="57" t="s">
        <v>383</v>
      </c>
      <c r="H40" s="57" t="s">
        <v>341</v>
      </c>
      <c r="I40" s="57" t="s">
        <v>342</v>
      </c>
      <c r="J40" s="57" t="s">
        <v>384</v>
      </c>
      <c r="K40" s="67"/>
      <c r="L40" s="67" t="s">
        <v>385</v>
      </c>
      <c r="M40" s="67"/>
      <c r="N40" s="67" t="s">
        <v>346</v>
      </c>
      <c r="O40" s="67" t="s">
        <v>386</v>
      </c>
      <c r="P40" s="57" t="s">
        <v>177</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IF(N40="N/A – rule","N/A – RULE",IF(TRIM(U40)="N/A",IF(AT40=0,"INVALID – N/A not permitted for this mandatory check",IF(AND(TRIM(AC40)&lt;&gt;"",TRIM(AE40)&lt;&gt;"",TRIM(T40)&lt;&gt;""),"N/A – JUSTIFIED","INVALID – N/A needs justification, PIC and verifier")),IF(OR(TRIM(U40)="Pass",TRIM(U40)="Pass after CA"),IF(NOT(ISNUMBER(AD40)),"INVALID – completion time missing",IF(TRIM(T40)="","INVALID – PIC missing",IF(TRIM(Z40)="","INVALID – evidence missing",IF(TRIM(AE40)="","INVALID – verifier missing",IF(AND(AQ40=1,TRIM(W40)=""),"INVALID – batch ID missing",IF(AND(AR40=1,OR(NOT(ISNUMBER(X40)),NOT(ISNUMBER(Y40)))),"INVALID – expected/actual qty missing",IF(IF(AND(TRIM(U40)="Pass",ISNUMBER(AF40)),IF(AF40&lt;&gt;0,"INVALID – qty variance: use Fail or Pass after CA",""),"")&amp;IF(AND(TRIM(U40)="Pass",AB40="Open"),"INVALID – corrective action still open: use Fail, then Pass after CA","")&amp;IF(AND(TRIM(U40)="Pass after CA",OR(TRIM(AA40)="",AB40&lt;&gt;"Closed")),"INVALID – corrective action not recorded/closed","")&lt;&gt;"",IF(AND(TRIM(U40)="Pass",ISNUMBER(AF40)),IF(AF40&lt;&gt;0,"INVALID – qty variance: use Fail or Pass after CA",""),"")&amp;IF(AND(TRIM(U40)="Pass",AB40="Open"),"INVALID – corrective action still open: use Fail, then Pass after CA","")&amp;IF(AND(TRIM(U40)="Pass after CA",OR(TRIM(AA40)="",AB40&lt;&gt;"Closed")),"INVALID – corrective action not recorded/closed",""),IF(AND(AS40=1,Documents!$J$6&lt;&gt;"ON FILE"),"INVALID – GLD not on file (Documents sheet)",IF(AND(AS40=2,Documents!$O$6&lt;&gt;"ON FILE"),"INVALID – menu checklist not on file (Documents sheet)",IF(AND(AS40=3,NOT(ISNUMBER(Flights!$AX$6))),"INVALID – enter carrying flight KUL departure (Flights AX)",IF(AG40&gt;AsOfUTC,"INVALID – completion time is in the future",IF(AND(ISNUMBER(S40),AG40&lt;S40),IF(H40="Physical uplift","INVALID – before uplift window (cannot confirm loading)","INVALID – before valid window"),IF(AG40&gt;Flights!$AA$6,"INVALID – completed after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f>
        <v>OPEN</v>
      </c>
      <c r="AI40" s="61" t="n">
        <f aca="false">IF(OR(AH40="N/A – RULE",AH40="N/A – JUSTIFIED"),0,1)</f>
        <v>1</v>
      </c>
      <c r="AJ40" s="61" t="n">
        <f aca="false">IF(LEFT(AH40,8)="COMPLETE",1,0)</f>
        <v>0</v>
      </c>
      <c r="AK40" s="61" t="n">
        <f aca="false">IF(AND(AI40=1,AJ40=0,AsOfUTC&gt;Q40),1,0)</f>
        <v>0</v>
      </c>
      <c r="AL40" s="61" t="n">
        <f aca="false">IF(AND(AI40=1,OR(TRIM(U40)="Fail",AB40="Open",AND(ISNUMBER(AF40),AF40&lt;&gt;0,TRIM(U40)&lt;&gt;"Pass after CA"))),1,0)</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row>
    <row r="41" customFormat="false" ht="39.75" hidden="false" customHeight="true" outlineLevel="0" collapsed="false">
      <c r="A41" s="57" t="s">
        <v>449</v>
      </c>
      <c r="B41" s="57" t="s">
        <v>188</v>
      </c>
      <c r="C41" s="57" t="str">
        <f aca="false">Flights!$F$6</f>
        <v>MH0727</v>
      </c>
      <c r="D41" s="58" t="n">
        <f aca="false">Flights!$D$6</f>
        <v>46304</v>
      </c>
      <c r="E41" s="57" t="str">
        <f aca="false">Flights!$G$6&amp;"-"&amp;Flights!$H$6</f>
        <v>KUL-CGK</v>
      </c>
      <c r="F41" s="57" t="str">
        <f aca="false">Flights!$K$6</f>
        <v>BC</v>
      </c>
      <c r="G41" s="57" t="s">
        <v>383</v>
      </c>
      <c r="H41" s="57" t="s">
        <v>341</v>
      </c>
      <c r="I41" s="57" t="s">
        <v>342</v>
      </c>
      <c r="J41" s="57" t="s">
        <v>388</v>
      </c>
      <c r="K41" s="67" t="s">
        <v>389</v>
      </c>
      <c r="L41" s="67" t="s">
        <v>385</v>
      </c>
      <c r="M41" s="67"/>
      <c r="N41" s="67" t="s">
        <v>346</v>
      </c>
      <c r="O41" s="67" t="s">
        <v>386</v>
      </c>
      <c r="P41" s="57" t="s">
        <v>177</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IF(N41="N/A – rule","N/A – RULE",IF(TRIM(U41)="N/A",IF(AT41=0,"INVALID – N/A not permitted for this mandatory check",IF(AND(TRIM(AC41)&lt;&gt;"",TRIM(AE41)&lt;&gt;"",TRIM(T41)&lt;&gt;""),"N/A – JUSTIFIED","INVALID – N/A needs justification, PIC and verifier")),IF(OR(TRIM(U41)="Pass",TRIM(U41)="Pass after CA"),IF(NOT(ISNUMBER(AD41)),"INVALID – completion time missing",IF(TRIM(T41)="","INVALID – PIC missing",IF(TRIM(Z41)="","INVALID – evidence missing",IF(TRIM(AE41)="","INVALID – verifier missing",IF(AND(AQ41=1,TRIM(W41)=""),"INVALID – batch ID missing",IF(AND(AR41=1,OR(NOT(ISNUMBER(X41)),NOT(ISNUMBER(Y41)))),"INVALID – expected/actual qty missing",IF(IF(AND(TRIM(U41)="Pass",ISNUMBER(AF41)),IF(AF41&lt;&gt;0,"INVALID – qty variance: use Fail or Pass after CA",""),"")&amp;IF(AND(TRIM(U41)="Pass",AB41="Open"),"INVALID – corrective action still open: use Fail, then Pass after CA","")&amp;IF(AND(TRIM(U41)="Pass after CA",OR(TRIM(AA41)="",AB41&lt;&gt;"Closed")),"INVALID – corrective action not recorded/closed","")&lt;&gt;"",IF(AND(TRIM(U41)="Pass",ISNUMBER(AF41)),IF(AF41&lt;&gt;0,"INVALID – qty variance: use Fail or Pass after CA",""),"")&amp;IF(AND(TRIM(U41)="Pass",AB41="Open"),"INVALID – corrective action still open: use Fail, then Pass after CA","")&amp;IF(AND(TRIM(U41)="Pass after CA",OR(TRIM(AA41)="",AB41&lt;&gt;"Closed")),"INVALID – corrective action not recorded/closed",""),IF(AND(AS41=1,Documents!$J$6&lt;&gt;"ON FILE"),"INVALID – GLD not on file (Documents sheet)",IF(AND(AS41=2,Documents!$O$6&lt;&gt;"ON FILE"),"INVALID – menu checklist not on file (Documents sheet)",IF(AND(AS41=3,NOT(ISNUMBER(Flights!$AX$6))),"INVALID – enter carrying flight KUL departure (Flights AX)",IF(AG41&gt;AsOfUTC,"INVALID – completion time is in the future",IF(AND(ISNUMBER(S41),AG41&lt;S41),IF(H41="Physical uplift","INVALID – before uplift window (cannot confirm loading)","INVALID – before valid window"),IF(AG41&gt;Flights!$AA$6,"INVALID – completed after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f>
        <v>OPEN</v>
      </c>
      <c r="AI41" s="61" t="n">
        <f aca="false">IF(OR(AH41="N/A – RULE",AH41="N/A – JUSTIFIED"),0,1)</f>
        <v>1</v>
      </c>
      <c r="AJ41" s="61" t="n">
        <f aca="false">IF(LEFT(AH41,8)="COMPLETE",1,0)</f>
        <v>0</v>
      </c>
      <c r="AK41" s="61" t="n">
        <f aca="false">IF(AND(AI41=1,AJ41=0,AsOfUTC&gt;Q41),1,0)</f>
        <v>0</v>
      </c>
      <c r="AL41" s="61" t="n">
        <f aca="false">IF(AND(AI41=1,OR(TRIM(U41)="Fail",AB41="Open",AND(ISNUMBER(AF41),AF41&lt;&gt;0,TRIM(U41)&lt;&gt;"Pass after CA"))),1,0)</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row>
    <row r="42" customFormat="false" ht="39.75" hidden="false" customHeight="true" outlineLevel="0" collapsed="false">
      <c r="A42" s="57" t="s">
        <v>450</v>
      </c>
      <c r="B42" s="57" t="s">
        <v>188</v>
      </c>
      <c r="C42" s="57" t="str">
        <f aca="false">Flights!$F$6</f>
        <v>MH0727</v>
      </c>
      <c r="D42" s="58" t="n">
        <f aca="false">Flights!$D$6</f>
        <v>46304</v>
      </c>
      <c r="E42" s="57" t="str">
        <f aca="false">Flights!$G$6&amp;"-"&amp;Flights!$H$6</f>
        <v>KUL-CGK</v>
      </c>
      <c r="F42" s="57" t="str">
        <f aca="false">Flights!$K$6</f>
        <v>BC</v>
      </c>
      <c r="G42" s="57" t="s">
        <v>383</v>
      </c>
      <c r="H42" s="57" t="s">
        <v>341</v>
      </c>
      <c r="I42" s="57" t="s">
        <v>391</v>
      </c>
      <c r="J42" s="57" t="s">
        <v>392</v>
      </c>
      <c r="K42" s="67"/>
      <c r="L42" s="67" t="s">
        <v>385</v>
      </c>
      <c r="M42" s="67"/>
      <c r="N42" s="67" t="s">
        <v>346</v>
      </c>
      <c r="O42" s="67" t="s">
        <v>386</v>
      </c>
      <c r="P42" s="57" t="s">
        <v>177</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IF(N42="N/A – rule","N/A – RULE",IF(TRIM(U42)="N/A",IF(AT42=0,"INVALID – N/A not permitted for this mandatory check",IF(AND(TRIM(AC42)&lt;&gt;"",TRIM(AE42)&lt;&gt;"",TRIM(T42)&lt;&gt;""),"N/A – JUSTIFIED","INVALID – N/A needs justification, PIC and verifier")),IF(OR(TRIM(U42)="Pass",TRIM(U42)="Pass after CA"),IF(NOT(ISNUMBER(AD42)),"INVALID – completion time missing",IF(TRIM(T42)="","INVALID – PIC missing",IF(TRIM(Z42)="","INVALID – evidence missing",IF(TRIM(AE42)="","INVALID – verifier missing",IF(AND(AQ42=1,TRIM(W42)=""),"INVALID – batch ID missing",IF(AND(AR42=1,OR(NOT(ISNUMBER(X42)),NOT(ISNUMBER(Y42)))),"INVALID – expected/actual qty missing",IF(IF(AND(TRIM(U42)="Pass",ISNUMBER(AF42)),IF(AF42&lt;&gt;0,"INVALID – qty variance: use Fail or Pass after CA",""),"")&amp;IF(AND(TRIM(U42)="Pass",AB42="Open"),"INVALID – corrective action still open: use Fail, then Pass after CA","")&amp;IF(AND(TRIM(U42)="Pass after CA",OR(TRIM(AA42)="",AB42&lt;&gt;"Closed")),"INVALID – corrective action not recorded/closed","")&lt;&gt;"",IF(AND(TRIM(U42)="Pass",ISNUMBER(AF42)),IF(AF42&lt;&gt;0,"INVALID – qty variance: use Fail or Pass after CA",""),"")&amp;IF(AND(TRIM(U42)="Pass",AB42="Open"),"INVALID – corrective action still open: use Fail, then Pass after CA","")&amp;IF(AND(TRIM(U42)="Pass after CA",OR(TRIM(AA42)="",AB42&lt;&gt;"Closed")),"INVALID – corrective action not recorded/closed",""),IF(AND(AS42=1,Documents!$J$6&lt;&gt;"ON FILE"),"INVALID – GLD not on file (Documents sheet)",IF(AND(AS42=2,Documents!$O$6&lt;&gt;"ON FILE"),"INVALID – menu checklist not on file (Documents sheet)",IF(AND(AS42=3,NOT(ISNUMBER(Flights!$AX$6))),"INVALID – enter carrying flight KUL departure (Flights AX)",IF(AG42&gt;AsOfUTC,"INVALID – completion time is in the future",IF(AND(ISNUMBER(S42),AG42&lt;S42),IF(H42="Physical uplift","INVALID – before uplift window (cannot confirm loading)","INVALID – before valid window"),IF(AG42&gt;Flights!$AA$6,"INVALID – completed after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f>
        <v>OPEN</v>
      </c>
      <c r="AI42" s="61" t="n">
        <f aca="false">IF(OR(AH42="N/A – RULE",AH42="N/A – JUSTIFIED"),0,1)</f>
        <v>1</v>
      </c>
      <c r="AJ42" s="61" t="n">
        <f aca="false">IF(LEFT(AH42,8)="COMPLETE",1,0)</f>
        <v>0</v>
      </c>
      <c r="AK42" s="61" t="n">
        <f aca="false">IF(AND(AI42=1,AJ42=0,AsOfUTC&gt;Q42),1,0)</f>
        <v>0</v>
      </c>
      <c r="AL42" s="61" t="n">
        <f aca="false">IF(AND(AI42=1,OR(TRIM(U42)="Fail",AB42="Open",AND(ISNUMBER(AF42),AF42&lt;&gt;0,TRIM(U42)&lt;&gt;"Pass after CA"))),1,0)</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row>
    <row r="43" customFormat="false" ht="39.75" hidden="false" customHeight="true" outlineLevel="0" collapsed="false">
      <c r="A43" s="57" t="s">
        <v>451</v>
      </c>
      <c r="B43" s="57" t="s">
        <v>188</v>
      </c>
      <c r="C43" s="57" t="str">
        <f aca="false">Flights!$F$6</f>
        <v>MH0727</v>
      </c>
      <c r="D43" s="58" t="n">
        <f aca="false">Flights!$D$6</f>
        <v>46304</v>
      </c>
      <c r="E43" s="57" t="str">
        <f aca="false">Flights!$G$6&amp;"-"&amp;Flights!$H$6</f>
        <v>KUL-CGK</v>
      </c>
      <c r="F43" s="57" t="str">
        <f aca="false">Flights!$K$6</f>
        <v>BC</v>
      </c>
      <c r="G43" s="57" t="s">
        <v>383</v>
      </c>
      <c r="H43" s="57" t="s">
        <v>341</v>
      </c>
      <c r="I43" s="57" t="s">
        <v>391</v>
      </c>
      <c r="J43" s="57" t="s">
        <v>394</v>
      </c>
      <c r="K43" s="67"/>
      <c r="L43" s="67" t="s">
        <v>385</v>
      </c>
      <c r="M43" s="67"/>
      <c r="N43" s="67" t="s">
        <v>346</v>
      </c>
      <c r="O43" s="67" t="s">
        <v>386</v>
      </c>
      <c r="P43" s="57" t="s">
        <v>177</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IF(N43="N/A – rule","N/A – RULE",IF(TRIM(U43)="N/A",IF(AT43=0,"INVALID – N/A not permitted for this mandatory check",IF(AND(TRIM(AC43)&lt;&gt;"",TRIM(AE43)&lt;&gt;"",TRIM(T43)&lt;&gt;""),"N/A – JUSTIFIED","INVALID – N/A needs justification, PIC and verifier")),IF(OR(TRIM(U43)="Pass",TRIM(U43)="Pass after CA"),IF(NOT(ISNUMBER(AD43)),"INVALID – completion time missing",IF(TRIM(T43)="","INVALID – PIC missing",IF(TRIM(Z43)="","INVALID – evidence missing",IF(TRIM(AE43)="","INVALID – verifier missing",IF(AND(AQ43=1,TRIM(W43)=""),"INVALID – batch ID missing",IF(AND(AR43=1,OR(NOT(ISNUMBER(X43)),NOT(ISNUMBER(Y43)))),"INVALID – expected/actual qty missing",IF(IF(AND(TRIM(U43)="Pass",ISNUMBER(AF43)),IF(AF43&lt;&gt;0,"INVALID – qty variance: use Fail or Pass after CA",""),"")&amp;IF(AND(TRIM(U43)="Pass",AB43="Open"),"INVALID – corrective action still open: use Fail, then Pass after CA","")&amp;IF(AND(TRIM(U43)="Pass after CA",OR(TRIM(AA43)="",AB43&lt;&gt;"Closed")),"INVALID – corrective action not recorded/closed","")&lt;&gt;"",IF(AND(TRIM(U43)="Pass",ISNUMBER(AF43)),IF(AF43&lt;&gt;0,"INVALID – qty variance: use Fail or Pass after CA",""),"")&amp;IF(AND(TRIM(U43)="Pass",AB43="Open"),"INVALID – corrective action still open: use Fail, then Pass after CA","")&amp;IF(AND(TRIM(U43)="Pass after CA",OR(TRIM(AA43)="",AB43&lt;&gt;"Closed")),"INVALID – corrective action not recorded/closed",""),IF(AND(AS43=1,Documents!$J$6&lt;&gt;"ON FILE"),"INVALID – GLD not on file (Documents sheet)",IF(AND(AS43=2,Documents!$O$6&lt;&gt;"ON FILE"),"INVALID – menu checklist not on file (Documents sheet)",IF(AND(AS43=3,NOT(ISNUMBER(Flights!$AX$6))),"INVALID – enter carrying flight KUL departure (Flights AX)",IF(AG43&gt;AsOfUTC,"INVALID – completion time is in the future",IF(AND(ISNUMBER(S43),AG43&lt;S43),IF(H43="Physical uplift","INVALID – before uplift window (cannot confirm loading)","INVALID – before valid window"),IF(AG43&gt;Flights!$AA$6,"INVALID – completed after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f>
        <v>OPEN</v>
      </c>
      <c r="AI43" s="61" t="n">
        <f aca="false">IF(OR(AH43="N/A – RULE",AH43="N/A – JUSTIFIED"),0,1)</f>
        <v>1</v>
      </c>
      <c r="AJ43" s="61" t="n">
        <f aca="false">IF(LEFT(AH43,8)="COMPLETE",1,0)</f>
        <v>0</v>
      </c>
      <c r="AK43" s="61" t="n">
        <f aca="false">IF(AND(AI43=1,AJ43=0,AsOfUTC&gt;Q43),1,0)</f>
        <v>0</v>
      </c>
      <c r="AL43" s="61" t="n">
        <f aca="false">IF(AND(AI43=1,OR(TRIM(U43)="Fail",AB43="Open",AND(ISNUMBER(AF43),AF43&lt;&gt;0,TRIM(U43)&lt;&gt;"Pass after CA"))),1,0)</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row>
    <row r="44" customFormat="false" ht="39.75" hidden="false" customHeight="true" outlineLevel="0" collapsed="false">
      <c r="A44" s="57" t="s">
        <v>452</v>
      </c>
      <c r="B44" s="57" t="s">
        <v>188</v>
      </c>
      <c r="C44" s="57" t="str">
        <f aca="false">Flights!$F$6</f>
        <v>MH0727</v>
      </c>
      <c r="D44" s="58" t="n">
        <f aca="false">Flights!$D$6</f>
        <v>46304</v>
      </c>
      <c r="E44" s="57" t="str">
        <f aca="false">Flights!$G$6&amp;"-"&amp;Flights!$H$6</f>
        <v>KUL-CGK</v>
      </c>
      <c r="F44" s="57" t="str">
        <f aca="false">Flights!$K$6</f>
        <v>BC</v>
      </c>
      <c r="G44" s="57" t="s">
        <v>383</v>
      </c>
      <c r="H44" s="57" t="s">
        <v>341</v>
      </c>
      <c r="I44" s="57" t="s">
        <v>391</v>
      </c>
      <c r="J44" s="57" t="s">
        <v>396</v>
      </c>
      <c r="K44" s="67"/>
      <c r="L44" s="67" t="s">
        <v>385</v>
      </c>
      <c r="M44" s="67"/>
      <c r="N44" s="67" t="s">
        <v>346</v>
      </c>
      <c r="O44" s="67" t="s">
        <v>386</v>
      </c>
      <c r="P44" s="57" t="s">
        <v>177</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IF(N44="N/A – rule","N/A – RULE",IF(TRIM(U44)="N/A",IF(AT44=0,"INVALID – N/A not permitted for this mandatory check",IF(AND(TRIM(AC44)&lt;&gt;"",TRIM(AE44)&lt;&gt;"",TRIM(T44)&lt;&gt;""),"N/A – JUSTIFIED","INVALID – N/A needs justification, PIC and verifier")),IF(OR(TRIM(U44)="Pass",TRIM(U44)="Pass after CA"),IF(NOT(ISNUMBER(AD44)),"INVALID – completion time missing",IF(TRIM(T44)="","INVALID – PIC missing",IF(TRIM(Z44)="","INVALID – evidence missing",IF(TRIM(AE44)="","INVALID – verifier missing",IF(AND(AQ44=1,TRIM(W44)=""),"INVALID – batch ID missing",IF(AND(AR44=1,OR(NOT(ISNUMBER(X44)),NOT(ISNUMBER(Y44)))),"INVALID – expected/actual qty missing",IF(IF(AND(TRIM(U44)="Pass",ISNUMBER(AF44)),IF(AF44&lt;&gt;0,"INVALID – qty variance: use Fail or Pass after CA",""),"")&amp;IF(AND(TRIM(U44)="Pass",AB44="Open"),"INVALID – corrective action still open: use Fail, then Pass after CA","")&amp;IF(AND(TRIM(U44)="Pass after CA",OR(TRIM(AA44)="",AB44&lt;&gt;"Closed")),"INVALID – corrective action not recorded/closed","")&lt;&gt;"",IF(AND(TRIM(U44)="Pass",ISNUMBER(AF44)),IF(AF44&lt;&gt;0,"INVALID – qty variance: use Fail or Pass after CA",""),"")&amp;IF(AND(TRIM(U44)="Pass",AB44="Open"),"INVALID – corrective action still open: use Fail, then Pass after CA","")&amp;IF(AND(TRIM(U44)="Pass after CA",OR(TRIM(AA44)="",AB44&lt;&gt;"Closed")),"INVALID – corrective action not recorded/closed",""),IF(AND(AS44=1,Documents!$J$6&lt;&gt;"ON FILE"),"INVALID – GLD not on file (Documents sheet)",IF(AND(AS44=2,Documents!$O$6&lt;&gt;"ON FILE"),"INVALID – menu checklist not on file (Documents sheet)",IF(AND(AS44=3,NOT(ISNUMBER(Flights!$AX$6))),"INVALID – enter carrying flight KUL departure (Flights AX)",IF(AG44&gt;AsOfUTC,"INVALID – completion time is in the future",IF(AND(ISNUMBER(S44),AG44&lt;S44),IF(H44="Physical uplift","INVALID – before uplift window (cannot confirm loading)","INVALID – before valid window"),IF(AG44&gt;Flights!$AA$6,"INVALID – completed after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f>
        <v>OPEN</v>
      </c>
      <c r="AI44" s="61" t="n">
        <f aca="false">IF(OR(AH44="N/A – RULE",AH44="N/A – JUSTIFIED"),0,1)</f>
        <v>1</v>
      </c>
      <c r="AJ44" s="61" t="n">
        <f aca="false">IF(LEFT(AH44,8)="COMPLETE",1,0)</f>
        <v>0</v>
      </c>
      <c r="AK44" s="61" t="n">
        <f aca="false">IF(AND(AI44=1,AJ44=0,AsOfUTC&gt;Q44),1,0)</f>
        <v>0</v>
      </c>
      <c r="AL44" s="61" t="n">
        <f aca="false">IF(AND(AI44=1,OR(TRIM(U44)="Fail",AB44="Open",AND(ISNUMBER(AF44),AF44&lt;&gt;0,TRIM(U44)&lt;&gt;"Pass after CA"))),1,0)</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row>
    <row r="45" customFormat="false" ht="78.75" hidden="false" customHeight="true" outlineLevel="0" collapsed="false">
      <c r="A45" s="57" t="s">
        <v>453</v>
      </c>
      <c r="B45" s="57" t="s">
        <v>188</v>
      </c>
      <c r="C45" s="57" t="str">
        <f aca="false">Flights!$F$6</f>
        <v>MH0727</v>
      </c>
      <c r="D45" s="58" t="n">
        <f aca="false">Flights!$D$6</f>
        <v>46304</v>
      </c>
      <c r="E45" s="57" t="str">
        <f aca="false">Flights!$G$6&amp;"-"&amp;Flights!$H$6</f>
        <v>KUL-CGK</v>
      </c>
      <c r="F45" s="57" t="str">
        <f aca="false">Flights!$K$6</f>
        <v>BC</v>
      </c>
      <c r="G45" s="57" t="s">
        <v>383</v>
      </c>
      <c r="H45" s="57" t="s">
        <v>341</v>
      </c>
      <c r="I45" s="57" t="s">
        <v>391</v>
      </c>
      <c r="J45" s="57" t="s">
        <v>398</v>
      </c>
      <c r="K45" s="67" t="s">
        <v>454</v>
      </c>
      <c r="L45" s="67" t="s">
        <v>385</v>
      </c>
      <c r="M45" s="67"/>
      <c r="N45" s="67" t="s">
        <v>346</v>
      </c>
      <c r="O45" s="67" t="s">
        <v>386</v>
      </c>
      <c r="P45" s="57" t="s">
        <v>177</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IF(N45="N/A – rule","N/A – RULE",IF(TRIM(U45)="N/A",IF(AT45=0,"INVALID – N/A not permitted for this mandatory check",IF(AND(TRIM(AC45)&lt;&gt;"",TRIM(AE45)&lt;&gt;"",TRIM(T45)&lt;&gt;""),"N/A – JUSTIFIED","INVALID – N/A needs justification, PIC and verifier")),IF(OR(TRIM(U45)="Pass",TRIM(U45)="Pass after CA"),IF(NOT(ISNUMBER(AD45)),"INVALID – completion time missing",IF(TRIM(T45)="","INVALID – PIC missing",IF(TRIM(Z45)="","INVALID – evidence missing",IF(TRIM(AE45)="","INVALID – verifier missing",IF(AND(AQ45=1,TRIM(W45)=""),"INVALID – batch ID missing",IF(AND(AR45=1,OR(NOT(ISNUMBER(X45)),NOT(ISNUMBER(Y45)))),"INVALID – expected/actual qty missing",IF(IF(AND(TRIM(U45)="Pass",ISNUMBER(AF45)),IF(AF45&lt;&gt;0,"INVALID – qty variance: use Fail or Pass after CA",""),"")&amp;IF(AND(TRIM(U45)="Pass",AB45="Open"),"INVALID – corrective action still open: use Fail, then Pass after CA","")&amp;IF(AND(TRIM(U45)="Pass after CA",OR(TRIM(AA45)="",AB45&lt;&gt;"Closed")),"INVALID – corrective action not recorded/closed","")&lt;&gt;"",IF(AND(TRIM(U45)="Pass",ISNUMBER(AF45)),IF(AF45&lt;&gt;0,"INVALID – qty variance: use Fail or Pass after CA",""),"")&amp;IF(AND(TRIM(U45)="Pass",AB45="Open"),"INVALID – corrective action still open: use Fail, then Pass after CA","")&amp;IF(AND(TRIM(U45)="Pass after CA",OR(TRIM(AA45)="",AB45&lt;&gt;"Closed")),"INVALID – corrective action not recorded/closed",""),IF(AND(AS45=1,Documents!$J$6&lt;&gt;"ON FILE"),"INVALID – GLD not on file (Documents sheet)",IF(AND(AS45=2,Documents!$O$6&lt;&gt;"ON FILE"),"INVALID – menu checklist not on file (Documents sheet)",IF(AND(AS45=3,NOT(ISNUMBER(Flights!$AX$6))),"INVALID – enter carrying flight KUL departure (Flights AX)",IF(AG45&gt;AsOfUTC,"INVALID – completion time is in the future",IF(AND(ISNUMBER(S45),AG45&lt;S45),IF(H45="Physical uplift","INVALID – before uplift window (cannot confirm loading)","INVALID – before valid window"),IF(AG45&gt;Flights!$AA$6,"INVALID – completed after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f>
        <v>OPEN</v>
      </c>
      <c r="AI45" s="61" t="n">
        <f aca="false">IF(OR(AH45="N/A – RULE",AH45="N/A – JUSTIFIED"),0,1)</f>
        <v>1</v>
      </c>
      <c r="AJ45" s="61" t="n">
        <f aca="false">IF(LEFT(AH45,8)="COMPLETE",1,0)</f>
        <v>0</v>
      </c>
      <c r="AK45" s="61" t="n">
        <f aca="false">IF(AND(AI45=1,AJ45=0,AsOfUTC&gt;Q45),1,0)</f>
        <v>0</v>
      </c>
      <c r="AL45" s="61" t="n">
        <f aca="false">IF(AND(AI45=1,OR(TRIM(U45)="Fail",AB45="Open",AND(ISNUMBER(AF45),AF45&lt;&gt;0,TRIM(U45)&lt;&gt;"Pass after CA"))),1,0)</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row>
    <row r="46" customFormat="false" ht="39.75" hidden="false" customHeight="true" outlineLevel="0" collapsed="false">
      <c r="A46" s="57" t="s">
        <v>455</v>
      </c>
      <c r="B46" s="57" t="s">
        <v>188</v>
      </c>
      <c r="C46" s="57" t="str">
        <f aca="false">Flights!$F$6</f>
        <v>MH0727</v>
      </c>
      <c r="D46" s="58" t="n">
        <f aca="false">Flights!$D$6</f>
        <v>46304</v>
      </c>
      <c r="E46" s="57" t="str">
        <f aca="false">Flights!$G$6&amp;"-"&amp;Flights!$H$6</f>
        <v>KUL-CGK</v>
      </c>
      <c r="F46" s="57" t="str">
        <f aca="false">Flights!$K$6</f>
        <v>BC</v>
      </c>
      <c r="G46" s="57" t="s">
        <v>383</v>
      </c>
      <c r="H46" s="57" t="s">
        <v>341</v>
      </c>
      <c r="I46" s="57" t="s">
        <v>391</v>
      </c>
      <c r="J46" s="57" t="s">
        <v>401</v>
      </c>
      <c r="K46" s="67"/>
      <c r="L46" s="67" t="s">
        <v>385</v>
      </c>
      <c r="M46" s="67"/>
      <c r="N46" s="67" t="s">
        <v>346</v>
      </c>
      <c r="O46" s="67" t="s">
        <v>386</v>
      </c>
      <c r="P46" s="57" t="s">
        <v>177</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IF(N46="N/A – rule","N/A – RULE",IF(TRIM(U46)="N/A",IF(AT46=0,"INVALID – N/A not permitted for this mandatory check",IF(AND(TRIM(AC46)&lt;&gt;"",TRIM(AE46)&lt;&gt;"",TRIM(T46)&lt;&gt;""),"N/A – JUSTIFIED","INVALID – N/A needs justification, PIC and verifier")),IF(OR(TRIM(U46)="Pass",TRIM(U46)="Pass after CA"),IF(NOT(ISNUMBER(AD46)),"INVALID – completion time missing",IF(TRIM(T46)="","INVALID – PIC missing",IF(TRIM(Z46)="","INVALID – evidence missing",IF(TRIM(AE46)="","INVALID – verifier missing",IF(AND(AQ46=1,TRIM(W46)=""),"INVALID – batch ID missing",IF(AND(AR46=1,OR(NOT(ISNUMBER(X46)),NOT(ISNUMBER(Y46)))),"INVALID – expected/actual qty missing",IF(IF(AND(TRIM(U46)="Pass",ISNUMBER(AF46)),IF(AF46&lt;&gt;0,"INVALID – qty variance: use Fail or Pass after CA",""),"")&amp;IF(AND(TRIM(U46)="Pass",AB46="Open"),"INVALID – corrective action still open: use Fail, then Pass after CA","")&amp;IF(AND(TRIM(U46)="Pass after CA",OR(TRIM(AA46)="",AB46&lt;&gt;"Closed")),"INVALID – corrective action not recorded/closed","")&lt;&gt;"",IF(AND(TRIM(U46)="Pass",ISNUMBER(AF46)),IF(AF46&lt;&gt;0,"INVALID – qty variance: use Fail or Pass after CA",""),"")&amp;IF(AND(TRIM(U46)="Pass",AB46="Open"),"INVALID – corrective action still open: use Fail, then Pass after CA","")&amp;IF(AND(TRIM(U46)="Pass after CA",OR(TRIM(AA46)="",AB46&lt;&gt;"Closed")),"INVALID – corrective action not recorded/closed",""),IF(AND(AS46=1,Documents!$J$6&lt;&gt;"ON FILE"),"INVALID – GLD not on file (Documents sheet)",IF(AND(AS46=2,Documents!$O$6&lt;&gt;"ON FILE"),"INVALID – menu checklist not on file (Documents sheet)",IF(AND(AS46=3,NOT(ISNUMBER(Flights!$AX$6))),"INVALID – enter carrying flight KUL departure (Flights AX)",IF(AG46&gt;AsOfUTC,"INVALID – completion time is in the future",IF(AND(ISNUMBER(S46),AG46&lt;S46),IF(H46="Physical uplift","INVALID – before uplift window (cannot confirm loading)","INVALID – before valid window"),IF(AG46&gt;Flights!$AA$6,"INVALID – completed after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f>
        <v>OPEN</v>
      </c>
      <c r="AI46" s="61" t="n">
        <f aca="false">IF(OR(AH46="N/A – RULE",AH46="N/A – JUSTIFIED"),0,1)</f>
        <v>1</v>
      </c>
      <c r="AJ46" s="61" t="n">
        <f aca="false">IF(LEFT(AH46,8)="COMPLETE",1,0)</f>
        <v>0</v>
      </c>
      <c r="AK46" s="61" t="n">
        <f aca="false">IF(AND(AI46=1,AJ46=0,AsOfUTC&gt;Q46),1,0)</f>
        <v>0</v>
      </c>
      <c r="AL46" s="61" t="n">
        <f aca="false">IF(AND(AI46=1,OR(TRIM(U46)="Fail",AB46="Open",AND(ISNUMBER(AF46),AF46&lt;&gt;0,TRIM(U46)&lt;&gt;"Pass after CA"))),1,0)</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row>
    <row r="47" customFormat="false" ht="66" hidden="false" customHeight="true" outlineLevel="0" collapsed="false">
      <c r="A47" s="57" t="s">
        <v>456</v>
      </c>
      <c r="B47" s="57" t="s">
        <v>188</v>
      </c>
      <c r="C47" s="57" t="str">
        <f aca="false">Flights!$F$6</f>
        <v>MH0727</v>
      </c>
      <c r="D47" s="58" t="n">
        <f aca="false">Flights!$D$6</f>
        <v>46304</v>
      </c>
      <c r="E47" s="57" t="str">
        <f aca="false">Flights!$G$6&amp;"-"&amp;Flights!$H$6</f>
        <v>KUL-CGK</v>
      </c>
      <c r="F47" s="57" t="str">
        <f aca="false">Flights!$K$6</f>
        <v>BC</v>
      </c>
      <c r="G47" s="57" t="s">
        <v>383</v>
      </c>
      <c r="H47" s="57" t="s">
        <v>341</v>
      </c>
      <c r="I47" s="57" t="s">
        <v>403</v>
      </c>
      <c r="J47" s="57" t="s">
        <v>457</v>
      </c>
      <c r="K47" s="67" t="s">
        <v>458</v>
      </c>
      <c r="L47" s="67" t="s">
        <v>459</v>
      </c>
      <c r="M47" s="67" t="s">
        <v>414</v>
      </c>
      <c r="N47" s="67" t="s">
        <v>346</v>
      </c>
      <c r="O47" s="67" t="s">
        <v>460</v>
      </c>
      <c r="P47" s="57" t="s">
        <v>177</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IF(N47="N/A – rule","N/A – RULE",IF(TRIM(U47)="N/A",IF(AT47=0,"INVALID – N/A not permitted for this mandatory check",IF(AND(TRIM(AC47)&lt;&gt;"",TRIM(AE47)&lt;&gt;"",TRIM(T47)&lt;&gt;""),"N/A – JUSTIFIED","INVALID – N/A needs justification, PIC and verifier")),IF(OR(TRIM(U47)="Pass",TRIM(U47)="Pass after CA"),IF(NOT(ISNUMBER(AD47)),"INVALID – completion time missing",IF(TRIM(T47)="","INVALID – PIC missing",IF(TRIM(Z47)="","INVALID – evidence missing",IF(TRIM(AE47)="","INVALID – verifier missing",IF(AND(AQ47=1,TRIM(W47)=""),"INVALID – batch ID missing",IF(AND(AR47=1,OR(NOT(ISNUMBER(X47)),NOT(ISNUMBER(Y47)))),"INVALID – expected/actual qty missing",IF(IF(AND(TRIM(U47)="Pass",ISNUMBER(AF47)),IF(AF47&lt;&gt;0,"INVALID – qty variance: use Fail or Pass after CA",""),"")&amp;IF(AND(TRIM(U47)="Pass",AB47="Open"),"INVALID – corrective action still open: use Fail, then Pass after CA","")&amp;IF(AND(TRIM(U47)="Pass after CA",OR(TRIM(AA47)="",AB47&lt;&gt;"Closed")),"INVALID – corrective action not recorded/closed","")&lt;&gt;"",IF(AND(TRIM(U47)="Pass",ISNUMBER(AF47)),IF(AF47&lt;&gt;0,"INVALID – qty variance: use Fail or Pass after CA",""),"")&amp;IF(AND(TRIM(U47)="Pass",AB47="Open"),"INVALID – corrective action still open: use Fail, then Pass after CA","")&amp;IF(AND(TRIM(U47)="Pass after CA",OR(TRIM(AA47)="",AB47&lt;&gt;"Closed")),"INVALID – corrective action not recorded/closed",""),IF(AND(AS47=1,Documents!$J$6&lt;&gt;"ON FILE"),"INVALID – GLD not on file (Documents sheet)",IF(AND(AS47=2,Documents!$O$6&lt;&gt;"ON FILE"),"INVALID – menu checklist not on file (Documents sheet)",IF(AND(AS47=3,NOT(ISNUMBER(Flights!$AX$6))),"INVALID – enter carrying flight KUL departure (Flights AX)",IF(AG47&gt;AsOfUTC,"INVALID – completion time is in the future",IF(AND(ISNUMBER(S47),AG47&lt;S47),IF(H47="Physical uplift","INVALID – before uplift window (cannot confirm loading)","INVALID – before valid window"),IF(AG47&gt;Flights!$AA$6,"INVALID – completed after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f>
        <v>OPEN</v>
      </c>
      <c r="AI47" s="61" t="n">
        <f aca="false">IF(OR(AH47="N/A – RULE",AH47="N/A – JUSTIFIED"),0,1)</f>
        <v>1</v>
      </c>
      <c r="AJ47" s="61" t="n">
        <f aca="false">IF(LEFT(AH47,8)="COMPLETE",1,0)</f>
        <v>0</v>
      </c>
      <c r="AK47" s="61" t="n">
        <f aca="false">IF(AND(AI47=1,AJ47=0,AsOfUTC&gt;Q47),1,0)</f>
        <v>0</v>
      </c>
      <c r="AL47" s="61" t="n">
        <f aca="false">IF(AND(AI47=1,OR(TRIM(U47)="Fail",AB47="Open",AND(ISNUMBER(AF47),AF47&lt;&gt;0,TRIM(U47)&lt;&gt;"Pass after CA"))),1,0)</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1</v>
      </c>
    </row>
    <row r="48" customFormat="false" ht="41.25" hidden="false" customHeight="true" outlineLevel="0" collapsed="false">
      <c r="A48" s="57" t="s">
        <v>461</v>
      </c>
      <c r="B48" s="57" t="s">
        <v>188</v>
      </c>
      <c r="C48" s="57" t="str">
        <f aca="false">Flights!$F$6</f>
        <v>MH0727</v>
      </c>
      <c r="D48" s="58" t="n">
        <f aca="false">Flights!$D$6</f>
        <v>46304</v>
      </c>
      <c r="E48" s="57" t="str">
        <f aca="false">Flights!$G$6&amp;"-"&amp;Flights!$H$6</f>
        <v>KUL-CGK</v>
      </c>
      <c r="F48" s="57" t="str">
        <f aca="false">Flights!$K$6</f>
        <v>BC</v>
      </c>
      <c r="G48" s="57" t="s">
        <v>383</v>
      </c>
      <c r="H48" s="57" t="s">
        <v>341</v>
      </c>
      <c r="I48" s="57" t="s">
        <v>462</v>
      </c>
      <c r="J48" s="57" t="s">
        <v>463</v>
      </c>
      <c r="K48" s="67" t="s">
        <v>464</v>
      </c>
      <c r="L48" s="67" t="s">
        <v>465</v>
      </c>
      <c r="M48" s="67" t="s">
        <v>414</v>
      </c>
      <c r="N48" s="67" t="s">
        <v>346</v>
      </c>
      <c r="O48" s="67" t="s">
        <v>466</v>
      </c>
      <c r="P48" s="57" t="s">
        <v>177</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IF(N48="N/A – rule","N/A – RULE",IF(TRIM(U48)="N/A",IF(AT48=0,"INVALID – N/A not permitted for this mandatory check",IF(AND(TRIM(AC48)&lt;&gt;"",TRIM(AE48)&lt;&gt;"",TRIM(T48)&lt;&gt;""),"N/A – JUSTIFIED","INVALID – N/A needs justification, PIC and verifier")),IF(OR(TRIM(U48)="Pass",TRIM(U48)="Pass after CA"),IF(NOT(ISNUMBER(AD48)),"INVALID – completion time missing",IF(TRIM(T48)="","INVALID – PIC missing",IF(TRIM(Z48)="","INVALID – evidence missing",IF(TRIM(AE48)="","INVALID – verifier missing",IF(AND(AQ48=1,TRIM(W48)=""),"INVALID – batch ID missing",IF(AND(AR48=1,OR(NOT(ISNUMBER(X48)),NOT(ISNUMBER(Y48)))),"INVALID – expected/actual qty missing",IF(IF(AND(TRIM(U48)="Pass",ISNUMBER(AF48)),IF(AF48&lt;&gt;0,"INVALID – qty variance: use Fail or Pass after CA",""),"")&amp;IF(AND(TRIM(U48)="Pass",AB48="Open"),"INVALID – corrective action still open: use Fail, then Pass after CA","")&amp;IF(AND(TRIM(U48)="Pass after CA",OR(TRIM(AA48)="",AB48&lt;&gt;"Closed")),"INVALID – corrective action not recorded/closed","")&lt;&gt;"",IF(AND(TRIM(U48)="Pass",ISNUMBER(AF48)),IF(AF48&lt;&gt;0,"INVALID – qty variance: use Fail or Pass after CA",""),"")&amp;IF(AND(TRIM(U48)="Pass",AB48="Open"),"INVALID – corrective action still open: use Fail, then Pass after CA","")&amp;IF(AND(TRIM(U48)="Pass after CA",OR(TRIM(AA48)="",AB48&lt;&gt;"Closed")),"INVALID – corrective action not recorded/closed",""),IF(AND(AS48=1,Documents!$J$6&lt;&gt;"ON FILE"),"INVALID – GLD not on file (Documents sheet)",IF(AND(AS48=2,Documents!$O$6&lt;&gt;"ON FILE"),"INVALID – menu checklist not on file (Documents sheet)",IF(AND(AS48=3,NOT(ISNUMBER(Flights!$AX$6))),"INVALID – enter carrying flight KUL departure (Flights AX)",IF(AG48&gt;AsOfUTC,"INVALID – completion time is in the future",IF(AND(ISNUMBER(S48),AG48&lt;S48),IF(H48="Physical uplift","INVALID – before uplift window (cannot confirm loading)","INVALID – before valid window"),IF(AG48&gt;Flights!$AA$6,"INVALID – completed after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f>
        <v>OPEN</v>
      </c>
      <c r="AI48" s="61" t="n">
        <f aca="false">IF(OR(AH48="N/A – RULE",AH48="N/A – JUSTIFIED"),0,1)</f>
        <v>1</v>
      </c>
      <c r="AJ48" s="61" t="n">
        <f aca="false">IF(LEFT(AH48,8)="COMPLETE",1,0)</f>
        <v>0</v>
      </c>
      <c r="AK48" s="61" t="n">
        <f aca="false">IF(AND(AI48=1,AJ48=0,AsOfUTC&gt;Q48),1,0)</f>
        <v>0</v>
      </c>
      <c r="AL48" s="61" t="n">
        <f aca="false">IF(AND(AI48=1,OR(TRIM(U48)="Fail",AB48="Open",AND(ISNUMBER(AF48),AF48&lt;&gt;0,TRIM(U48)&lt;&gt;"Pass after CA"))),1,0)</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1</v>
      </c>
    </row>
    <row r="49" customFormat="false" ht="41.25" hidden="false" customHeight="true" outlineLevel="0" collapsed="false">
      <c r="A49" s="57" t="s">
        <v>467</v>
      </c>
      <c r="B49" s="57" t="s">
        <v>188</v>
      </c>
      <c r="C49" s="57" t="str">
        <f aca="false">Flights!$F$6</f>
        <v>MH0727</v>
      </c>
      <c r="D49" s="58" t="n">
        <f aca="false">Flights!$D$6</f>
        <v>46304</v>
      </c>
      <c r="E49" s="57" t="str">
        <f aca="false">Flights!$G$6&amp;"-"&amp;Flights!$H$6</f>
        <v>KUL-CGK</v>
      </c>
      <c r="F49" s="57" t="str">
        <f aca="false">Flights!$K$6</f>
        <v>BC</v>
      </c>
      <c r="G49" s="57" t="s">
        <v>383</v>
      </c>
      <c r="H49" s="57" t="s">
        <v>341</v>
      </c>
      <c r="I49" s="57" t="s">
        <v>462</v>
      </c>
      <c r="J49" s="57" t="s">
        <v>468</v>
      </c>
      <c r="K49" s="67" t="s">
        <v>464</v>
      </c>
      <c r="L49" s="67" t="s">
        <v>469</v>
      </c>
      <c r="M49" s="67" t="s">
        <v>414</v>
      </c>
      <c r="N49" s="67" t="s">
        <v>346</v>
      </c>
      <c r="O49" s="67" t="s">
        <v>466</v>
      </c>
      <c r="P49" s="57" t="s">
        <v>177</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IF(N49="N/A – rule","N/A – RULE",IF(TRIM(U49)="N/A",IF(AT49=0,"INVALID – N/A not permitted for this mandatory check",IF(AND(TRIM(AC49)&lt;&gt;"",TRIM(AE49)&lt;&gt;"",TRIM(T49)&lt;&gt;""),"N/A – JUSTIFIED","INVALID – N/A needs justification, PIC and verifier")),IF(OR(TRIM(U49)="Pass",TRIM(U49)="Pass after CA"),IF(NOT(ISNUMBER(AD49)),"INVALID – completion time missing",IF(TRIM(T49)="","INVALID – PIC missing",IF(TRIM(Z49)="","INVALID – evidence missing",IF(TRIM(AE49)="","INVALID – verifier missing",IF(AND(AQ49=1,TRIM(W49)=""),"INVALID – batch ID missing",IF(AND(AR49=1,OR(NOT(ISNUMBER(X49)),NOT(ISNUMBER(Y49)))),"INVALID – expected/actual qty missing",IF(IF(AND(TRIM(U49)="Pass",ISNUMBER(AF49)),IF(AF49&lt;&gt;0,"INVALID – qty variance: use Fail or Pass after CA",""),"")&amp;IF(AND(TRIM(U49)="Pass",AB49="Open"),"INVALID – corrective action still open: use Fail, then Pass after CA","")&amp;IF(AND(TRIM(U49)="Pass after CA",OR(TRIM(AA49)="",AB49&lt;&gt;"Closed")),"INVALID – corrective action not recorded/closed","")&lt;&gt;"",IF(AND(TRIM(U49)="Pass",ISNUMBER(AF49)),IF(AF49&lt;&gt;0,"INVALID – qty variance: use Fail or Pass after CA",""),"")&amp;IF(AND(TRIM(U49)="Pass",AB49="Open"),"INVALID – corrective action still open: use Fail, then Pass after CA","")&amp;IF(AND(TRIM(U49)="Pass after CA",OR(TRIM(AA49)="",AB49&lt;&gt;"Closed")),"INVALID – corrective action not recorded/closed",""),IF(AND(AS49=1,Documents!$J$6&lt;&gt;"ON FILE"),"INVALID – GLD not on file (Documents sheet)",IF(AND(AS49=2,Documents!$O$6&lt;&gt;"ON FILE"),"INVALID – menu checklist not on file (Documents sheet)",IF(AND(AS49=3,NOT(ISNUMBER(Flights!$AX$6))),"INVALID – enter carrying flight KUL departure (Flights AX)",IF(AG49&gt;AsOfUTC,"INVALID – completion time is in the future",IF(AND(ISNUMBER(S49),AG49&lt;S49),IF(H49="Physical uplift","INVALID – before uplift window (cannot confirm loading)","INVALID – before valid window"),IF(AG49&gt;Flights!$AA$6,"INVALID – completed after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f>
        <v>OPEN</v>
      </c>
      <c r="AI49" s="61" t="n">
        <f aca="false">IF(OR(AH49="N/A – RULE",AH49="N/A – JUSTIFIED"),0,1)</f>
        <v>1</v>
      </c>
      <c r="AJ49" s="61" t="n">
        <f aca="false">IF(LEFT(AH49,8)="COMPLETE",1,0)</f>
        <v>0</v>
      </c>
      <c r="AK49" s="61" t="n">
        <f aca="false">IF(AND(AI49=1,AJ49=0,AsOfUTC&gt;Q49),1,0)</f>
        <v>0</v>
      </c>
      <c r="AL49" s="61" t="n">
        <f aca="false">IF(AND(AI49=1,OR(TRIM(U49)="Fail",AB49="Open",AND(ISNUMBER(AF49),AF49&lt;&gt;0,TRIM(U49)&lt;&gt;"Pass after CA"))),1,0)</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1</v>
      </c>
    </row>
    <row r="50" customFormat="false" ht="41.25" hidden="false" customHeight="true" outlineLevel="0" collapsed="false">
      <c r="A50" s="57" t="s">
        <v>470</v>
      </c>
      <c r="B50" s="57" t="s">
        <v>188</v>
      </c>
      <c r="C50" s="57" t="str">
        <f aca="false">Flights!$F$6</f>
        <v>MH0727</v>
      </c>
      <c r="D50" s="58" t="n">
        <f aca="false">Flights!$D$6</f>
        <v>46304</v>
      </c>
      <c r="E50" s="57" t="str">
        <f aca="false">Flights!$G$6&amp;"-"&amp;Flights!$H$6</f>
        <v>KUL-CGK</v>
      </c>
      <c r="F50" s="57" t="str">
        <f aca="false">Flights!$K$6</f>
        <v>BC</v>
      </c>
      <c r="G50" s="57" t="s">
        <v>383</v>
      </c>
      <c r="H50" s="57" t="s">
        <v>341</v>
      </c>
      <c r="I50" s="57" t="s">
        <v>462</v>
      </c>
      <c r="J50" s="57" t="s">
        <v>471</v>
      </c>
      <c r="K50" s="67" t="s">
        <v>464</v>
      </c>
      <c r="L50" s="67" t="s">
        <v>472</v>
      </c>
      <c r="M50" s="67" t="s">
        <v>414</v>
      </c>
      <c r="N50" s="67" t="s">
        <v>346</v>
      </c>
      <c r="O50" s="67" t="s">
        <v>466</v>
      </c>
      <c r="P50" s="57" t="s">
        <v>177</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IF(N50="N/A – rule","N/A – RULE",IF(TRIM(U50)="N/A",IF(AT50=0,"INVALID – N/A not permitted for this mandatory check",IF(AND(TRIM(AC50)&lt;&gt;"",TRIM(AE50)&lt;&gt;"",TRIM(T50)&lt;&gt;""),"N/A – JUSTIFIED","INVALID – N/A needs justification, PIC and verifier")),IF(OR(TRIM(U50)="Pass",TRIM(U50)="Pass after CA"),IF(NOT(ISNUMBER(AD50)),"INVALID – completion time missing",IF(TRIM(T50)="","INVALID – PIC missing",IF(TRIM(Z50)="","INVALID – evidence missing",IF(TRIM(AE50)="","INVALID – verifier missing",IF(AND(AQ50=1,TRIM(W50)=""),"INVALID – batch ID missing",IF(AND(AR50=1,OR(NOT(ISNUMBER(X50)),NOT(ISNUMBER(Y50)))),"INVALID – expected/actual qty missing",IF(IF(AND(TRIM(U50)="Pass",ISNUMBER(AF50)),IF(AF50&lt;&gt;0,"INVALID – qty variance: use Fail or Pass after CA",""),"")&amp;IF(AND(TRIM(U50)="Pass",AB50="Open"),"INVALID – corrective action still open: use Fail, then Pass after CA","")&amp;IF(AND(TRIM(U50)="Pass after CA",OR(TRIM(AA50)="",AB50&lt;&gt;"Closed")),"INVALID – corrective action not recorded/closed","")&lt;&gt;"",IF(AND(TRIM(U50)="Pass",ISNUMBER(AF50)),IF(AF50&lt;&gt;0,"INVALID – qty variance: use Fail or Pass after CA",""),"")&amp;IF(AND(TRIM(U50)="Pass",AB50="Open"),"INVALID – corrective action still open: use Fail, then Pass after CA","")&amp;IF(AND(TRIM(U50)="Pass after CA",OR(TRIM(AA50)="",AB50&lt;&gt;"Closed")),"INVALID – corrective action not recorded/closed",""),IF(AND(AS50=1,Documents!$J$6&lt;&gt;"ON FILE"),"INVALID – GLD not on file (Documents sheet)",IF(AND(AS50=2,Documents!$O$6&lt;&gt;"ON FILE"),"INVALID – menu checklist not on file (Documents sheet)",IF(AND(AS50=3,NOT(ISNUMBER(Flights!$AX$6))),"INVALID – enter carrying flight KUL departure (Flights AX)",IF(AG50&gt;AsOfUTC,"INVALID – completion time is in the future",IF(AND(ISNUMBER(S50),AG50&lt;S50),IF(H50="Physical uplift","INVALID – before uplift window (cannot confirm loading)","INVALID – before valid window"),IF(AG50&gt;Flights!$AA$6,"INVALID – completed after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f>
        <v>OPEN</v>
      </c>
      <c r="AI50" s="61" t="n">
        <f aca="false">IF(OR(AH50="N/A – RULE",AH50="N/A – JUSTIFIED"),0,1)</f>
        <v>1</v>
      </c>
      <c r="AJ50" s="61" t="n">
        <f aca="false">IF(LEFT(AH50,8)="COMPLETE",1,0)</f>
        <v>0</v>
      </c>
      <c r="AK50" s="61" t="n">
        <f aca="false">IF(AND(AI50=1,AJ50=0,AsOfUTC&gt;Q50),1,0)</f>
        <v>0</v>
      </c>
      <c r="AL50" s="61" t="n">
        <f aca="false">IF(AND(AI50=1,OR(TRIM(U50)="Fail",AB50="Open",AND(ISNUMBER(AF50),AF50&lt;&gt;0,TRIM(U50)&lt;&gt;"Pass after CA"))),1,0)</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1</v>
      </c>
    </row>
    <row r="51" customFormat="false" ht="116.25" hidden="false" customHeight="true" outlineLevel="0" collapsed="false">
      <c r="A51" s="57" t="s">
        <v>473</v>
      </c>
      <c r="B51" s="57" t="s">
        <v>188</v>
      </c>
      <c r="C51" s="57" t="str">
        <f aca="false">Flights!$F$6</f>
        <v>MH0727</v>
      </c>
      <c r="D51" s="58" t="n">
        <f aca="false">Flights!$D$6</f>
        <v>46304</v>
      </c>
      <c r="E51" s="57" t="str">
        <f aca="false">Flights!$G$6&amp;"-"&amp;Flights!$H$6</f>
        <v>KUL-CGK</v>
      </c>
      <c r="F51" s="57" t="str">
        <f aca="false">Flights!$K$6</f>
        <v>BC</v>
      </c>
      <c r="G51" s="57" t="s">
        <v>383</v>
      </c>
      <c r="H51" s="57" t="s">
        <v>341</v>
      </c>
      <c r="I51" s="57" t="s">
        <v>462</v>
      </c>
      <c r="J51" s="57" t="s">
        <v>474</v>
      </c>
      <c r="K51" s="67" t="s">
        <v>464</v>
      </c>
      <c r="L51" s="67" t="s">
        <v>475</v>
      </c>
      <c r="M51" s="67" t="s">
        <v>414</v>
      </c>
      <c r="N51" s="67" t="s">
        <v>407</v>
      </c>
      <c r="O51" s="67" t="s">
        <v>476</v>
      </c>
      <c r="P51" s="57" t="s">
        <v>177</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IF(N51="N/A – rule","N/A – RULE",IF(TRIM(U51)="N/A",IF(AT51=0,"INVALID – N/A not permitted for this mandatory check",IF(AND(TRIM(AC51)&lt;&gt;"",TRIM(AE51)&lt;&gt;"",TRIM(T51)&lt;&gt;""),"N/A – JUSTIFIED","INVALID – N/A needs justification, PIC and verifier")),IF(OR(TRIM(U51)="Pass",TRIM(U51)="Pass after CA"),IF(NOT(ISNUMBER(AD51)),"INVALID – completion time missing",IF(TRIM(T51)="","INVALID – PIC missing",IF(TRIM(Z51)="","INVALID – evidence missing",IF(TRIM(AE51)="","INVALID – verifier missing",IF(AND(AQ51=1,TRIM(W51)=""),"INVALID – batch ID missing",IF(AND(AR51=1,OR(NOT(ISNUMBER(X51)),NOT(ISNUMBER(Y51)))),"INVALID – expected/actual qty missing",IF(IF(AND(TRIM(U51)="Pass",ISNUMBER(AF51)),IF(AF51&lt;&gt;0,"INVALID – qty variance: use Fail or Pass after CA",""),"")&amp;IF(AND(TRIM(U51)="Pass",AB51="Open"),"INVALID – corrective action still open: use Fail, then Pass after CA","")&amp;IF(AND(TRIM(U51)="Pass after CA",OR(TRIM(AA51)="",AB51&lt;&gt;"Closed")),"INVALID – corrective action not recorded/closed","")&lt;&gt;"",IF(AND(TRIM(U51)="Pass",ISNUMBER(AF51)),IF(AF51&lt;&gt;0,"INVALID – qty variance: use Fail or Pass after CA",""),"")&amp;IF(AND(TRIM(U51)="Pass",AB51="Open"),"INVALID – corrective action still open: use Fail, then Pass after CA","")&amp;IF(AND(TRIM(U51)="Pass after CA",OR(TRIM(AA51)="",AB51&lt;&gt;"Closed")),"INVALID – corrective action not recorded/closed",""),IF(AND(AS51=1,Documents!$J$6&lt;&gt;"ON FILE"),"INVALID – GLD not on file (Documents sheet)",IF(AND(AS51=2,Documents!$O$6&lt;&gt;"ON FILE"),"INVALID – menu checklist not on file (Documents sheet)",IF(AND(AS51=3,NOT(ISNUMBER(Flights!$AX$6))),"INVALID – enter carrying flight KUL departure (Flights AX)",IF(AG51&gt;AsOfUTC,"INVALID – completion time is in the future",IF(AND(ISNUMBER(S51),AG51&lt;S51),IF(H51="Physical uplift","INVALID – before uplift window (cannot confirm loading)","INVALID – before valid window"),IF(AG51&gt;Flights!$AA$6,"INVALID – completed after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f>
        <v>OPEN – CLARIFICATION</v>
      </c>
      <c r="AI51" s="61" t="n">
        <f aca="false">IF(OR(AH51="N/A – RULE",AH51="N/A – JUSTIFIED"),0,1)</f>
        <v>1</v>
      </c>
      <c r="AJ51" s="61" t="n">
        <f aca="false">IF(LEFT(AH51,8)="COMPLETE",1,0)</f>
        <v>0</v>
      </c>
      <c r="AK51" s="61" t="n">
        <f aca="false">IF(AND(AI51=1,AJ51=0,AsOfUTC&gt;Q51),1,0)</f>
        <v>0</v>
      </c>
      <c r="AL51" s="61" t="n">
        <f aca="false">IF(AND(AI51=1,OR(TRIM(U51)="Fail",AB51="Open",AND(ISNUMBER(AF51),AF51&lt;&gt;0,TRIM(U51)&lt;&gt;"Pass after CA"))),1,0)</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row>
    <row r="52" customFormat="false" ht="116.25" hidden="false" customHeight="true" outlineLevel="0" collapsed="false">
      <c r="A52" s="57" t="s">
        <v>477</v>
      </c>
      <c r="B52" s="57" t="s">
        <v>188</v>
      </c>
      <c r="C52" s="57" t="str">
        <f aca="false">Flights!$F$6</f>
        <v>MH0727</v>
      </c>
      <c r="D52" s="58" t="n">
        <f aca="false">Flights!$D$6</f>
        <v>46304</v>
      </c>
      <c r="E52" s="57" t="str">
        <f aca="false">Flights!$G$6&amp;"-"&amp;Flights!$H$6</f>
        <v>KUL-CGK</v>
      </c>
      <c r="F52" s="57" t="str">
        <f aca="false">Flights!$K$6</f>
        <v>BC</v>
      </c>
      <c r="G52" s="57" t="s">
        <v>383</v>
      </c>
      <c r="H52" s="57" t="s">
        <v>341</v>
      </c>
      <c r="I52" s="57" t="s">
        <v>462</v>
      </c>
      <c r="J52" s="57" t="s">
        <v>478</v>
      </c>
      <c r="K52" s="67" t="s">
        <v>464</v>
      </c>
      <c r="L52" s="67" t="s">
        <v>479</v>
      </c>
      <c r="M52" s="67" t="s">
        <v>414</v>
      </c>
      <c r="N52" s="67" t="s">
        <v>407</v>
      </c>
      <c r="O52" s="67" t="s">
        <v>476</v>
      </c>
      <c r="P52" s="57" t="s">
        <v>177</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IF(N52="N/A – rule","N/A – RULE",IF(TRIM(U52)="N/A",IF(AT52=0,"INVALID – N/A not permitted for this mandatory check",IF(AND(TRIM(AC52)&lt;&gt;"",TRIM(AE52)&lt;&gt;"",TRIM(T52)&lt;&gt;""),"N/A – JUSTIFIED","INVALID – N/A needs justification, PIC and verifier")),IF(OR(TRIM(U52)="Pass",TRIM(U52)="Pass after CA"),IF(NOT(ISNUMBER(AD52)),"INVALID – completion time missing",IF(TRIM(T52)="","INVALID – PIC missing",IF(TRIM(Z52)="","INVALID – evidence missing",IF(TRIM(AE52)="","INVALID – verifier missing",IF(AND(AQ52=1,TRIM(W52)=""),"INVALID – batch ID missing",IF(AND(AR52=1,OR(NOT(ISNUMBER(X52)),NOT(ISNUMBER(Y52)))),"INVALID – expected/actual qty missing",IF(IF(AND(TRIM(U52)="Pass",ISNUMBER(AF52)),IF(AF52&lt;&gt;0,"INVALID – qty variance: use Fail or Pass after CA",""),"")&amp;IF(AND(TRIM(U52)="Pass",AB52="Open"),"INVALID – corrective action still open: use Fail, then Pass after CA","")&amp;IF(AND(TRIM(U52)="Pass after CA",OR(TRIM(AA52)="",AB52&lt;&gt;"Closed")),"INVALID – corrective action not recorded/closed","")&lt;&gt;"",IF(AND(TRIM(U52)="Pass",ISNUMBER(AF52)),IF(AF52&lt;&gt;0,"INVALID – qty variance: use Fail or Pass after CA",""),"")&amp;IF(AND(TRIM(U52)="Pass",AB52="Open"),"INVALID – corrective action still open: use Fail, then Pass after CA","")&amp;IF(AND(TRIM(U52)="Pass after CA",OR(TRIM(AA52)="",AB52&lt;&gt;"Closed")),"INVALID – corrective action not recorded/closed",""),IF(AND(AS52=1,Documents!$J$6&lt;&gt;"ON FILE"),"INVALID – GLD not on file (Documents sheet)",IF(AND(AS52=2,Documents!$O$6&lt;&gt;"ON FILE"),"INVALID – menu checklist not on file (Documents sheet)",IF(AND(AS52=3,NOT(ISNUMBER(Flights!$AX$6))),"INVALID – enter carrying flight KUL departure (Flights AX)",IF(AG52&gt;AsOfUTC,"INVALID – completion time is in the future",IF(AND(ISNUMBER(S52),AG52&lt;S52),IF(H52="Physical uplift","INVALID – before uplift window (cannot confirm loading)","INVALID – before valid window"),IF(AG52&gt;Flights!$AA$6,"INVALID – completed after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f>
        <v>OPEN – CLARIFICATION</v>
      </c>
      <c r="AI52" s="61" t="n">
        <f aca="false">IF(OR(AH52="N/A – RULE",AH52="N/A – JUSTIFIED"),0,1)</f>
        <v>1</v>
      </c>
      <c r="AJ52" s="61" t="n">
        <f aca="false">IF(LEFT(AH52,8)="COMPLETE",1,0)</f>
        <v>0</v>
      </c>
      <c r="AK52" s="61" t="n">
        <f aca="false">IF(AND(AI52=1,AJ52=0,AsOfUTC&gt;Q52),1,0)</f>
        <v>0</v>
      </c>
      <c r="AL52" s="61" t="n">
        <f aca="false">IF(AND(AI52=1,OR(TRIM(U52)="Fail",AB52="Open",AND(ISNUMBER(AF52),AF52&lt;&gt;0,TRIM(U52)&lt;&gt;"Pass after CA"))),1,0)</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row>
    <row r="53" customFormat="false" ht="54" hidden="false" customHeight="true" outlineLevel="0" collapsed="false">
      <c r="A53" s="57" t="s">
        <v>480</v>
      </c>
      <c r="B53" s="57" t="s">
        <v>188</v>
      </c>
      <c r="C53" s="57" t="str">
        <f aca="false">Flights!$F$6</f>
        <v>MH0727</v>
      </c>
      <c r="D53" s="58" t="n">
        <f aca="false">Flights!$D$6</f>
        <v>46304</v>
      </c>
      <c r="E53" s="57" t="str">
        <f aca="false">Flights!$G$6&amp;"-"&amp;Flights!$H$6</f>
        <v>KUL-CGK</v>
      </c>
      <c r="F53" s="57" t="str">
        <f aca="false">Flights!$K$6</f>
        <v>BC</v>
      </c>
      <c r="G53" s="57" t="s">
        <v>383</v>
      </c>
      <c r="H53" s="57" t="s">
        <v>341</v>
      </c>
      <c r="I53" s="57" t="s">
        <v>462</v>
      </c>
      <c r="J53" s="57" t="s">
        <v>481</v>
      </c>
      <c r="K53" s="67" t="s">
        <v>482</v>
      </c>
      <c r="L53" s="67" t="s">
        <v>483</v>
      </c>
      <c r="M53" s="67" t="s">
        <v>414</v>
      </c>
      <c r="N53" s="67" t="s">
        <v>346</v>
      </c>
      <c r="O53" s="67" t="s">
        <v>484</v>
      </c>
      <c r="P53" s="57" t="s">
        <v>177</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IF(N53="N/A – rule","N/A – RULE",IF(TRIM(U53)="N/A",IF(AT53=0,"INVALID – N/A not permitted for this mandatory check",IF(AND(TRIM(AC53)&lt;&gt;"",TRIM(AE53)&lt;&gt;"",TRIM(T53)&lt;&gt;""),"N/A – JUSTIFIED","INVALID – N/A needs justification, PIC and verifier")),IF(OR(TRIM(U53)="Pass",TRIM(U53)="Pass after CA"),IF(NOT(ISNUMBER(AD53)),"INVALID – completion time missing",IF(TRIM(T53)="","INVALID – PIC missing",IF(TRIM(Z53)="","INVALID – evidence missing",IF(TRIM(AE53)="","INVALID – verifier missing",IF(AND(AQ53=1,TRIM(W53)=""),"INVALID – batch ID missing",IF(AND(AR53=1,OR(NOT(ISNUMBER(X53)),NOT(ISNUMBER(Y53)))),"INVALID – expected/actual qty missing",IF(IF(AND(TRIM(U53)="Pass",ISNUMBER(AF53)),IF(AF53&lt;&gt;0,"INVALID – qty variance: use Fail or Pass after CA",""),"")&amp;IF(AND(TRIM(U53)="Pass",AB53="Open"),"INVALID – corrective action still open: use Fail, then Pass after CA","")&amp;IF(AND(TRIM(U53)="Pass after CA",OR(TRIM(AA53)="",AB53&lt;&gt;"Closed")),"INVALID – corrective action not recorded/closed","")&lt;&gt;"",IF(AND(TRIM(U53)="Pass",ISNUMBER(AF53)),IF(AF53&lt;&gt;0,"INVALID – qty variance: use Fail or Pass after CA",""),"")&amp;IF(AND(TRIM(U53)="Pass",AB53="Open"),"INVALID – corrective action still open: use Fail, then Pass after CA","")&amp;IF(AND(TRIM(U53)="Pass after CA",OR(TRIM(AA53)="",AB53&lt;&gt;"Closed")),"INVALID – corrective action not recorded/closed",""),IF(AND(AS53=1,Documents!$J$6&lt;&gt;"ON FILE"),"INVALID – GLD not on file (Documents sheet)",IF(AND(AS53=2,Documents!$O$6&lt;&gt;"ON FILE"),"INVALID – menu checklist not on file (Documents sheet)",IF(AND(AS53=3,NOT(ISNUMBER(Flights!$AX$6))),"INVALID – enter carrying flight KUL departure (Flights AX)",IF(AG53&gt;AsOfUTC,"INVALID – completion time is in the future",IF(AND(ISNUMBER(S53),AG53&lt;S53),IF(H53="Physical uplift","INVALID – before uplift window (cannot confirm loading)","INVALID – before valid window"),IF(AG53&gt;Flights!$AA$6,"INVALID – completed after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f>
        <v>OPEN</v>
      </c>
      <c r="AI53" s="61" t="n">
        <f aca="false">IF(OR(AH53="N/A – RULE",AH53="N/A – JUSTIFIED"),0,1)</f>
        <v>1</v>
      </c>
      <c r="AJ53" s="61" t="n">
        <f aca="false">IF(LEFT(AH53,8)="COMPLETE",1,0)</f>
        <v>0</v>
      </c>
      <c r="AK53" s="61" t="n">
        <f aca="false">IF(AND(AI53=1,AJ53=0,AsOfUTC&gt;Q53),1,0)</f>
        <v>0</v>
      </c>
      <c r="AL53" s="61" t="n">
        <f aca="false">IF(AND(AI53=1,OR(TRIM(U53)="Fail",AB53="Open",AND(ISNUMBER(AF53),AF53&lt;&gt;0,TRIM(U53)&lt;&gt;"Pass after CA"))),1,0)</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1</v>
      </c>
    </row>
    <row r="54" customFormat="false" ht="41.25" hidden="false" customHeight="true" outlineLevel="0" collapsed="false">
      <c r="A54" s="57" t="s">
        <v>485</v>
      </c>
      <c r="B54" s="57" t="s">
        <v>188</v>
      </c>
      <c r="C54" s="57" t="str">
        <f aca="false">Flights!$F$6</f>
        <v>MH0727</v>
      </c>
      <c r="D54" s="58" t="n">
        <f aca="false">Flights!$D$6</f>
        <v>46304</v>
      </c>
      <c r="E54" s="57" t="str">
        <f aca="false">Flights!$G$6&amp;"-"&amp;Flights!$H$6</f>
        <v>KUL-CGK</v>
      </c>
      <c r="F54" s="57" t="str">
        <f aca="false">Flights!$K$6</f>
        <v>BC</v>
      </c>
      <c r="G54" s="57" t="s">
        <v>383</v>
      </c>
      <c r="H54" s="57" t="s">
        <v>341</v>
      </c>
      <c r="I54" s="57" t="s">
        <v>462</v>
      </c>
      <c r="J54" s="57" t="s">
        <v>486</v>
      </c>
      <c r="K54" s="67" t="s">
        <v>464</v>
      </c>
      <c r="L54" s="67" t="s">
        <v>487</v>
      </c>
      <c r="M54" s="67" t="s">
        <v>414</v>
      </c>
      <c r="N54" s="67" t="s">
        <v>346</v>
      </c>
      <c r="O54" s="67" t="s">
        <v>466</v>
      </c>
      <c r="P54" s="57" t="s">
        <v>177</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IF(N54="N/A – rule","N/A – RULE",IF(TRIM(U54)="N/A",IF(AT54=0,"INVALID – N/A not permitted for this mandatory check",IF(AND(TRIM(AC54)&lt;&gt;"",TRIM(AE54)&lt;&gt;"",TRIM(T54)&lt;&gt;""),"N/A – JUSTIFIED","INVALID – N/A needs justification, PIC and verifier")),IF(OR(TRIM(U54)="Pass",TRIM(U54)="Pass after CA"),IF(NOT(ISNUMBER(AD54)),"INVALID – completion time missing",IF(TRIM(T54)="","INVALID – PIC missing",IF(TRIM(Z54)="","INVALID – evidence missing",IF(TRIM(AE54)="","INVALID – verifier missing",IF(AND(AQ54=1,TRIM(W54)=""),"INVALID – batch ID missing",IF(AND(AR54=1,OR(NOT(ISNUMBER(X54)),NOT(ISNUMBER(Y54)))),"INVALID – expected/actual qty missing",IF(IF(AND(TRIM(U54)="Pass",ISNUMBER(AF54)),IF(AF54&lt;&gt;0,"INVALID – qty variance: use Fail or Pass after CA",""),"")&amp;IF(AND(TRIM(U54)="Pass",AB54="Open"),"INVALID – corrective action still open: use Fail, then Pass after CA","")&amp;IF(AND(TRIM(U54)="Pass after CA",OR(TRIM(AA54)="",AB54&lt;&gt;"Closed")),"INVALID – corrective action not recorded/closed","")&lt;&gt;"",IF(AND(TRIM(U54)="Pass",ISNUMBER(AF54)),IF(AF54&lt;&gt;0,"INVALID – qty variance: use Fail or Pass after CA",""),"")&amp;IF(AND(TRIM(U54)="Pass",AB54="Open"),"INVALID – corrective action still open: use Fail, then Pass after CA","")&amp;IF(AND(TRIM(U54)="Pass after CA",OR(TRIM(AA54)="",AB54&lt;&gt;"Closed")),"INVALID – corrective action not recorded/closed",""),IF(AND(AS54=1,Documents!$J$6&lt;&gt;"ON FILE"),"INVALID – GLD not on file (Documents sheet)",IF(AND(AS54=2,Documents!$O$6&lt;&gt;"ON FILE"),"INVALID – menu checklist not on file (Documents sheet)",IF(AND(AS54=3,NOT(ISNUMBER(Flights!$AX$6))),"INVALID – enter carrying flight KUL departure (Flights AX)",IF(AG54&gt;AsOfUTC,"INVALID – completion time is in the future",IF(AND(ISNUMBER(S54),AG54&lt;S54),IF(H54="Physical uplift","INVALID – before uplift window (cannot confirm loading)","INVALID – before valid window"),IF(AG54&gt;Flights!$AA$6,"INVALID – completed after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f>
        <v>OPEN</v>
      </c>
      <c r="AI54" s="61" t="n">
        <f aca="false">IF(OR(AH54="N/A – RULE",AH54="N/A – JUSTIFIED"),0,1)</f>
        <v>1</v>
      </c>
      <c r="AJ54" s="61" t="n">
        <f aca="false">IF(LEFT(AH54,8)="COMPLETE",1,0)</f>
        <v>0</v>
      </c>
      <c r="AK54" s="61" t="n">
        <f aca="false">IF(AND(AI54=1,AJ54=0,AsOfUTC&gt;Q54),1,0)</f>
        <v>0</v>
      </c>
      <c r="AL54" s="61" t="n">
        <f aca="false">IF(AND(AI54=1,OR(TRIM(U54)="Fail",AB54="Open",AND(ISNUMBER(AF54),AF54&lt;&gt;0,TRIM(U54)&lt;&gt;"Pass after CA"))),1,0)</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1</v>
      </c>
    </row>
    <row r="55" customFormat="false" ht="41.25" hidden="false" customHeight="true" outlineLevel="0" collapsed="false">
      <c r="A55" s="57" t="s">
        <v>488</v>
      </c>
      <c r="B55" s="57" t="s">
        <v>188</v>
      </c>
      <c r="C55" s="57" t="str">
        <f aca="false">Flights!$F$6</f>
        <v>MH0727</v>
      </c>
      <c r="D55" s="58" t="n">
        <f aca="false">Flights!$D$6</f>
        <v>46304</v>
      </c>
      <c r="E55" s="57" t="str">
        <f aca="false">Flights!$G$6&amp;"-"&amp;Flights!$H$6</f>
        <v>KUL-CGK</v>
      </c>
      <c r="F55" s="57" t="str">
        <f aca="false">Flights!$K$6</f>
        <v>BC</v>
      </c>
      <c r="G55" s="57" t="s">
        <v>383</v>
      </c>
      <c r="H55" s="57" t="s">
        <v>341</v>
      </c>
      <c r="I55" s="57" t="s">
        <v>410</v>
      </c>
      <c r="J55" s="57" t="s">
        <v>489</v>
      </c>
      <c r="K55" s="67" t="s">
        <v>412</v>
      </c>
      <c r="L55" s="67" t="s">
        <v>490</v>
      </c>
      <c r="M55" s="67" t="s">
        <v>414</v>
      </c>
      <c r="N55" s="67" t="s">
        <v>346</v>
      </c>
      <c r="O55" s="67" t="s">
        <v>466</v>
      </c>
      <c r="P55" s="57" t="s">
        <v>177</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IF(N55="N/A – rule","N/A – RULE",IF(TRIM(U55)="N/A",IF(AT55=0,"INVALID – N/A not permitted for this mandatory check",IF(AND(TRIM(AC55)&lt;&gt;"",TRIM(AE55)&lt;&gt;"",TRIM(T55)&lt;&gt;""),"N/A – JUSTIFIED","INVALID – N/A needs justification, PIC and verifier")),IF(OR(TRIM(U55)="Pass",TRIM(U55)="Pass after CA"),IF(NOT(ISNUMBER(AD55)),"INVALID – completion time missing",IF(TRIM(T55)="","INVALID – PIC missing",IF(TRIM(Z55)="","INVALID – evidence missing",IF(TRIM(AE55)="","INVALID – verifier missing",IF(AND(AQ55=1,TRIM(W55)=""),"INVALID – batch ID missing",IF(AND(AR55=1,OR(NOT(ISNUMBER(X55)),NOT(ISNUMBER(Y55)))),"INVALID – expected/actual qty missing",IF(IF(AND(TRIM(U55)="Pass",ISNUMBER(AF55)),IF(AF55&lt;&gt;0,"INVALID – qty variance: use Fail or Pass after CA",""),"")&amp;IF(AND(TRIM(U55)="Pass",AB55="Open"),"INVALID – corrective action still open: use Fail, then Pass after CA","")&amp;IF(AND(TRIM(U55)="Pass after CA",OR(TRIM(AA55)="",AB55&lt;&gt;"Closed")),"INVALID – corrective action not recorded/closed","")&lt;&gt;"",IF(AND(TRIM(U55)="Pass",ISNUMBER(AF55)),IF(AF55&lt;&gt;0,"INVALID – qty variance: use Fail or Pass after CA",""),"")&amp;IF(AND(TRIM(U55)="Pass",AB55="Open"),"INVALID – corrective action still open: use Fail, then Pass after CA","")&amp;IF(AND(TRIM(U55)="Pass after CA",OR(TRIM(AA55)="",AB55&lt;&gt;"Closed")),"INVALID – corrective action not recorded/closed",""),IF(AND(AS55=1,Documents!$J$6&lt;&gt;"ON FILE"),"INVALID – GLD not on file (Documents sheet)",IF(AND(AS55=2,Documents!$O$6&lt;&gt;"ON FILE"),"INVALID – menu checklist not on file (Documents sheet)",IF(AND(AS55=3,NOT(ISNUMBER(Flights!$AX$6))),"INVALID – enter carrying flight KUL departure (Flights AX)",IF(AG55&gt;AsOfUTC,"INVALID – completion time is in the future",IF(AND(ISNUMBER(S55),AG55&lt;S55),IF(H55="Physical uplift","INVALID – before uplift window (cannot confirm loading)","INVALID – before valid window"),IF(AG55&gt;Flights!$AA$6,"INVALID – completed after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f>
        <v>OPEN</v>
      </c>
      <c r="AI55" s="61" t="n">
        <f aca="false">IF(OR(AH55="N/A – RULE",AH55="N/A – JUSTIFIED"),0,1)</f>
        <v>1</v>
      </c>
      <c r="AJ55" s="61" t="n">
        <f aca="false">IF(LEFT(AH55,8)="COMPLETE",1,0)</f>
        <v>0</v>
      </c>
      <c r="AK55" s="61" t="n">
        <f aca="false">IF(AND(AI55=1,AJ55=0,AsOfUTC&gt;Q55),1,0)</f>
        <v>0</v>
      </c>
      <c r="AL55" s="61" t="n">
        <f aca="false">IF(AND(AI55=1,OR(TRIM(U55)="Fail",AB55="Open",AND(ISNUMBER(AF55),AF55&lt;&gt;0,TRIM(U55)&lt;&gt;"Pass after CA"))),1,0)</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1</v>
      </c>
    </row>
    <row r="56" customFormat="false" ht="41.25" hidden="false" customHeight="true" outlineLevel="0" collapsed="false">
      <c r="A56" s="57" t="s">
        <v>491</v>
      </c>
      <c r="B56" s="57" t="s">
        <v>188</v>
      </c>
      <c r="C56" s="57" t="str">
        <f aca="false">Flights!$F$6</f>
        <v>MH0727</v>
      </c>
      <c r="D56" s="58" t="n">
        <f aca="false">Flights!$D$6</f>
        <v>46304</v>
      </c>
      <c r="E56" s="57" t="str">
        <f aca="false">Flights!$G$6&amp;"-"&amp;Flights!$H$6</f>
        <v>KUL-CGK</v>
      </c>
      <c r="F56" s="57" t="str">
        <f aca="false">Flights!$K$6</f>
        <v>BC</v>
      </c>
      <c r="G56" s="57" t="s">
        <v>383</v>
      </c>
      <c r="H56" s="57" t="s">
        <v>341</v>
      </c>
      <c r="I56" s="57" t="s">
        <v>410</v>
      </c>
      <c r="J56" s="57" t="s">
        <v>492</v>
      </c>
      <c r="K56" s="67" t="s">
        <v>412</v>
      </c>
      <c r="L56" s="67" t="s">
        <v>493</v>
      </c>
      <c r="M56" s="67" t="s">
        <v>414</v>
      </c>
      <c r="N56" s="67" t="s">
        <v>346</v>
      </c>
      <c r="O56" s="67" t="s">
        <v>466</v>
      </c>
      <c r="P56" s="57" t="s">
        <v>177</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IF(N56="N/A – rule","N/A – RULE",IF(TRIM(U56)="N/A",IF(AT56=0,"INVALID – N/A not permitted for this mandatory check",IF(AND(TRIM(AC56)&lt;&gt;"",TRIM(AE56)&lt;&gt;"",TRIM(T56)&lt;&gt;""),"N/A – JUSTIFIED","INVALID – N/A needs justification, PIC and verifier")),IF(OR(TRIM(U56)="Pass",TRIM(U56)="Pass after CA"),IF(NOT(ISNUMBER(AD56)),"INVALID – completion time missing",IF(TRIM(T56)="","INVALID – PIC missing",IF(TRIM(Z56)="","INVALID – evidence missing",IF(TRIM(AE56)="","INVALID – verifier missing",IF(AND(AQ56=1,TRIM(W56)=""),"INVALID – batch ID missing",IF(AND(AR56=1,OR(NOT(ISNUMBER(X56)),NOT(ISNUMBER(Y56)))),"INVALID – expected/actual qty missing",IF(IF(AND(TRIM(U56)="Pass",ISNUMBER(AF56)),IF(AF56&lt;&gt;0,"INVALID – qty variance: use Fail or Pass after CA",""),"")&amp;IF(AND(TRIM(U56)="Pass",AB56="Open"),"INVALID – corrective action still open: use Fail, then Pass after CA","")&amp;IF(AND(TRIM(U56)="Pass after CA",OR(TRIM(AA56)="",AB56&lt;&gt;"Closed")),"INVALID – corrective action not recorded/closed","")&lt;&gt;"",IF(AND(TRIM(U56)="Pass",ISNUMBER(AF56)),IF(AF56&lt;&gt;0,"INVALID – qty variance: use Fail or Pass after CA",""),"")&amp;IF(AND(TRIM(U56)="Pass",AB56="Open"),"INVALID – corrective action still open: use Fail, then Pass after CA","")&amp;IF(AND(TRIM(U56)="Pass after CA",OR(TRIM(AA56)="",AB56&lt;&gt;"Closed")),"INVALID – corrective action not recorded/closed",""),IF(AND(AS56=1,Documents!$J$6&lt;&gt;"ON FILE"),"INVALID – GLD not on file (Documents sheet)",IF(AND(AS56=2,Documents!$O$6&lt;&gt;"ON FILE"),"INVALID – menu checklist not on file (Documents sheet)",IF(AND(AS56=3,NOT(ISNUMBER(Flights!$AX$6))),"INVALID – enter carrying flight KUL departure (Flights AX)",IF(AG56&gt;AsOfUTC,"INVALID – completion time is in the future",IF(AND(ISNUMBER(S56),AG56&lt;S56),IF(H56="Physical uplift","INVALID – before uplift window (cannot confirm loading)","INVALID – before valid window"),IF(AG56&gt;Flights!$AA$6,"INVALID – completed after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f>
        <v>OPEN</v>
      </c>
      <c r="AI56" s="61" t="n">
        <f aca="false">IF(OR(AH56="N/A – RULE",AH56="N/A – JUSTIFIED"),0,1)</f>
        <v>1</v>
      </c>
      <c r="AJ56" s="61" t="n">
        <f aca="false">IF(LEFT(AH56,8)="COMPLETE",1,0)</f>
        <v>0</v>
      </c>
      <c r="AK56" s="61" t="n">
        <f aca="false">IF(AND(AI56=1,AJ56=0,AsOfUTC&gt;Q56),1,0)</f>
        <v>0</v>
      </c>
      <c r="AL56" s="61" t="n">
        <f aca="false">IF(AND(AI56=1,OR(TRIM(U56)="Fail",AB56="Open",AND(ISNUMBER(AF56),AF56&lt;&gt;0,TRIM(U56)&lt;&gt;"Pass after CA"))),1,0)</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1</v>
      </c>
    </row>
    <row r="57" customFormat="false" ht="39.75" hidden="false" customHeight="true" outlineLevel="0" collapsed="false">
      <c r="A57" s="57" t="s">
        <v>494</v>
      </c>
      <c r="B57" s="57" t="s">
        <v>188</v>
      </c>
      <c r="C57" s="57" t="str">
        <f aca="false">Flights!$F$6</f>
        <v>MH0727</v>
      </c>
      <c r="D57" s="58" t="n">
        <f aca="false">Flights!$D$6</f>
        <v>46304</v>
      </c>
      <c r="E57" s="57" t="str">
        <f aca="false">Flights!$G$6&amp;"-"&amp;Flights!$H$6</f>
        <v>KUL-CGK</v>
      </c>
      <c r="F57" s="57" t="str">
        <f aca="false">Flights!$K$6</f>
        <v>BC</v>
      </c>
      <c r="G57" s="57" t="s">
        <v>422</v>
      </c>
      <c r="H57" s="57" t="s">
        <v>423</v>
      </c>
      <c r="I57" s="57" t="s">
        <v>342</v>
      </c>
      <c r="J57" s="57" t="s">
        <v>424</v>
      </c>
      <c r="K57" s="67" t="s">
        <v>389</v>
      </c>
      <c r="L57" s="67" t="s">
        <v>425</v>
      </c>
      <c r="M57" s="67"/>
      <c r="N57" s="67" t="s">
        <v>346</v>
      </c>
      <c r="O57" s="67" t="s">
        <v>426</v>
      </c>
      <c r="P57" s="57" t="s">
        <v>177</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IF(N57="N/A – rule","N/A – RULE",IF(TRIM(U57)="N/A",IF(AT57=0,"INVALID – N/A not permitted for this mandatory check",IF(AND(TRIM(AC57)&lt;&gt;"",TRIM(AE57)&lt;&gt;"",TRIM(T57)&lt;&gt;""),"N/A – JUSTIFIED","INVALID – N/A needs justification, PIC and verifier")),IF(OR(TRIM(U57)="Pass",TRIM(U57)="Pass after CA"),IF(NOT(ISNUMBER(AD57)),"INVALID – completion time missing",IF(TRIM(T57)="","INVALID – PIC missing",IF(TRIM(Z57)="","INVALID – evidence missing",IF(TRIM(AE57)="","INVALID – verifier missing",IF(AND(AQ57=1,TRIM(W57)=""),"INVALID – batch ID missing",IF(AND(AR57=1,OR(NOT(ISNUMBER(X57)),NOT(ISNUMBER(Y57)))),"INVALID – expected/actual qty missing",IF(IF(AND(TRIM(U57)="Pass",ISNUMBER(AF57)),IF(AF57&lt;&gt;0,"INVALID – qty variance: use Fail or Pass after CA",""),"")&amp;IF(AND(TRIM(U57)="Pass",AB57="Open"),"INVALID – corrective action still open: use Fail, then Pass after CA","")&amp;IF(AND(TRIM(U57)="Pass after CA",OR(TRIM(AA57)="",AB57&lt;&gt;"Closed")),"INVALID – corrective action not recorded/closed","")&lt;&gt;"",IF(AND(TRIM(U57)="Pass",ISNUMBER(AF57)),IF(AF57&lt;&gt;0,"INVALID – qty variance: use Fail or Pass after CA",""),"")&amp;IF(AND(TRIM(U57)="Pass",AB57="Open"),"INVALID – corrective action still open: use Fail, then Pass after CA","")&amp;IF(AND(TRIM(U57)="Pass after CA",OR(TRIM(AA57)="",AB57&lt;&gt;"Closed")),"INVALID – corrective action not recorded/closed",""),IF(AND(AS57=1,Documents!$J$6&lt;&gt;"ON FILE"),"INVALID – GLD not on file (Documents sheet)",IF(AND(AS57=2,Documents!$O$6&lt;&gt;"ON FILE"),"INVALID – menu checklist not on file (Documents sheet)",IF(AND(AS57=3,NOT(ISNUMBER(Flights!$AX$6))),"INVALID – enter carrying flight KUL departure (Flights AX)",IF(AG57&gt;AsOfUTC,"INVALID – completion time is in the future",IF(AND(ISNUMBER(S57),AG57&lt;S57),IF(H57="Physical uplift","INVALID – before uplift window (cannot confirm loading)","INVALID – before valid window"),IF(AG57&gt;Flights!$AA$6,"INVALID – completed after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f>
        <v>OPEN</v>
      </c>
      <c r="AI57" s="61" t="n">
        <f aca="false">IF(OR(AH57="N/A – RULE",AH57="N/A – JUSTIFIED"),0,1)</f>
        <v>1</v>
      </c>
      <c r="AJ57" s="61" t="n">
        <f aca="false">IF(LEFT(AH57,8)="COMPLETE",1,0)</f>
        <v>0</v>
      </c>
      <c r="AK57" s="61" t="n">
        <f aca="false">IF(AND(AI57=1,AJ57=0,AsOfUTC&gt;Q57),1,0)</f>
        <v>0</v>
      </c>
      <c r="AL57" s="61" t="n">
        <f aca="false">IF(AND(AI57=1,OR(TRIM(U57)="Fail",AB57="Open",AND(ISNUMBER(AF57),AF57&lt;&gt;0,TRIM(U57)&lt;&gt;"Pass after CA"))),1,0)</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row>
    <row r="58" customFormat="false" ht="39.75" hidden="false" customHeight="true" outlineLevel="0" collapsed="false">
      <c r="A58" s="57" t="s">
        <v>495</v>
      </c>
      <c r="B58" s="57" t="s">
        <v>188</v>
      </c>
      <c r="C58" s="57" t="str">
        <f aca="false">Flights!$F$6</f>
        <v>MH0727</v>
      </c>
      <c r="D58" s="58" t="n">
        <f aca="false">Flights!$D$6</f>
        <v>46304</v>
      </c>
      <c r="E58" s="57" t="str">
        <f aca="false">Flights!$G$6&amp;"-"&amp;Flights!$H$6</f>
        <v>KUL-CGK</v>
      </c>
      <c r="F58" s="57" t="str">
        <f aca="false">Flights!$K$6</f>
        <v>BC</v>
      </c>
      <c r="G58" s="57" t="s">
        <v>422</v>
      </c>
      <c r="H58" s="57" t="s">
        <v>423</v>
      </c>
      <c r="I58" s="57" t="s">
        <v>391</v>
      </c>
      <c r="J58" s="57" t="s">
        <v>428</v>
      </c>
      <c r="K58" s="67" t="s">
        <v>389</v>
      </c>
      <c r="L58" s="67" t="s">
        <v>425</v>
      </c>
      <c r="M58" s="67"/>
      <c r="N58" s="67" t="s">
        <v>346</v>
      </c>
      <c r="O58" s="67" t="s">
        <v>426</v>
      </c>
      <c r="P58" s="57" t="s">
        <v>177</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IF(N58="N/A – rule","N/A – RULE",IF(TRIM(U58)="N/A",IF(AT58=0,"INVALID – N/A not permitted for this mandatory check",IF(AND(TRIM(AC58)&lt;&gt;"",TRIM(AE58)&lt;&gt;"",TRIM(T58)&lt;&gt;""),"N/A – JUSTIFIED","INVALID – N/A needs justification, PIC and verifier")),IF(OR(TRIM(U58)="Pass",TRIM(U58)="Pass after CA"),IF(NOT(ISNUMBER(AD58)),"INVALID – completion time missing",IF(TRIM(T58)="","INVALID – PIC missing",IF(TRIM(Z58)="","INVALID – evidence missing",IF(TRIM(AE58)="","INVALID – verifier missing",IF(AND(AQ58=1,TRIM(W58)=""),"INVALID – batch ID missing",IF(AND(AR58=1,OR(NOT(ISNUMBER(X58)),NOT(ISNUMBER(Y58)))),"INVALID – expected/actual qty missing",IF(IF(AND(TRIM(U58)="Pass",ISNUMBER(AF58)),IF(AF58&lt;&gt;0,"INVALID – qty variance: use Fail or Pass after CA",""),"")&amp;IF(AND(TRIM(U58)="Pass",AB58="Open"),"INVALID – corrective action still open: use Fail, then Pass after CA","")&amp;IF(AND(TRIM(U58)="Pass after CA",OR(TRIM(AA58)="",AB58&lt;&gt;"Closed")),"INVALID – corrective action not recorded/closed","")&lt;&gt;"",IF(AND(TRIM(U58)="Pass",ISNUMBER(AF58)),IF(AF58&lt;&gt;0,"INVALID – qty variance: use Fail or Pass after CA",""),"")&amp;IF(AND(TRIM(U58)="Pass",AB58="Open"),"INVALID – corrective action still open: use Fail, then Pass after CA","")&amp;IF(AND(TRIM(U58)="Pass after CA",OR(TRIM(AA58)="",AB58&lt;&gt;"Closed")),"INVALID – corrective action not recorded/closed",""),IF(AND(AS58=1,Documents!$J$6&lt;&gt;"ON FILE"),"INVALID – GLD not on file (Documents sheet)",IF(AND(AS58=2,Documents!$O$6&lt;&gt;"ON FILE"),"INVALID – menu checklist not on file (Documents sheet)",IF(AND(AS58=3,NOT(ISNUMBER(Flights!$AX$6))),"INVALID – enter carrying flight KUL departure (Flights AX)",IF(AG58&gt;AsOfUTC,"INVALID – completion time is in the future",IF(AND(ISNUMBER(S58),AG58&lt;S58),IF(H58="Physical uplift","INVALID – before uplift window (cannot confirm loading)","INVALID – before valid window"),IF(AG58&gt;Flights!$AA$6,"INVALID – completed after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f>
        <v>OPEN</v>
      </c>
      <c r="AI58" s="61" t="n">
        <f aca="false">IF(OR(AH58="N/A – RULE",AH58="N/A – JUSTIFIED"),0,1)</f>
        <v>1</v>
      </c>
      <c r="AJ58" s="61" t="n">
        <f aca="false">IF(LEFT(AH58,8)="COMPLETE",1,0)</f>
        <v>0</v>
      </c>
      <c r="AK58" s="61" t="n">
        <f aca="false">IF(AND(AI58=1,AJ58=0,AsOfUTC&gt;Q58),1,0)</f>
        <v>0</v>
      </c>
      <c r="AL58" s="61" t="n">
        <f aca="false">IF(AND(AI58=1,OR(TRIM(U58)="Fail",AB58="Open",AND(ISNUMBER(AF58),AF58&lt;&gt;0,TRIM(U58)&lt;&gt;"Pass after CA"))),1,0)</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row>
    <row r="59" customFormat="false" ht="41.25" hidden="false" customHeight="true" outlineLevel="0" collapsed="false">
      <c r="A59" s="57" t="s">
        <v>496</v>
      </c>
      <c r="B59" s="57" t="s">
        <v>188</v>
      </c>
      <c r="C59" s="57" t="str">
        <f aca="false">Flights!$F$6</f>
        <v>MH0727</v>
      </c>
      <c r="D59" s="58" t="n">
        <f aca="false">Flights!$D$6</f>
        <v>46304</v>
      </c>
      <c r="E59" s="57" t="str">
        <f aca="false">Flights!$G$6&amp;"-"&amp;Flights!$H$6</f>
        <v>KUL-CGK</v>
      </c>
      <c r="F59" s="57" t="str">
        <f aca="false">Flights!$K$6</f>
        <v>BC</v>
      </c>
      <c r="G59" s="57" t="s">
        <v>422</v>
      </c>
      <c r="H59" s="57" t="s">
        <v>423</v>
      </c>
      <c r="I59" s="57" t="s">
        <v>403</v>
      </c>
      <c r="J59" s="57" t="s">
        <v>497</v>
      </c>
      <c r="K59" s="67" t="s">
        <v>458</v>
      </c>
      <c r="L59" s="67" t="s">
        <v>459</v>
      </c>
      <c r="M59" s="67" t="s">
        <v>414</v>
      </c>
      <c r="N59" s="67" t="s">
        <v>346</v>
      </c>
      <c r="O59" s="67" t="s">
        <v>498</v>
      </c>
      <c r="P59" s="57" t="s">
        <v>177</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IF(N59="N/A – rule","N/A – RULE",IF(TRIM(U59)="N/A",IF(AT59=0,"INVALID – N/A not permitted for this mandatory check",IF(AND(TRIM(AC59)&lt;&gt;"",TRIM(AE59)&lt;&gt;"",TRIM(T59)&lt;&gt;""),"N/A – JUSTIFIED","INVALID – N/A needs justification, PIC and verifier")),IF(OR(TRIM(U59)="Pass",TRIM(U59)="Pass after CA"),IF(NOT(ISNUMBER(AD59)),"INVALID – completion time missing",IF(TRIM(T59)="","INVALID – PIC missing",IF(TRIM(Z59)="","INVALID – evidence missing",IF(TRIM(AE59)="","INVALID – verifier missing",IF(AND(AQ59=1,TRIM(W59)=""),"INVALID – batch ID missing",IF(AND(AR59=1,OR(NOT(ISNUMBER(X59)),NOT(ISNUMBER(Y59)))),"INVALID – expected/actual qty missing",IF(IF(AND(TRIM(U59)="Pass",ISNUMBER(AF59)),IF(AF59&lt;&gt;0,"INVALID – qty variance: use Fail or Pass after CA",""),"")&amp;IF(AND(TRIM(U59)="Pass",AB59="Open"),"INVALID – corrective action still open: use Fail, then Pass after CA","")&amp;IF(AND(TRIM(U59)="Pass after CA",OR(TRIM(AA59)="",AB59&lt;&gt;"Closed")),"INVALID – corrective action not recorded/closed","")&lt;&gt;"",IF(AND(TRIM(U59)="Pass",ISNUMBER(AF59)),IF(AF59&lt;&gt;0,"INVALID – qty variance: use Fail or Pass after CA",""),"")&amp;IF(AND(TRIM(U59)="Pass",AB59="Open"),"INVALID – corrective action still open: use Fail, then Pass after CA","")&amp;IF(AND(TRIM(U59)="Pass after CA",OR(TRIM(AA59)="",AB59&lt;&gt;"Closed")),"INVALID – corrective action not recorded/closed",""),IF(AND(AS59=1,Documents!$J$6&lt;&gt;"ON FILE"),"INVALID – GLD not on file (Documents sheet)",IF(AND(AS59=2,Documents!$O$6&lt;&gt;"ON FILE"),"INVALID – menu checklist not on file (Documents sheet)",IF(AND(AS59=3,NOT(ISNUMBER(Flights!$AX$6))),"INVALID – enter carrying flight KUL departure (Flights AX)",IF(AG59&gt;AsOfUTC,"INVALID – completion time is in the future",IF(AND(ISNUMBER(S59),AG59&lt;S59),IF(H59="Physical uplift","INVALID – before uplift window (cannot confirm loading)","INVALID – before valid window"),IF(AG59&gt;Flights!$AA$6,"INVALID – completed after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f>
        <v>OPEN</v>
      </c>
      <c r="AI59" s="61" t="n">
        <f aca="false">IF(OR(AH59="N/A – RULE",AH59="N/A – JUSTIFIED"),0,1)</f>
        <v>1</v>
      </c>
      <c r="AJ59" s="61" t="n">
        <f aca="false">IF(LEFT(AH59,8)="COMPLETE",1,0)</f>
        <v>0</v>
      </c>
      <c r="AK59" s="61" t="n">
        <f aca="false">IF(AND(AI59=1,AJ59=0,AsOfUTC&gt;Q59),1,0)</f>
        <v>0</v>
      </c>
      <c r="AL59" s="61" t="n">
        <f aca="false">IF(AND(AI59=1,OR(TRIM(U59)="Fail",AB59="Open",AND(ISNUMBER(AF59),AF59&lt;&gt;0,TRIM(U59)&lt;&gt;"Pass after CA"))),1,0)</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1</v>
      </c>
    </row>
    <row r="60" customFormat="false" ht="39.75" hidden="false" customHeight="true" outlineLevel="0" collapsed="false">
      <c r="A60" s="57" t="s">
        <v>499</v>
      </c>
      <c r="B60" s="57" t="s">
        <v>188</v>
      </c>
      <c r="C60" s="57" t="str">
        <f aca="false">Flights!$F$6</f>
        <v>MH0727</v>
      </c>
      <c r="D60" s="58" t="n">
        <f aca="false">Flights!$D$6</f>
        <v>46304</v>
      </c>
      <c r="E60" s="57" t="str">
        <f aca="false">Flights!$G$6&amp;"-"&amp;Flights!$H$6</f>
        <v>KUL-CGK</v>
      </c>
      <c r="F60" s="57" t="str">
        <f aca="false">Flights!$K$6</f>
        <v>BC</v>
      </c>
      <c r="G60" s="57" t="s">
        <v>422</v>
      </c>
      <c r="H60" s="57" t="s">
        <v>423</v>
      </c>
      <c r="I60" s="57" t="s">
        <v>462</v>
      </c>
      <c r="J60" s="57" t="s">
        <v>500</v>
      </c>
      <c r="K60" s="67" t="s">
        <v>464</v>
      </c>
      <c r="L60" s="67" t="s">
        <v>465</v>
      </c>
      <c r="M60" s="67" t="s">
        <v>414</v>
      </c>
      <c r="N60" s="67" t="s">
        <v>346</v>
      </c>
      <c r="O60" s="67"/>
      <c r="P60" s="57" t="s">
        <v>177</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IF(N60="N/A – rule","N/A – RULE",IF(TRIM(U60)="N/A",IF(AT60=0,"INVALID – N/A not permitted for this mandatory check",IF(AND(TRIM(AC60)&lt;&gt;"",TRIM(AE60)&lt;&gt;"",TRIM(T60)&lt;&gt;""),"N/A – JUSTIFIED","INVALID – N/A needs justification, PIC and verifier")),IF(OR(TRIM(U60)="Pass",TRIM(U60)="Pass after CA"),IF(NOT(ISNUMBER(AD60)),"INVALID – completion time missing",IF(TRIM(T60)="","INVALID – PIC missing",IF(TRIM(Z60)="","INVALID – evidence missing",IF(TRIM(AE60)="","INVALID – verifier missing",IF(AND(AQ60=1,TRIM(W60)=""),"INVALID – batch ID missing",IF(AND(AR60=1,OR(NOT(ISNUMBER(X60)),NOT(ISNUMBER(Y60)))),"INVALID – expected/actual qty missing",IF(IF(AND(TRIM(U60)="Pass",ISNUMBER(AF60)),IF(AF60&lt;&gt;0,"INVALID – qty variance: use Fail or Pass after CA",""),"")&amp;IF(AND(TRIM(U60)="Pass",AB60="Open"),"INVALID – corrective action still open: use Fail, then Pass after CA","")&amp;IF(AND(TRIM(U60)="Pass after CA",OR(TRIM(AA60)="",AB60&lt;&gt;"Closed")),"INVALID – corrective action not recorded/closed","")&lt;&gt;"",IF(AND(TRIM(U60)="Pass",ISNUMBER(AF60)),IF(AF60&lt;&gt;0,"INVALID – qty variance: use Fail or Pass after CA",""),"")&amp;IF(AND(TRIM(U60)="Pass",AB60="Open"),"INVALID – corrective action still open: use Fail, then Pass after CA","")&amp;IF(AND(TRIM(U60)="Pass after CA",OR(TRIM(AA60)="",AB60&lt;&gt;"Closed")),"INVALID – corrective action not recorded/closed",""),IF(AND(AS60=1,Documents!$J$6&lt;&gt;"ON FILE"),"INVALID – GLD not on file (Documents sheet)",IF(AND(AS60=2,Documents!$O$6&lt;&gt;"ON FILE"),"INVALID – menu checklist not on file (Documents sheet)",IF(AND(AS60=3,NOT(ISNUMBER(Flights!$AX$6))),"INVALID – enter carrying flight KUL departure (Flights AX)",IF(AG60&gt;AsOfUTC,"INVALID – completion time is in the future",IF(AND(ISNUMBER(S60),AG60&lt;S60),IF(H60="Physical uplift","INVALID – before uplift window (cannot confirm loading)","INVALID – before valid window"),IF(AG60&gt;Flights!$AA$6,"INVALID – completed after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f>
        <v>OPEN</v>
      </c>
      <c r="AI60" s="61" t="n">
        <f aca="false">IF(OR(AH60="N/A – RULE",AH60="N/A – JUSTIFIED"),0,1)</f>
        <v>1</v>
      </c>
      <c r="AJ60" s="61" t="n">
        <f aca="false">IF(LEFT(AH60,8)="COMPLETE",1,0)</f>
        <v>0</v>
      </c>
      <c r="AK60" s="61" t="n">
        <f aca="false">IF(AND(AI60=1,AJ60=0,AsOfUTC&gt;Q60),1,0)</f>
        <v>0</v>
      </c>
      <c r="AL60" s="61" t="n">
        <f aca="false">IF(AND(AI60=1,OR(TRIM(U60)="Fail",AB60="Open",AND(ISNUMBER(AF60),AF60&lt;&gt;0,TRIM(U60)&lt;&gt;"Pass after CA"))),1,0)</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1</v>
      </c>
    </row>
    <row r="61" customFormat="false" ht="39.75" hidden="false" customHeight="true" outlineLevel="0" collapsed="false">
      <c r="A61" s="57" t="s">
        <v>501</v>
      </c>
      <c r="B61" s="57" t="s">
        <v>188</v>
      </c>
      <c r="C61" s="57" t="str">
        <f aca="false">Flights!$F$6</f>
        <v>MH0727</v>
      </c>
      <c r="D61" s="58" t="n">
        <f aca="false">Flights!$D$6</f>
        <v>46304</v>
      </c>
      <c r="E61" s="57" t="str">
        <f aca="false">Flights!$G$6&amp;"-"&amp;Flights!$H$6</f>
        <v>KUL-CGK</v>
      </c>
      <c r="F61" s="57" t="str">
        <f aca="false">Flights!$K$6</f>
        <v>BC</v>
      </c>
      <c r="G61" s="57" t="s">
        <v>422</v>
      </c>
      <c r="H61" s="57" t="s">
        <v>423</v>
      </c>
      <c r="I61" s="57" t="s">
        <v>462</v>
      </c>
      <c r="J61" s="57" t="s">
        <v>502</v>
      </c>
      <c r="K61" s="67" t="s">
        <v>464</v>
      </c>
      <c r="L61" s="67" t="s">
        <v>469</v>
      </c>
      <c r="M61" s="67" t="s">
        <v>414</v>
      </c>
      <c r="N61" s="67" t="s">
        <v>346</v>
      </c>
      <c r="O61" s="67"/>
      <c r="P61" s="57" t="s">
        <v>177</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IF(N61="N/A – rule","N/A – RULE",IF(TRIM(U61)="N/A",IF(AT61=0,"INVALID – N/A not permitted for this mandatory check",IF(AND(TRIM(AC61)&lt;&gt;"",TRIM(AE61)&lt;&gt;"",TRIM(T61)&lt;&gt;""),"N/A – JUSTIFIED","INVALID – N/A needs justification, PIC and verifier")),IF(OR(TRIM(U61)="Pass",TRIM(U61)="Pass after CA"),IF(NOT(ISNUMBER(AD61)),"INVALID – completion time missing",IF(TRIM(T61)="","INVALID – PIC missing",IF(TRIM(Z61)="","INVALID – evidence missing",IF(TRIM(AE61)="","INVALID – verifier missing",IF(AND(AQ61=1,TRIM(W61)=""),"INVALID – batch ID missing",IF(AND(AR61=1,OR(NOT(ISNUMBER(X61)),NOT(ISNUMBER(Y61)))),"INVALID – expected/actual qty missing",IF(IF(AND(TRIM(U61)="Pass",ISNUMBER(AF61)),IF(AF61&lt;&gt;0,"INVALID – qty variance: use Fail or Pass after CA",""),"")&amp;IF(AND(TRIM(U61)="Pass",AB61="Open"),"INVALID – corrective action still open: use Fail, then Pass after CA","")&amp;IF(AND(TRIM(U61)="Pass after CA",OR(TRIM(AA61)="",AB61&lt;&gt;"Closed")),"INVALID – corrective action not recorded/closed","")&lt;&gt;"",IF(AND(TRIM(U61)="Pass",ISNUMBER(AF61)),IF(AF61&lt;&gt;0,"INVALID – qty variance: use Fail or Pass after CA",""),"")&amp;IF(AND(TRIM(U61)="Pass",AB61="Open"),"INVALID – corrective action still open: use Fail, then Pass after CA","")&amp;IF(AND(TRIM(U61)="Pass after CA",OR(TRIM(AA61)="",AB61&lt;&gt;"Closed")),"INVALID – corrective action not recorded/closed",""),IF(AND(AS61=1,Documents!$J$6&lt;&gt;"ON FILE"),"INVALID – GLD not on file (Documents sheet)",IF(AND(AS61=2,Documents!$O$6&lt;&gt;"ON FILE"),"INVALID – menu checklist not on file (Documents sheet)",IF(AND(AS61=3,NOT(ISNUMBER(Flights!$AX$6))),"INVALID – enter carrying flight KUL departure (Flights AX)",IF(AG61&gt;AsOfUTC,"INVALID – completion time is in the future",IF(AND(ISNUMBER(S61),AG61&lt;S61),IF(H61="Physical uplift","INVALID – before uplift window (cannot confirm loading)","INVALID – before valid window"),IF(AG61&gt;Flights!$AA$6,"INVALID – completed after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f>
        <v>OPEN</v>
      </c>
      <c r="AI61" s="61" t="n">
        <f aca="false">IF(OR(AH61="N/A – RULE",AH61="N/A – JUSTIFIED"),0,1)</f>
        <v>1</v>
      </c>
      <c r="AJ61" s="61" t="n">
        <f aca="false">IF(LEFT(AH61,8)="COMPLETE",1,0)</f>
        <v>0</v>
      </c>
      <c r="AK61" s="61" t="n">
        <f aca="false">IF(AND(AI61=1,AJ61=0,AsOfUTC&gt;Q61),1,0)</f>
        <v>0</v>
      </c>
      <c r="AL61" s="61" t="n">
        <f aca="false">IF(AND(AI61=1,OR(TRIM(U61)="Fail",AB61="Open",AND(ISNUMBER(AF61),AF61&lt;&gt;0,TRIM(U61)&lt;&gt;"Pass after CA"))),1,0)</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1</v>
      </c>
    </row>
    <row r="62" customFormat="false" ht="39.75" hidden="false" customHeight="true" outlineLevel="0" collapsed="false">
      <c r="A62" s="57" t="s">
        <v>503</v>
      </c>
      <c r="B62" s="57" t="s">
        <v>188</v>
      </c>
      <c r="C62" s="57" t="str">
        <f aca="false">Flights!$F$6</f>
        <v>MH0727</v>
      </c>
      <c r="D62" s="58" t="n">
        <f aca="false">Flights!$D$6</f>
        <v>46304</v>
      </c>
      <c r="E62" s="57" t="str">
        <f aca="false">Flights!$G$6&amp;"-"&amp;Flights!$H$6</f>
        <v>KUL-CGK</v>
      </c>
      <c r="F62" s="57" t="str">
        <f aca="false">Flights!$K$6</f>
        <v>BC</v>
      </c>
      <c r="G62" s="57" t="s">
        <v>422</v>
      </c>
      <c r="H62" s="57" t="s">
        <v>423</v>
      </c>
      <c r="I62" s="57" t="s">
        <v>462</v>
      </c>
      <c r="J62" s="57" t="s">
        <v>504</v>
      </c>
      <c r="K62" s="67" t="s">
        <v>464</v>
      </c>
      <c r="L62" s="67" t="s">
        <v>472</v>
      </c>
      <c r="M62" s="67" t="s">
        <v>414</v>
      </c>
      <c r="N62" s="67" t="s">
        <v>346</v>
      </c>
      <c r="O62" s="67"/>
      <c r="P62" s="57" t="s">
        <v>177</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IF(N62="N/A – rule","N/A – RULE",IF(TRIM(U62)="N/A",IF(AT62=0,"INVALID – N/A not permitted for this mandatory check",IF(AND(TRIM(AC62)&lt;&gt;"",TRIM(AE62)&lt;&gt;"",TRIM(T62)&lt;&gt;""),"N/A – JUSTIFIED","INVALID – N/A needs justification, PIC and verifier")),IF(OR(TRIM(U62)="Pass",TRIM(U62)="Pass after CA"),IF(NOT(ISNUMBER(AD62)),"INVALID – completion time missing",IF(TRIM(T62)="","INVALID – PIC missing",IF(TRIM(Z62)="","INVALID – evidence missing",IF(TRIM(AE62)="","INVALID – verifier missing",IF(AND(AQ62=1,TRIM(W62)=""),"INVALID – batch ID missing",IF(AND(AR62=1,OR(NOT(ISNUMBER(X62)),NOT(ISNUMBER(Y62)))),"INVALID – expected/actual qty missing",IF(IF(AND(TRIM(U62)="Pass",ISNUMBER(AF62)),IF(AF62&lt;&gt;0,"INVALID – qty variance: use Fail or Pass after CA",""),"")&amp;IF(AND(TRIM(U62)="Pass",AB62="Open"),"INVALID – corrective action still open: use Fail, then Pass after CA","")&amp;IF(AND(TRIM(U62)="Pass after CA",OR(TRIM(AA62)="",AB62&lt;&gt;"Closed")),"INVALID – corrective action not recorded/closed","")&lt;&gt;"",IF(AND(TRIM(U62)="Pass",ISNUMBER(AF62)),IF(AF62&lt;&gt;0,"INVALID – qty variance: use Fail or Pass after CA",""),"")&amp;IF(AND(TRIM(U62)="Pass",AB62="Open"),"INVALID – corrective action still open: use Fail, then Pass after CA","")&amp;IF(AND(TRIM(U62)="Pass after CA",OR(TRIM(AA62)="",AB62&lt;&gt;"Closed")),"INVALID – corrective action not recorded/closed",""),IF(AND(AS62=1,Documents!$J$6&lt;&gt;"ON FILE"),"INVALID – GLD not on file (Documents sheet)",IF(AND(AS62=2,Documents!$O$6&lt;&gt;"ON FILE"),"INVALID – menu checklist not on file (Documents sheet)",IF(AND(AS62=3,NOT(ISNUMBER(Flights!$AX$6))),"INVALID – enter carrying flight KUL departure (Flights AX)",IF(AG62&gt;AsOfUTC,"INVALID – completion time is in the future",IF(AND(ISNUMBER(S62),AG62&lt;S62),IF(H62="Physical uplift","INVALID – before uplift window (cannot confirm loading)","INVALID – before valid window"),IF(AG62&gt;Flights!$AA$6,"INVALID – completed after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f>
        <v>OPEN</v>
      </c>
      <c r="AI62" s="61" t="n">
        <f aca="false">IF(OR(AH62="N/A – RULE",AH62="N/A – JUSTIFIED"),0,1)</f>
        <v>1</v>
      </c>
      <c r="AJ62" s="61" t="n">
        <f aca="false">IF(LEFT(AH62,8)="COMPLETE",1,0)</f>
        <v>0</v>
      </c>
      <c r="AK62" s="61" t="n">
        <f aca="false">IF(AND(AI62=1,AJ62=0,AsOfUTC&gt;Q62),1,0)</f>
        <v>0</v>
      </c>
      <c r="AL62" s="61" t="n">
        <f aca="false">IF(AND(AI62=1,OR(TRIM(U62)="Fail",AB62="Open",AND(ISNUMBER(AF62),AF62&lt;&gt;0,TRIM(U62)&lt;&gt;"Pass after CA"))),1,0)</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1</v>
      </c>
    </row>
    <row r="63" customFormat="false" ht="78.75" hidden="false" customHeight="true" outlineLevel="0" collapsed="false">
      <c r="A63" s="57" t="s">
        <v>505</v>
      </c>
      <c r="B63" s="57" t="s">
        <v>188</v>
      </c>
      <c r="C63" s="57" t="str">
        <f aca="false">Flights!$F$6</f>
        <v>MH0727</v>
      </c>
      <c r="D63" s="58" t="n">
        <f aca="false">Flights!$D$6</f>
        <v>46304</v>
      </c>
      <c r="E63" s="57" t="str">
        <f aca="false">Flights!$G$6&amp;"-"&amp;Flights!$H$6</f>
        <v>KUL-CGK</v>
      </c>
      <c r="F63" s="57" t="str">
        <f aca="false">Flights!$K$6</f>
        <v>BC</v>
      </c>
      <c r="G63" s="57" t="s">
        <v>422</v>
      </c>
      <c r="H63" s="57" t="s">
        <v>423</v>
      </c>
      <c r="I63" s="57" t="s">
        <v>462</v>
      </c>
      <c r="J63" s="57" t="s">
        <v>506</v>
      </c>
      <c r="K63" s="67" t="s">
        <v>464</v>
      </c>
      <c r="L63" s="67" t="s">
        <v>475</v>
      </c>
      <c r="M63" s="67" t="s">
        <v>414</v>
      </c>
      <c r="N63" s="67" t="s">
        <v>407</v>
      </c>
      <c r="O63" s="67" t="s">
        <v>507</v>
      </c>
      <c r="P63" s="57" t="s">
        <v>177</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IF(N63="N/A – rule","N/A – RULE",IF(TRIM(U63)="N/A",IF(AT63=0,"INVALID – N/A not permitted for this mandatory check",IF(AND(TRIM(AC63)&lt;&gt;"",TRIM(AE63)&lt;&gt;"",TRIM(T63)&lt;&gt;""),"N/A – JUSTIFIED","INVALID – N/A needs justification, PIC and verifier")),IF(OR(TRIM(U63)="Pass",TRIM(U63)="Pass after CA"),IF(NOT(ISNUMBER(AD63)),"INVALID – completion time missing",IF(TRIM(T63)="","INVALID – PIC missing",IF(TRIM(Z63)="","INVALID – evidence missing",IF(TRIM(AE63)="","INVALID – verifier missing",IF(AND(AQ63=1,TRIM(W63)=""),"INVALID – batch ID missing",IF(AND(AR63=1,OR(NOT(ISNUMBER(X63)),NOT(ISNUMBER(Y63)))),"INVALID – expected/actual qty missing",IF(IF(AND(TRIM(U63)="Pass",ISNUMBER(AF63)),IF(AF63&lt;&gt;0,"INVALID – qty variance: use Fail or Pass after CA",""),"")&amp;IF(AND(TRIM(U63)="Pass",AB63="Open"),"INVALID – corrective action still open: use Fail, then Pass after CA","")&amp;IF(AND(TRIM(U63)="Pass after CA",OR(TRIM(AA63)="",AB63&lt;&gt;"Closed")),"INVALID – corrective action not recorded/closed","")&lt;&gt;"",IF(AND(TRIM(U63)="Pass",ISNUMBER(AF63)),IF(AF63&lt;&gt;0,"INVALID – qty variance: use Fail or Pass after CA",""),"")&amp;IF(AND(TRIM(U63)="Pass",AB63="Open"),"INVALID – corrective action still open: use Fail, then Pass after CA","")&amp;IF(AND(TRIM(U63)="Pass after CA",OR(TRIM(AA63)="",AB63&lt;&gt;"Closed")),"INVALID – corrective action not recorded/closed",""),IF(AND(AS63=1,Documents!$J$6&lt;&gt;"ON FILE"),"INVALID – GLD not on file (Documents sheet)",IF(AND(AS63=2,Documents!$O$6&lt;&gt;"ON FILE"),"INVALID – menu checklist not on file (Documents sheet)",IF(AND(AS63=3,NOT(ISNUMBER(Flights!$AX$6))),"INVALID – enter carrying flight KUL departure (Flights AX)",IF(AG63&gt;AsOfUTC,"INVALID – completion time is in the future",IF(AND(ISNUMBER(S63),AG63&lt;S63),IF(H63="Physical uplift","INVALID – before uplift window (cannot confirm loading)","INVALID – before valid window"),IF(AG63&gt;Flights!$AA$6,"INVALID – completed after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f>
        <v>OPEN – CLARIFICATION</v>
      </c>
      <c r="AI63" s="61" t="n">
        <f aca="false">IF(OR(AH63="N/A – RULE",AH63="N/A – JUSTIFIED"),0,1)</f>
        <v>1</v>
      </c>
      <c r="AJ63" s="61" t="n">
        <f aca="false">IF(LEFT(AH63,8)="COMPLETE",1,0)</f>
        <v>0</v>
      </c>
      <c r="AK63" s="61" t="n">
        <f aca="false">IF(AND(AI63=1,AJ63=0,AsOfUTC&gt;Q63),1,0)</f>
        <v>0</v>
      </c>
      <c r="AL63" s="61" t="n">
        <f aca="false">IF(AND(AI63=1,OR(TRIM(U63)="Fail",AB63="Open",AND(ISNUMBER(AF63),AF63&lt;&gt;0,TRIM(U63)&lt;&gt;"Pass after CA"))),1,0)</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row>
    <row r="64" customFormat="false" ht="78.75" hidden="false" customHeight="true" outlineLevel="0" collapsed="false">
      <c r="A64" s="57" t="s">
        <v>508</v>
      </c>
      <c r="B64" s="57" t="s">
        <v>188</v>
      </c>
      <c r="C64" s="57" t="str">
        <f aca="false">Flights!$F$6</f>
        <v>MH0727</v>
      </c>
      <c r="D64" s="58" t="n">
        <f aca="false">Flights!$D$6</f>
        <v>46304</v>
      </c>
      <c r="E64" s="57" t="str">
        <f aca="false">Flights!$G$6&amp;"-"&amp;Flights!$H$6</f>
        <v>KUL-CGK</v>
      </c>
      <c r="F64" s="57" t="str">
        <f aca="false">Flights!$K$6</f>
        <v>BC</v>
      </c>
      <c r="G64" s="57" t="s">
        <v>422</v>
      </c>
      <c r="H64" s="57" t="s">
        <v>423</v>
      </c>
      <c r="I64" s="57" t="s">
        <v>462</v>
      </c>
      <c r="J64" s="57" t="s">
        <v>509</v>
      </c>
      <c r="K64" s="67" t="s">
        <v>464</v>
      </c>
      <c r="L64" s="67" t="s">
        <v>479</v>
      </c>
      <c r="M64" s="67" t="s">
        <v>414</v>
      </c>
      <c r="N64" s="67" t="s">
        <v>407</v>
      </c>
      <c r="O64" s="67" t="s">
        <v>507</v>
      </c>
      <c r="P64" s="57" t="s">
        <v>177</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IF(N64="N/A – rule","N/A – RULE",IF(TRIM(U64)="N/A",IF(AT64=0,"INVALID – N/A not permitted for this mandatory check",IF(AND(TRIM(AC64)&lt;&gt;"",TRIM(AE64)&lt;&gt;"",TRIM(T64)&lt;&gt;""),"N/A – JUSTIFIED","INVALID – N/A needs justification, PIC and verifier")),IF(OR(TRIM(U64)="Pass",TRIM(U64)="Pass after CA"),IF(NOT(ISNUMBER(AD64)),"INVALID – completion time missing",IF(TRIM(T64)="","INVALID – PIC missing",IF(TRIM(Z64)="","INVALID – evidence missing",IF(TRIM(AE64)="","INVALID – verifier missing",IF(AND(AQ64=1,TRIM(W64)=""),"INVALID – batch ID missing",IF(AND(AR64=1,OR(NOT(ISNUMBER(X64)),NOT(ISNUMBER(Y64)))),"INVALID – expected/actual qty missing",IF(IF(AND(TRIM(U64)="Pass",ISNUMBER(AF64)),IF(AF64&lt;&gt;0,"INVALID – qty variance: use Fail or Pass after CA",""),"")&amp;IF(AND(TRIM(U64)="Pass",AB64="Open"),"INVALID – corrective action still open: use Fail, then Pass after CA","")&amp;IF(AND(TRIM(U64)="Pass after CA",OR(TRIM(AA64)="",AB64&lt;&gt;"Closed")),"INVALID – corrective action not recorded/closed","")&lt;&gt;"",IF(AND(TRIM(U64)="Pass",ISNUMBER(AF64)),IF(AF64&lt;&gt;0,"INVALID – qty variance: use Fail or Pass after CA",""),"")&amp;IF(AND(TRIM(U64)="Pass",AB64="Open"),"INVALID – corrective action still open: use Fail, then Pass after CA","")&amp;IF(AND(TRIM(U64)="Pass after CA",OR(TRIM(AA64)="",AB64&lt;&gt;"Closed")),"INVALID – corrective action not recorded/closed",""),IF(AND(AS64=1,Documents!$J$6&lt;&gt;"ON FILE"),"INVALID – GLD not on file (Documents sheet)",IF(AND(AS64=2,Documents!$O$6&lt;&gt;"ON FILE"),"INVALID – menu checklist not on file (Documents sheet)",IF(AND(AS64=3,NOT(ISNUMBER(Flights!$AX$6))),"INVALID – enter carrying flight KUL departure (Flights AX)",IF(AG64&gt;AsOfUTC,"INVALID – completion time is in the future",IF(AND(ISNUMBER(S64),AG64&lt;S64),IF(H64="Physical uplift","INVALID – before uplift window (cannot confirm loading)","INVALID – before valid window"),IF(AG64&gt;Flights!$AA$6,"INVALID – completed after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f>
        <v>OPEN – CLARIFICATION</v>
      </c>
      <c r="AI64" s="61" t="n">
        <f aca="false">IF(OR(AH64="N/A – RULE",AH64="N/A – JUSTIFIED"),0,1)</f>
        <v>1</v>
      </c>
      <c r="AJ64" s="61" t="n">
        <f aca="false">IF(LEFT(AH64,8)="COMPLETE",1,0)</f>
        <v>0</v>
      </c>
      <c r="AK64" s="61" t="n">
        <f aca="false">IF(AND(AI64=1,AJ64=0,AsOfUTC&gt;Q64),1,0)</f>
        <v>0</v>
      </c>
      <c r="AL64" s="61" t="n">
        <f aca="false">IF(AND(AI64=1,OR(TRIM(U64)="Fail",AB64="Open",AND(ISNUMBER(AF64),AF64&lt;&gt;0,TRIM(U64)&lt;&gt;"Pass after CA"))),1,0)</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row>
    <row r="65" customFormat="false" ht="39.75" hidden="false" customHeight="true" outlineLevel="0" collapsed="false">
      <c r="A65" s="57" t="s">
        <v>510</v>
      </c>
      <c r="B65" s="57" t="s">
        <v>188</v>
      </c>
      <c r="C65" s="57" t="str">
        <f aca="false">Flights!$F$6</f>
        <v>MH0727</v>
      </c>
      <c r="D65" s="58" t="n">
        <f aca="false">Flights!$D$6</f>
        <v>46304</v>
      </c>
      <c r="E65" s="57" t="str">
        <f aca="false">Flights!$G$6&amp;"-"&amp;Flights!$H$6</f>
        <v>KUL-CGK</v>
      </c>
      <c r="F65" s="57" t="str">
        <f aca="false">Flights!$K$6</f>
        <v>BC</v>
      </c>
      <c r="G65" s="57" t="s">
        <v>422</v>
      </c>
      <c r="H65" s="57" t="s">
        <v>423</v>
      </c>
      <c r="I65" s="57" t="s">
        <v>462</v>
      </c>
      <c r="J65" s="57" t="s">
        <v>511</v>
      </c>
      <c r="K65" s="67" t="s">
        <v>482</v>
      </c>
      <c r="L65" s="67" t="s">
        <v>483</v>
      </c>
      <c r="M65" s="67" t="s">
        <v>414</v>
      </c>
      <c r="N65" s="67" t="s">
        <v>346</v>
      </c>
      <c r="O65" s="67" t="s">
        <v>512</v>
      </c>
      <c r="P65" s="57" t="s">
        <v>177</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IF(N65="N/A – rule","N/A – RULE",IF(TRIM(U65)="N/A",IF(AT65=0,"INVALID – N/A not permitted for this mandatory check",IF(AND(TRIM(AC65)&lt;&gt;"",TRIM(AE65)&lt;&gt;"",TRIM(T65)&lt;&gt;""),"N/A – JUSTIFIED","INVALID – N/A needs justification, PIC and verifier")),IF(OR(TRIM(U65)="Pass",TRIM(U65)="Pass after CA"),IF(NOT(ISNUMBER(AD65)),"INVALID – completion time missing",IF(TRIM(T65)="","INVALID – PIC missing",IF(TRIM(Z65)="","INVALID – evidence missing",IF(TRIM(AE65)="","INVALID – verifier missing",IF(AND(AQ65=1,TRIM(W65)=""),"INVALID – batch ID missing",IF(AND(AR65=1,OR(NOT(ISNUMBER(X65)),NOT(ISNUMBER(Y65)))),"INVALID – expected/actual qty missing",IF(IF(AND(TRIM(U65)="Pass",ISNUMBER(AF65)),IF(AF65&lt;&gt;0,"INVALID – qty variance: use Fail or Pass after CA",""),"")&amp;IF(AND(TRIM(U65)="Pass",AB65="Open"),"INVALID – corrective action still open: use Fail, then Pass after CA","")&amp;IF(AND(TRIM(U65)="Pass after CA",OR(TRIM(AA65)="",AB65&lt;&gt;"Closed")),"INVALID – corrective action not recorded/closed","")&lt;&gt;"",IF(AND(TRIM(U65)="Pass",ISNUMBER(AF65)),IF(AF65&lt;&gt;0,"INVALID – qty variance: use Fail or Pass after CA",""),"")&amp;IF(AND(TRIM(U65)="Pass",AB65="Open"),"INVALID – corrective action still open: use Fail, then Pass after CA","")&amp;IF(AND(TRIM(U65)="Pass after CA",OR(TRIM(AA65)="",AB65&lt;&gt;"Closed")),"INVALID – corrective action not recorded/closed",""),IF(AND(AS65=1,Documents!$J$6&lt;&gt;"ON FILE"),"INVALID – GLD not on file (Documents sheet)",IF(AND(AS65=2,Documents!$O$6&lt;&gt;"ON FILE"),"INVALID – menu checklist not on file (Documents sheet)",IF(AND(AS65=3,NOT(ISNUMBER(Flights!$AX$6))),"INVALID – enter carrying flight KUL departure (Flights AX)",IF(AG65&gt;AsOfUTC,"INVALID – completion time is in the future",IF(AND(ISNUMBER(S65),AG65&lt;S65),IF(H65="Physical uplift","INVALID – before uplift window (cannot confirm loading)","INVALID – before valid window"),IF(AG65&gt;Flights!$AA$6,"INVALID – completed after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f>
        <v>OPEN</v>
      </c>
      <c r="AI65" s="61" t="n">
        <f aca="false">IF(OR(AH65="N/A – RULE",AH65="N/A – JUSTIFIED"),0,1)</f>
        <v>1</v>
      </c>
      <c r="AJ65" s="61" t="n">
        <f aca="false">IF(LEFT(AH65,8)="COMPLETE",1,0)</f>
        <v>0</v>
      </c>
      <c r="AK65" s="61" t="n">
        <f aca="false">IF(AND(AI65=1,AJ65=0,AsOfUTC&gt;Q65),1,0)</f>
        <v>0</v>
      </c>
      <c r="AL65" s="61" t="n">
        <f aca="false">IF(AND(AI65=1,OR(TRIM(U65)="Fail",AB65="Open",AND(ISNUMBER(AF65),AF65&lt;&gt;0,TRIM(U65)&lt;&gt;"Pass after CA"))),1,0)</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1</v>
      </c>
    </row>
    <row r="66" customFormat="false" ht="39.75" hidden="false" customHeight="true" outlineLevel="0" collapsed="false">
      <c r="A66" s="57" t="s">
        <v>513</v>
      </c>
      <c r="B66" s="57" t="s">
        <v>188</v>
      </c>
      <c r="C66" s="57" t="str">
        <f aca="false">Flights!$F$6</f>
        <v>MH0727</v>
      </c>
      <c r="D66" s="58" t="n">
        <f aca="false">Flights!$D$6</f>
        <v>46304</v>
      </c>
      <c r="E66" s="57" t="str">
        <f aca="false">Flights!$G$6&amp;"-"&amp;Flights!$H$6</f>
        <v>KUL-CGK</v>
      </c>
      <c r="F66" s="57" t="str">
        <f aca="false">Flights!$K$6</f>
        <v>BC</v>
      </c>
      <c r="G66" s="57" t="s">
        <v>422</v>
      </c>
      <c r="H66" s="57" t="s">
        <v>423</v>
      </c>
      <c r="I66" s="57" t="s">
        <v>462</v>
      </c>
      <c r="J66" s="57" t="s">
        <v>514</v>
      </c>
      <c r="K66" s="67" t="s">
        <v>464</v>
      </c>
      <c r="L66" s="67" t="s">
        <v>487</v>
      </c>
      <c r="M66" s="67" t="s">
        <v>414</v>
      </c>
      <c r="N66" s="67" t="s">
        <v>346</v>
      </c>
      <c r="O66" s="67"/>
      <c r="P66" s="57" t="s">
        <v>177</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IF(N66="N/A – rule","N/A – RULE",IF(TRIM(U66)="N/A",IF(AT66=0,"INVALID – N/A not permitted for this mandatory check",IF(AND(TRIM(AC66)&lt;&gt;"",TRIM(AE66)&lt;&gt;"",TRIM(T66)&lt;&gt;""),"N/A – JUSTIFIED","INVALID – N/A needs justification, PIC and verifier")),IF(OR(TRIM(U66)="Pass",TRIM(U66)="Pass after CA"),IF(NOT(ISNUMBER(AD66)),"INVALID – completion time missing",IF(TRIM(T66)="","INVALID – PIC missing",IF(TRIM(Z66)="","INVALID – evidence missing",IF(TRIM(AE66)="","INVALID – verifier missing",IF(AND(AQ66=1,TRIM(W66)=""),"INVALID – batch ID missing",IF(AND(AR66=1,OR(NOT(ISNUMBER(X66)),NOT(ISNUMBER(Y66)))),"INVALID – expected/actual qty missing",IF(IF(AND(TRIM(U66)="Pass",ISNUMBER(AF66)),IF(AF66&lt;&gt;0,"INVALID – qty variance: use Fail or Pass after CA",""),"")&amp;IF(AND(TRIM(U66)="Pass",AB66="Open"),"INVALID – corrective action still open: use Fail, then Pass after CA","")&amp;IF(AND(TRIM(U66)="Pass after CA",OR(TRIM(AA66)="",AB66&lt;&gt;"Closed")),"INVALID – corrective action not recorded/closed","")&lt;&gt;"",IF(AND(TRIM(U66)="Pass",ISNUMBER(AF66)),IF(AF66&lt;&gt;0,"INVALID – qty variance: use Fail or Pass after CA",""),"")&amp;IF(AND(TRIM(U66)="Pass",AB66="Open"),"INVALID – corrective action still open: use Fail, then Pass after CA","")&amp;IF(AND(TRIM(U66)="Pass after CA",OR(TRIM(AA66)="",AB66&lt;&gt;"Closed")),"INVALID – corrective action not recorded/closed",""),IF(AND(AS66=1,Documents!$J$6&lt;&gt;"ON FILE"),"INVALID – GLD not on file (Documents sheet)",IF(AND(AS66=2,Documents!$O$6&lt;&gt;"ON FILE"),"INVALID – menu checklist not on file (Documents sheet)",IF(AND(AS66=3,NOT(ISNUMBER(Flights!$AX$6))),"INVALID – enter carrying flight KUL departure (Flights AX)",IF(AG66&gt;AsOfUTC,"INVALID – completion time is in the future",IF(AND(ISNUMBER(S66),AG66&lt;S66),IF(H66="Physical uplift","INVALID – before uplift window (cannot confirm loading)","INVALID – before valid window"),IF(AG66&gt;Flights!$AA$6,"INVALID – completed after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f>
        <v>OPEN</v>
      </c>
      <c r="AI66" s="61" t="n">
        <f aca="false">IF(OR(AH66="N/A – RULE",AH66="N/A – JUSTIFIED"),0,1)</f>
        <v>1</v>
      </c>
      <c r="AJ66" s="61" t="n">
        <f aca="false">IF(LEFT(AH66,8)="COMPLETE",1,0)</f>
        <v>0</v>
      </c>
      <c r="AK66" s="61" t="n">
        <f aca="false">IF(AND(AI66=1,AJ66=0,AsOfUTC&gt;Q66),1,0)</f>
        <v>0</v>
      </c>
      <c r="AL66" s="61" t="n">
        <f aca="false">IF(AND(AI66=1,OR(TRIM(U66)="Fail",AB66="Open",AND(ISNUMBER(AF66),AF66&lt;&gt;0,TRIM(U66)&lt;&gt;"Pass after CA"))),1,0)</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1</v>
      </c>
    </row>
    <row r="67" customFormat="false" ht="39.75" hidden="false" customHeight="true" outlineLevel="0" collapsed="false">
      <c r="A67" s="57" t="s">
        <v>515</v>
      </c>
      <c r="B67" s="57" t="s">
        <v>188</v>
      </c>
      <c r="C67" s="57" t="str">
        <f aca="false">Flights!$F$6</f>
        <v>MH0727</v>
      </c>
      <c r="D67" s="58" t="n">
        <f aca="false">Flights!$D$6</f>
        <v>46304</v>
      </c>
      <c r="E67" s="57" t="str">
        <f aca="false">Flights!$G$6&amp;"-"&amp;Flights!$H$6</f>
        <v>KUL-CGK</v>
      </c>
      <c r="F67" s="57" t="str">
        <f aca="false">Flights!$K$6</f>
        <v>BC</v>
      </c>
      <c r="G67" s="57" t="s">
        <v>422</v>
      </c>
      <c r="H67" s="57" t="s">
        <v>423</v>
      </c>
      <c r="I67" s="57" t="s">
        <v>410</v>
      </c>
      <c r="J67" s="57" t="s">
        <v>516</v>
      </c>
      <c r="K67" s="67" t="s">
        <v>412</v>
      </c>
      <c r="L67" s="67" t="s">
        <v>490</v>
      </c>
      <c r="M67" s="67" t="s">
        <v>414</v>
      </c>
      <c r="N67" s="67" t="s">
        <v>346</v>
      </c>
      <c r="O67" s="67"/>
      <c r="P67" s="57" t="s">
        <v>177</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IF(N67="N/A – rule","N/A – RULE",IF(TRIM(U67)="N/A",IF(AT67=0,"INVALID – N/A not permitted for this mandatory check",IF(AND(TRIM(AC67)&lt;&gt;"",TRIM(AE67)&lt;&gt;"",TRIM(T67)&lt;&gt;""),"N/A – JUSTIFIED","INVALID – N/A needs justification, PIC and verifier")),IF(OR(TRIM(U67)="Pass",TRIM(U67)="Pass after CA"),IF(NOT(ISNUMBER(AD67)),"INVALID – completion time missing",IF(TRIM(T67)="","INVALID – PIC missing",IF(TRIM(Z67)="","INVALID – evidence missing",IF(TRIM(AE67)="","INVALID – verifier missing",IF(AND(AQ67=1,TRIM(W67)=""),"INVALID – batch ID missing",IF(AND(AR67=1,OR(NOT(ISNUMBER(X67)),NOT(ISNUMBER(Y67)))),"INVALID – expected/actual qty missing",IF(IF(AND(TRIM(U67)="Pass",ISNUMBER(AF67)),IF(AF67&lt;&gt;0,"INVALID – qty variance: use Fail or Pass after CA",""),"")&amp;IF(AND(TRIM(U67)="Pass",AB67="Open"),"INVALID – corrective action still open: use Fail, then Pass after CA","")&amp;IF(AND(TRIM(U67)="Pass after CA",OR(TRIM(AA67)="",AB67&lt;&gt;"Closed")),"INVALID – corrective action not recorded/closed","")&lt;&gt;"",IF(AND(TRIM(U67)="Pass",ISNUMBER(AF67)),IF(AF67&lt;&gt;0,"INVALID – qty variance: use Fail or Pass after CA",""),"")&amp;IF(AND(TRIM(U67)="Pass",AB67="Open"),"INVALID – corrective action still open: use Fail, then Pass after CA","")&amp;IF(AND(TRIM(U67)="Pass after CA",OR(TRIM(AA67)="",AB67&lt;&gt;"Closed")),"INVALID – corrective action not recorded/closed",""),IF(AND(AS67=1,Documents!$J$6&lt;&gt;"ON FILE"),"INVALID – GLD not on file (Documents sheet)",IF(AND(AS67=2,Documents!$O$6&lt;&gt;"ON FILE"),"INVALID – menu checklist not on file (Documents sheet)",IF(AND(AS67=3,NOT(ISNUMBER(Flights!$AX$6))),"INVALID – enter carrying flight KUL departure (Flights AX)",IF(AG67&gt;AsOfUTC,"INVALID – completion time is in the future",IF(AND(ISNUMBER(S67),AG67&lt;S67),IF(H67="Physical uplift","INVALID – before uplift window (cannot confirm loading)","INVALID – before valid window"),IF(AG67&gt;Flights!$AA$6,"INVALID – completed after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f>
        <v>OPEN</v>
      </c>
      <c r="AI67" s="61" t="n">
        <f aca="false">IF(OR(AH67="N/A – RULE",AH67="N/A – JUSTIFIED"),0,1)</f>
        <v>1</v>
      </c>
      <c r="AJ67" s="61" t="n">
        <f aca="false">IF(LEFT(AH67,8)="COMPLETE",1,0)</f>
        <v>0</v>
      </c>
      <c r="AK67" s="61" t="n">
        <f aca="false">IF(AND(AI67=1,AJ67=0,AsOfUTC&gt;Q67),1,0)</f>
        <v>0</v>
      </c>
      <c r="AL67" s="61" t="n">
        <f aca="false">IF(AND(AI67=1,OR(TRIM(U67)="Fail",AB67="Open",AND(ISNUMBER(AF67),AF67&lt;&gt;0,TRIM(U67)&lt;&gt;"Pass after CA"))),1,0)</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1</v>
      </c>
    </row>
    <row r="68" customFormat="false" ht="39.75" hidden="false" customHeight="true" outlineLevel="0" collapsed="false">
      <c r="A68" s="57" t="s">
        <v>517</v>
      </c>
      <c r="B68" s="57" t="s">
        <v>188</v>
      </c>
      <c r="C68" s="57" t="str">
        <f aca="false">Flights!$F$6</f>
        <v>MH0727</v>
      </c>
      <c r="D68" s="58" t="n">
        <f aca="false">Flights!$D$6</f>
        <v>46304</v>
      </c>
      <c r="E68" s="57" t="str">
        <f aca="false">Flights!$G$6&amp;"-"&amp;Flights!$H$6</f>
        <v>KUL-CGK</v>
      </c>
      <c r="F68" s="57" t="str">
        <f aca="false">Flights!$K$6</f>
        <v>BC</v>
      </c>
      <c r="G68" s="57" t="s">
        <v>422</v>
      </c>
      <c r="H68" s="57" t="s">
        <v>423</v>
      </c>
      <c r="I68" s="57" t="s">
        <v>410</v>
      </c>
      <c r="J68" s="57" t="s">
        <v>518</v>
      </c>
      <c r="K68" s="67" t="s">
        <v>412</v>
      </c>
      <c r="L68" s="67" t="s">
        <v>493</v>
      </c>
      <c r="M68" s="67" t="s">
        <v>414</v>
      </c>
      <c r="N68" s="67" t="s">
        <v>346</v>
      </c>
      <c r="O68" s="67"/>
      <c r="P68" s="57" t="s">
        <v>177</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IF(N68="N/A – rule","N/A – RULE",IF(TRIM(U68)="N/A",IF(AT68=0,"INVALID – N/A not permitted for this mandatory check",IF(AND(TRIM(AC68)&lt;&gt;"",TRIM(AE68)&lt;&gt;"",TRIM(T68)&lt;&gt;""),"N/A – JUSTIFIED","INVALID – N/A needs justification, PIC and verifier")),IF(OR(TRIM(U68)="Pass",TRIM(U68)="Pass after CA"),IF(NOT(ISNUMBER(AD68)),"INVALID – completion time missing",IF(TRIM(T68)="","INVALID – PIC missing",IF(TRIM(Z68)="","INVALID – evidence missing",IF(TRIM(AE68)="","INVALID – verifier missing",IF(AND(AQ68=1,TRIM(W68)=""),"INVALID – batch ID missing",IF(AND(AR68=1,OR(NOT(ISNUMBER(X68)),NOT(ISNUMBER(Y68)))),"INVALID – expected/actual qty missing",IF(IF(AND(TRIM(U68)="Pass",ISNUMBER(AF68)),IF(AF68&lt;&gt;0,"INVALID – qty variance: use Fail or Pass after CA",""),"")&amp;IF(AND(TRIM(U68)="Pass",AB68="Open"),"INVALID – corrective action still open: use Fail, then Pass after CA","")&amp;IF(AND(TRIM(U68)="Pass after CA",OR(TRIM(AA68)="",AB68&lt;&gt;"Closed")),"INVALID – corrective action not recorded/closed","")&lt;&gt;"",IF(AND(TRIM(U68)="Pass",ISNUMBER(AF68)),IF(AF68&lt;&gt;0,"INVALID – qty variance: use Fail or Pass after CA",""),"")&amp;IF(AND(TRIM(U68)="Pass",AB68="Open"),"INVALID – corrective action still open: use Fail, then Pass after CA","")&amp;IF(AND(TRIM(U68)="Pass after CA",OR(TRIM(AA68)="",AB68&lt;&gt;"Closed")),"INVALID – corrective action not recorded/closed",""),IF(AND(AS68=1,Documents!$J$6&lt;&gt;"ON FILE"),"INVALID – GLD not on file (Documents sheet)",IF(AND(AS68=2,Documents!$O$6&lt;&gt;"ON FILE"),"INVALID – menu checklist not on file (Documents sheet)",IF(AND(AS68=3,NOT(ISNUMBER(Flights!$AX$6))),"INVALID – enter carrying flight KUL departure (Flights AX)",IF(AG68&gt;AsOfUTC,"INVALID – completion time is in the future",IF(AND(ISNUMBER(S68),AG68&lt;S68),IF(H68="Physical uplift","INVALID – before uplift window (cannot confirm loading)","INVALID – before valid window"),IF(AG68&gt;Flights!$AA$6,"INVALID – completed after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f>
        <v>OPEN</v>
      </c>
      <c r="AI68" s="61" t="n">
        <f aca="false">IF(OR(AH68="N/A – RULE",AH68="N/A – JUSTIFIED"),0,1)</f>
        <v>1</v>
      </c>
      <c r="AJ68" s="61" t="n">
        <f aca="false">IF(LEFT(AH68,8)="COMPLETE",1,0)</f>
        <v>0</v>
      </c>
      <c r="AK68" s="61" t="n">
        <f aca="false">IF(AND(AI68=1,AJ68=0,AsOfUTC&gt;Q68),1,0)</f>
        <v>0</v>
      </c>
      <c r="AL68" s="61" t="n">
        <f aca="false">IF(AND(AI68=1,OR(TRIM(U68)="Fail",AB68="Open",AND(ISNUMBER(AF68),AF68&lt;&gt;0,TRIM(U68)&lt;&gt;"Pass after CA"))),1,0)</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1</v>
      </c>
    </row>
    <row r="69" customFormat="false" ht="39.75" hidden="false" customHeight="true" outlineLevel="0" collapsed="false">
      <c r="A69" s="57" t="s">
        <v>519</v>
      </c>
      <c r="B69" s="57" t="s">
        <v>202</v>
      </c>
      <c r="C69" s="57" t="str">
        <f aca="false">Flights!$F$7</f>
        <v>MH0720</v>
      </c>
      <c r="D69" s="58" t="n">
        <f aca="false">Flights!$D$7</f>
        <v>46305</v>
      </c>
      <c r="E69" s="57" t="str">
        <f aca="false">Flights!$G$7&amp;"-"&amp;Flights!$H$7</f>
        <v>CGK-KUL</v>
      </c>
      <c r="F69" s="57" t="str">
        <f aca="false">Flights!$K$7</f>
        <v>EY</v>
      </c>
      <c r="G69" s="57" t="s">
        <v>74</v>
      </c>
      <c r="H69" s="57" t="s">
        <v>341</v>
      </c>
      <c r="I69" s="57" t="s">
        <v>342</v>
      </c>
      <c r="J69" s="57" t="s">
        <v>343</v>
      </c>
      <c r="K69" s="67" t="s">
        <v>344</v>
      </c>
      <c r="L69" s="67" t="s">
        <v>345</v>
      </c>
      <c r="M69" s="67"/>
      <c r="N69" s="67" t="s">
        <v>346</v>
      </c>
      <c r="O69" s="67"/>
      <c r="P69" s="57" t="s">
        <v>191</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IF(N69="N/A – rule","N/A – RULE",IF(TRIM(U69)="N/A",IF(AT69=0,"INVALID – N/A not permitted for this mandatory check",IF(AND(TRIM(AC69)&lt;&gt;"",TRIM(AE69)&lt;&gt;"",TRIM(T69)&lt;&gt;""),"N/A – JUSTIFIED","INVALID – N/A needs justification, PIC and verifier")),IF(OR(TRIM(U69)="Pass",TRIM(U69)="Pass after CA"),IF(NOT(ISNUMBER(AD69)),"INVALID – completion time missing",IF(TRIM(T69)="","INVALID – PIC missing",IF(TRIM(Z69)="","INVALID – evidence missing",IF(TRIM(AE69)="","INVALID – verifier missing",IF(AND(AQ69=1,TRIM(W69)=""),"INVALID – batch ID missing",IF(AND(AR69=1,OR(NOT(ISNUMBER(X69)),NOT(ISNUMBER(Y69)))),"INVALID – expected/actual qty missing",IF(IF(AND(TRIM(U69)="Pass",ISNUMBER(AF69)),IF(AF69&lt;&gt;0,"INVALID – qty variance: use Fail or Pass after CA",""),"")&amp;IF(AND(TRIM(U69)="Pass",AB69="Open"),"INVALID – corrective action still open: use Fail, then Pass after CA","")&amp;IF(AND(TRIM(U69)="Pass after CA",OR(TRIM(AA69)="",AB69&lt;&gt;"Closed")),"INVALID – corrective action not recorded/closed","")&lt;&gt;"",IF(AND(TRIM(U69)="Pass",ISNUMBER(AF69)),IF(AF69&lt;&gt;0,"INVALID – qty variance: use Fail or Pass after CA",""),"")&amp;IF(AND(TRIM(U69)="Pass",AB69="Open"),"INVALID – corrective action still open: use Fail, then Pass after CA","")&amp;IF(AND(TRIM(U69)="Pass after CA",OR(TRIM(AA69)="",AB69&lt;&gt;"Closed")),"INVALID – corrective action not recorded/closed",""),IF(AND(AS69=1,Documents!$J$7&lt;&gt;"ON FILE"),"INVALID – GLD not on file (Documents sheet)",IF(AND(AS69=2,Documents!$O$7&lt;&gt;"ON FILE"),"INVALID – menu checklist not on file (Documents sheet)",IF(AND(AS69=3,NOT(ISNUMBER(Flights!$AX$7))),"INVALID – enter carrying flight KUL departure (Flights AX)",IF(AG69&gt;AsOfUTC,"INVALID – completion time is in the future",IF(AND(ISNUMBER(S69),AG69&lt;S69),IF(H69="Physical uplift","INVALID – before uplift window (cannot confirm loading)","INVALID – before valid window"),IF(AG69&gt;Flights!$AA$7,"INVALID – completed after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f>
        <v>OPEN</v>
      </c>
      <c r="AI69" s="61" t="n">
        <f aca="false">IF(OR(AH69="N/A – RULE",AH69="N/A – JUSTIFIED"),0,1)</f>
        <v>1</v>
      </c>
      <c r="AJ69" s="61" t="n">
        <f aca="false">IF(LEFT(AH69,8)="COMPLETE",1,0)</f>
        <v>0</v>
      </c>
      <c r="AK69" s="61" t="n">
        <f aca="false">IF(AND(AI69=1,AJ69=0,AsOfUTC&gt;Q69),1,0)</f>
        <v>0</v>
      </c>
      <c r="AL69" s="61" t="n">
        <f aca="false">IF(AND(AI69=1,OR(TRIM(U69)="Fail",AB69="Open",AND(ISNUMBER(AF69),AF69&lt;&gt;0,TRIM(U69)&lt;&gt;"Pass after CA"))),1,0)</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row>
    <row r="70" customFormat="false" ht="39.75" hidden="false" customHeight="true" outlineLevel="0" collapsed="false">
      <c r="A70" s="57" t="s">
        <v>520</v>
      </c>
      <c r="B70" s="57" t="s">
        <v>202</v>
      </c>
      <c r="C70" s="57" t="str">
        <f aca="false">Flights!$F$7</f>
        <v>MH0720</v>
      </c>
      <c r="D70" s="58" t="n">
        <f aca="false">Flights!$D$7</f>
        <v>46305</v>
      </c>
      <c r="E70" s="57" t="str">
        <f aca="false">Flights!$G$7&amp;"-"&amp;Flights!$H$7</f>
        <v>CGK-KUL</v>
      </c>
      <c r="F70" s="57" t="str">
        <f aca="false">Flights!$K$7</f>
        <v>EY</v>
      </c>
      <c r="G70" s="57" t="s">
        <v>74</v>
      </c>
      <c r="H70" s="57" t="s">
        <v>341</v>
      </c>
      <c r="I70" s="57" t="s">
        <v>348</v>
      </c>
      <c r="J70" s="57" t="s">
        <v>349</v>
      </c>
      <c r="K70" s="67" t="s">
        <v>350</v>
      </c>
      <c r="L70" s="67" t="s">
        <v>345</v>
      </c>
      <c r="M70" s="67"/>
      <c r="N70" s="67" t="s">
        <v>346</v>
      </c>
      <c r="O70" s="67"/>
      <c r="P70" s="57" t="s">
        <v>191</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IF(N70="N/A – rule","N/A – RULE",IF(TRIM(U70)="N/A",IF(AT70=0,"INVALID – N/A not permitted for this mandatory check",IF(AND(TRIM(AC70)&lt;&gt;"",TRIM(AE70)&lt;&gt;"",TRIM(T70)&lt;&gt;""),"N/A – JUSTIFIED","INVALID – N/A needs justification, PIC and verifier")),IF(OR(TRIM(U70)="Pass",TRIM(U70)="Pass after CA"),IF(NOT(ISNUMBER(AD70)),"INVALID – completion time missing",IF(TRIM(T70)="","INVALID – PIC missing",IF(TRIM(Z70)="","INVALID – evidence missing",IF(TRIM(AE70)="","INVALID – verifier missing",IF(AND(AQ70=1,TRIM(W70)=""),"INVALID – batch ID missing",IF(AND(AR70=1,OR(NOT(ISNUMBER(X70)),NOT(ISNUMBER(Y70)))),"INVALID – expected/actual qty missing",IF(IF(AND(TRIM(U70)="Pass",ISNUMBER(AF70)),IF(AF70&lt;&gt;0,"INVALID – qty variance: use Fail or Pass after CA",""),"")&amp;IF(AND(TRIM(U70)="Pass",AB70="Open"),"INVALID – corrective action still open: use Fail, then Pass after CA","")&amp;IF(AND(TRIM(U70)="Pass after CA",OR(TRIM(AA70)="",AB70&lt;&gt;"Closed")),"INVALID – corrective action not recorded/closed","")&lt;&gt;"",IF(AND(TRIM(U70)="Pass",ISNUMBER(AF70)),IF(AF70&lt;&gt;0,"INVALID – qty variance: use Fail or Pass after CA",""),"")&amp;IF(AND(TRIM(U70)="Pass",AB70="Open"),"INVALID – corrective action still open: use Fail, then Pass after CA","")&amp;IF(AND(TRIM(U70)="Pass after CA",OR(TRIM(AA70)="",AB70&lt;&gt;"Closed")),"INVALID – corrective action not recorded/closed",""),IF(AND(AS70=1,Documents!$J$7&lt;&gt;"ON FILE"),"INVALID – GLD not on file (Documents sheet)",IF(AND(AS70=2,Documents!$O$7&lt;&gt;"ON FILE"),"INVALID – menu checklist not on file (Documents sheet)",IF(AND(AS70=3,NOT(ISNUMBER(Flights!$AX$7))),"INVALID – enter carrying flight KUL departure (Flights AX)",IF(AG70&gt;AsOfUTC,"INVALID – completion time is in the future",IF(AND(ISNUMBER(S70),AG70&lt;S70),IF(H70="Physical uplift","INVALID – before uplift window (cannot confirm loading)","INVALID – before valid window"),IF(AG70&gt;Flights!$AA$7,"INVALID – completed after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f>
        <v>OPEN</v>
      </c>
      <c r="AI70" s="61" t="n">
        <f aca="false">IF(OR(AH70="N/A – RULE",AH70="N/A – JUSTIFIED"),0,1)</f>
        <v>1</v>
      </c>
      <c r="AJ70" s="61" t="n">
        <f aca="false">IF(LEFT(AH70,8)="COMPLETE",1,0)</f>
        <v>0</v>
      </c>
      <c r="AK70" s="61" t="n">
        <f aca="false">IF(AND(AI70=1,AJ70=0,AsOfUTC&gt;Q70),1,0)</f>
        <v>0</v>
      </c>
      <c r="AL70" s="61" t="n">
        <f aca="false">IF(AND(AI70=1,OR(TRIM(U70)="Fail",AB70="Open",AND(ISNUMBER(AF70),AF70&lt;&gt;0,TRIM(U70)&lt;&gt;"Pass after CA"))),1,0)</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1</v>
      </c>
    </row>
    <row r="71" customFormat="false" ht="41.25" hidden="false" customHeight="true" outlineLevel="0" collapsed="false">
      <c r="A71" s="57" t="s">
        <v>521</v>
      </c>
      <c r="B71" s="57" t="s">
        <v>202</v>
      </c>
      <c r="C71" s="57" t="str">
        <f aca="false">Flights!$F$7</f>
        <v>MH0720</v>
      </c>
      <c r="D71" s="58" t="n">
        <f aca="false">Flights!$D$7</f>
        <v>46305</v>
      </c>
      <c r="E71" s="57" t="str">
        <f aca="false">Flights!$G$7&amp;"-"&amp;Flights!$H$7</f>
        <v>CGK-KUL</v>
      </c>
      <c r="F71" s="57" t="str">
        <f aca="false">Flights!$K$7</f>
        <v>EY</v>
      </c>
      <c r="G71" s="57" t="s">
        <v>74</v>
      </c>
      <c r="H71" s="57" t="s">
        <v>341</v>
      </c>
      <c r="I71" s="57" t="s">
        <v>352</v>
      </c>
      <c r="J71" s="57" t="s">
        <v>353</v>
      </c>
      <c r="K71" s="67" t="s">
        <v>354</v>
      </c>
      <c r="L71" s="67" t="s">
        <v>345</v>
      </c>
      <c r="M71" s="67"/>
      <c r="N71" s="67" t="str">
        <f aca="false">IF(TRIM(Flights!$L$7)="A339","Required","N/A – rule")</f>
        <v>N/A – rule</v>
      </c>
      <c r="O71" s="67" t="s">
        <v>355</v>
      </c>
      <c r="P71" s="57" t="s">
        <v>191</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IF(N71="N/A – rule","N/A – RULE",IF(TRIM(U71)="N/A",IF(AT71=0,"INVALID – N/A not permitted for this mandatory check",IF(AND(TRIM(AC71)&lt;&gt;"",TRIM(AE71)&lt;&gt;"",TRIM(T71)&lt;&gt;""),"N/A – JUSTIFIED","INVALID – N/A needs justification, PIC and verifier")),IF(OR(TRIM(U71)="Pass",TRIM(U71)="Pass after CA"),IF(NOT(ISNUMBER(AD71)),"INVALID – completion time missing",IF(TRIM(T71)="","INVALID – PIC missing",IF(TRIM(Z71)="","INVALID – evidence missing",IF(TRIM(AE71)="","INVALID – verifier missing",IF(AND(AQ71=1,TRIM(W71)=""),"INVALID – batch ID missing",IF(AND(AR71=1,OR(NOT(ISNUMBER(X71)),NOT(ISNUMBER(Y71)))),"INVALID – expected/actual qty missing",IF(IF(AND(TRIM(U71)="Pass",ISNUMBER(AF71)),IF(AF71&lt;&gt;0,"INVALID – qty variance: use Fail or Pass after CA",""),"")&amp;IF(AND(TRIM(U71)="Pass",AB71="Open"),"INVALID – corrective action still open: use Fail, then Pass after CA","")&amp;IF(AND(TRIM(U71)="Pass after CA",OR(TRIM(AA71)="",AB71&lt;&gt;"Closed")),"INVALID – corrective action not recorded/closed","")&lt;&gt;"",IF(AND(TRIM(U71)="Pass",ISNUMBER(AF71)),IF(AF71&lt;&gt;0,"INVALID – qty variance: use Fail or Pass after CA",""),"")&amp;IF(AND(TRIM(U71)="Pass",AB71="Open"),"INVALID – corrective action still open: use Fail, then Pass after CA","")&amp;IF(AND(TRIM(U71)="Pass after CA",OR(TRIM(AA71)="",AB71&lt;&gt;"Closed")),"INVALID – corrective action not recorded/closed",""),IF(AND(AS71=1,Documents!$J$7&lt;&gt;"ON FILE"),"INVALID – GLD not on file (Documents sheet)",IF(AND(AS71=2,Documents!$O$7&lt;&gt;"ON FILE"),"INVALID – menu checklist not on file (Documents sheet)",IF(AND(AS71=3,NOT(ISNUMBER(Flights!$AX$7))),"INVALID – enter carrying flight KUL departure (Flights AX)",IF(AG71&gt;AsOfUTC,"INVALID – completion time is in the future",IF(AND(ISNUMBER(S71),AG71&lt;S71),IF(H71="Physical uplift","INVALID – before uplift window (cannot confirm loading)","INVALID – before valid window"),IF(AG71&gt;Flights!$AA$7,"INVALID – completed after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f>
        <v>N/A – RULE</v>
      </c>
      <c r="AI71" s="61" t="n">
        <f aca="false">IF(OR(AH71="N/A – RULE",AH71="N/A – JUSTIFIED"),0,1)</f>
        <v>0</v>
      </c>
      <c r="AJ71" s="61" t="n">
        <f aca="false">IF(LEFT(AH71,8)="COMPLETE",1,0)</f>
        <v>0</v>
      </c>
      <c r="AK71" s="61" t="n">
        <f aca="false">IF(AND(AI71=1,AJ71=0,AsOfUTC&gt;Q71),1,0)</f>
        <v>0</v>
      </c>
      <c r="AL71" s="61" t="n">
        <f aca="false">IF(AND(AI71=1,OR(TRIM(U71)="Fail",AB71="Open",AND(ISNUMBER(AF71),AF71&lt;&gt;0,TRIM(U71)&lt;&gt;"Pass after CA"))),1,0)</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row>
    <row r="72" customFormat="false" ht="39.75" hidden="false" customHeight="true" outlineLevel="0" collapsed="false">
      <c r="A72" s="57" t="s">
        <v>522</v>
      </c>
      <c r="B72" s="57" t="s">
        <v>202</v>
      </c>
      <c r="C72" s="57" t="str">
        <f aca="false">Flights!$F$7</f>
        <v>MH0720</v>
      </c>
      <c r="D72" s="58" t="n">
        <f aca="false">Flights!$D$7</f>
        <v>46305</v>
      </c>
      <c r="E72" s="57" t="str">
        <f aca="false">Flights!$G$7&amp;"-"&amp;Flights!$H$7</f>
        <v>CGK-KUL</v>
      </c>
      <c r="F72" s="57" t="str">
        <f aca="false">Flights!$K$7</f>
        <v>EY</v>
      </c>
      <c r="G72" s="57" t="s">
        <v>74</v>
      </c>
      <c r="H72" s="57" t="s">
        <v>341</v>
      </c>
      <c r="I72" s="57" t="s">
        <v>357</v>
      </c>
      <c r="J72" s="57" t="s">
        <v>358</v>
      </c>
      <c r="K72" s="67" t="s">
        <v>359</v>
      </c>
      <c r="L72" s="67" t="s">
        <v>345</v>
      </c>
      <c r="M72" s="67"/>
      <c r="N72" s="67" t="s">
        <v>346</v>
      </c>
      <c r="O72" s="67"/>
      <c r="P72" s="57" t="s">
        <v>191</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IF(N72="N/A – rule","N/A – RULE",IF(TRIM(U72)="N/A",IF(AT72=0,"INVALID – N/A not permitted for this mandatory check",IF(AND(TRIM(AC72)&lt;&gt;"",TRIM(AE72)&lt;&gt;"",TRIM(T72)&lt;&gt;""),"N/A – JUSTIFIED","INVALID – N/A needs justification, PIC and verifier")),IF(OR(TRIM(U72)="Pass",TRIM(U72)="Pass after CA"),IF(NOT(ISNUMBER(AD72)),"INVALID – completion time missing",IF(TRIM(T72)="","INVALID – PIC missing",IF(TRIM(Z72)="","INVALID – evidence missing",IF(TRIM(AE72)="","INVALID – verifier missing",IF(AND(AQ72=1,TRIM(W72)=""),"INVALID – batch ID missing",IF(AND(AR72=1,OR(NOT(ISNUMBER(X72)),NOT(ISNUMBER(Y72)))),"INVALID – expected/actual qty missing",IF(IF(AND(TRIM(U72)="Pass",ISNUMBER(AF72)),IF(AF72&lt;&gt;0,"INVALID – qty variance: use Fail or Pass after CA",""),"")&amp;IF(AND(TRIM(U72)="Pass",AB72="Open"),"INVALID – corrective action still open: use Fail, then Pass after CA","")&amp;IF(AND(TRIM(U72)="Pass after CA",OR(TRIM(AA72)="",AB72&lt;&gt;"Closed")),"INVALID – corrective action not recorded/closed","")&lt;&gt;"",IF(AND(TRIM(U72)="Pass",ISNUMBER(AF72)),IF(AF72&lt;&gt;0,"INVALID – qty variance: use Fail or Pass after CA",""),"")&amp;IF(AND(TRIM(U72)="Pass",AB72="Open"),"INVALID – corrective action still open: use Fail, then Pass after CA","")&amp;IF(AND(TRIM(U72)="Pass after CA",OR(TRIM(AA72)="",AB72&lt;&gt;"Closed")),"INVALID – corrective action not recorded/closed",""),IF(AND(AS72=1,Documents!$J$7&lt;&gt;"ON FILE"),"INVALID – GLD not on file (Documents sheet)",IF(AND(AS72=2,Documents!$O$7&lt;&gt;"ON FILE"),"INVALID – menu checklist not on file (Documents sheet)",IF(AND(AS72=3,NOT(ISNUMBER(Flights!$AX$7))),"INVALID – enter carrying flight KUL departure (Flights AX)",IF(AG72&gt;AsOfUTC,"INVALID – completion time is in the future",IF(AND(ISNUMBER(S72),AG72&lt;S72),IF(H72="Physical uplift","INVALID – before uplift window (cannot confirm loading)","INVALID – before valid window"),IF(AG72&gt;Flights!$AA$7,"INVALID – completed after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f>
        <v>OPEN</v>
      </c>
      <c r="AI72" s="61" t="n">
        <f aca="false">IF(OR(AH72="N/A – RULE",AH72="N/A – JUSTIFIED"),0,1)</f>
        <v>1</v>
      </c>
      <c r="AJ72" s="61" t="n">
        <f aca="false">IF(LEFT(AH72,8)="COMPLETE",1,0)</f>
        <v>0</v>
      </c>
      <c r="AK72" s="61" t="n">
        <f aca="false">IF(AND(AI72=1,AJ72=0,AsOfUTC&gt;Q72),1,0)</f>
        <v>0</v>
      </c>
      <c r="AL72" s="61" t="n">
        <f aca="false">IF(AND(AI72=1,OR(TRIM(U72)="Fail",AB72="Open",AND(ISNUMBER(AF72),AF72&lt;&gt;0,TRIM(U72)&lt;&gt;"Pass after CA"))),1,0)</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row>
    <row r="73" customFormat="false" ht="39.75" hidden="false" customHeight="true" outlineLevel="0" collapsed="false">
      <c r="A73" s="57" t="s">
        <v>523</v>
      </c>
      <c r="B73" s="57" t="s">
        <v>202</v>
      </c>
      <c r="C73" s="57" t="str">
        <f aca="false">Flights!$F$7</f>
        <v>MH0720</v>
      </c>
      <c r="D73" s="58" t="n">
        <f aca="false">Flights!$D$7</f>
        <v>46305</v>
      </c>
      <c r="E73" s="57" t="str">
        <f aca="false">Flights!$G$7&amp;"-"&amp;Flights!$H$7</f>
        <v>CGK-KUL</v>
      </c>
      <c r="F73" s="57" t="str">
        <f aca="false">Flights!$K$7</f>
        <v>EY</v>
      </c>
      <c r="G73" s="57" t="s">
        <v>74</v>
      </c>
      <c r="H73" s="57" t="s">
        <v>341</v>
      </c>
      <c r="I73" s="57" t="s">
        <v>361</v>
      </c>
      <c r="J73" s="57" t="s">
        <v>362</v>
      </c>
      <c r="K73" s="67" t="s">
        <v>363</v>
      </c>
      <c r="L73" s="67" t="s">
        <v>345</v>
      </c>
      <c r="M73" s="67"/>
      <c r="N73" s="67" t="s">
        <v>346</v>
      </c>
      <c r="O73" s="67"/>
      <c r="P73" s="57" t="s">
        <v>191</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IF(N73="N/A – rule","N/A – RULE",IF(TRIM(U73)="N/A",IF(AT73=0,"INVALID – N/A not permitted for this mandatory check",IF(AND(TRIM(AC73)&lt;&gt;"",TRIM(AE73)&lt;&gt;"",TRIM(T73)&lt;&gt;""),"N/A – JUSTIFIED","INVALID – N/A needs justification, PIC and verifier")),IF(OR(TRIM(U73)="Pass",TRIM(U73)="Pass after CA"),IF(NOT(ISNUMBER(AD73)),"INVALID – completion time missing",IF(TRIM(T73)="","INVALID – PIC missing",IF(TRIM(Z73)="","INVALID – evidence missing",IF(TRIM(AE73)="","INVALID – verifier missing",IF(AND(AQ73=1,TRIM(W73)=""),"INVALID – batch ID missing",IF(AND(AR73=1,OR(NOT(ISNUMBER(X73)),NOT(ISNUMBER(Y73)))),"INVALID – expected/actual qty missing",IF(IF(AND(TRIM(U73)="Pass",ISNUMBER(AF73)),IF(AF73&lt;&gt;0,"INVALID – qty variance: use Fail or Pass after CA",""),"")&amp;IF(AND(TRIM(U73)="Pass",AB73="Open"),"INVALID – corrective action still open: use Fail, then Pass after CA","")&amp;IF(AND(TRIM(U73)="Pass after CA",OR(TRIM(AA73)="",AB73&lt;&gt;"Closed")),"INVALID – corrective action not recorded/closed","")&lt;&gt;"",IF(AND(TRIM(U73)="Pass",ISNUMBER(AF73)),IF(AF73&lt;&gt;0,"INVALID – qty variance: use Fail or Pass after CA",""),"")&amp;IF(AND(TRIM(U73)="Pass",AB73="Open"),"INVALID – corrective action still open: use Fail, then Pass after CA","")&amp;IF(AND(TRIM(U73)="Pass after CA",OR(TRIM(AA73)="",AB73&lt;&gt;"Closed")),"INVALID – corrective action not recorded/closed",""),IF(AND(AS73=1,Documents!$J$7&lt;&gt;"ON FILE"),"INVALID – GLD not on file (Documents sheet)",IF(AND(AS73=2,Documents!$O$7&lt;&gt;"ON FILE"),"INVALID – menu checklist not on file (Documents sheet)",IF(AND(AS73=3,NOT(ISNUMBER(Flights!$AX$7))),"INVALID – enter carrying flight KUL departure (Flights AX)",IF(AG73&gt;AsOfUTC,"INVALID – completion time is in the future",IF(AND(ISNUMBER(S73),AG73&lt;S73),IF(H73="Physical uplift","INVALID – before uplift window (cannot confirm loading)","INVALID – before valid window"),IF(AG73&gt;Flights!$AA$7,"INVALID – completed after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f>
        <v>OPEN</v>
      </c>
      <c r="AI73" s="61" t="n">
        <f aca="false">IF(OR(AH73="N/A – RULE",AH73="N/A – JUSTIFIED"),0,1)</f>
        <v>1</v>
      </c>
      <c r="AJ73" s="61" t="n">
        <f aca="false">IF(LEFT(AH73,8)="COMPLETE",1,0)</f>
        <v>0</v>
      </c>
      <c r="AK73" s="61" t="n">
        <f aca="false">IF(AND(AI73=1,AJ73=0,AsOfUTC&gt;Q73),1,0)</f>
        <v>0</v>
      </c>
      <c r="AL73" s="61" t="n">
        <f aca="false">IF(AND(AI73=1,OR(TRIM(U73)="Fail",AB73="Open",AND(ISNUMBER(AF73),AF73&lt;&gt;0,TRIM(U73)&lt;&gt;"Pass after CA"))),1,0)</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row>
    <row r="74" customFormat="false" ht="39.75" hidden="false" customHeight="true" outlineLevel="0" collapsed="false">
      <c r="A74" s="57" t="s">
        <v>524</v>
      </c>
      <c r="B74" s="57" t="s">
        <v>202</v>
      </c>
      <c r="C74" s="57" t="str">
        <f aca="false">Flights!$F$7</f>
        <v>MH0720</v>
      </c>
      <c r="D74" s="58" t="n">
        <f aca="false">Flights!$D$7</f>
        <v>46305</v>
      </c>
      <c r="E74" s="57" t="str">
        <f aca="false">Flights!$G$7&amp;"-"&amp;Flights!$H$7</f>
        <v>CGK-KUL</v>
      </c>
      <c r="F74" s="57" t="str">
        <f aca="false">Flights!$K$7</f>
        <v>EY</v>
      </c>
      <c r="G74" s="57" t="s">
        <v>74</v>
      </c>
      <c r="H74" s="57" t="s">
        <v>341</v>
      </c>
      <c r="I74" s="57" t="s">
        <v>361</v>
      </c>
      <c r="J74" s="57" t="s">
        <v>365</v>
      </c>
      <c r="K74" s="67" t="s">
        <v>366</v>
      </c>
      <c r="L74" s="67" t="s">
        <v>345</v>
      </c>
      <c r="M74" s="67"/>
      <c r="N74" s="67" t="s">
        <v>346</v>
      </c>
      <c r="O74" s="67"/>
      <c r="P74" s="57" t="s">
        <v>191</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IF(N74="N/A – rule","N/A – RULE",IF(TRIM(U74)="N/A",IF(AT74=0,"INVALID – N/A not permitted for this mandatory check",IF(AND(TRIM(AC74)&lt;&gt;"",TRIM(AE74)&lt;&gt;"",TRIM(T74)&lt;&gt;""),"N/A – JUSTIFIED","INVALID – N/A needs justification, PIC and verifier")),IF(OR(TRIM(U74)="Pass",TRIM(U74)="Pass after CA"),IF(NOT(ISNUMBER(AD74)),"INVALID – completion time missing",IF(TRIM(T74)="","INVALID – PIC missing",IF(TRIM(Z74)="","INVALID – evidence missing",IF(TRIM(AE74)="","INVALID – verifier missing",IF(AND(AQ74=1,TRIM(W74)=""),"INVALID – batch ID missing",IF(AND(AR74=1,OR(NOT(ISNUMBER(X74)),NOT(ISNUMBER(Y74)))),"INVALID – expected/actual qty missing",IF(IF(AND(TRIM(U74)="Pass",ISNUMBER(AF74)),IF(AF74&lt;&gt;0,"INVALID – qty variance: use Fail or Pass after CA",""),"")&amp;IF(AND(TRIM(U74)="Pass",AB74="Open"),"INVALID – corrective action still open: use Fail, then Pass after CA","")&amp;IF(AND(TRIM(U74)="Pass after CA",OR(TRIM(AA74)="",AB74&lt;&gt;"Closed")),"INVALID – corrective action not recorded/closed","")&lt;&gt;"",IF(AND(TRIM(U74)="Pass",ISNUMBER(AF74)),IF(AF74&lt;&gt;0,"INVALID – qty variance: use Fail or Pass after CA",""),"")&amp;IF(AND(TRIM(U74)="Pass",AB74="Open"),"INVALID – corrective action still open: use Fail, then Pass after CA","")&amp;IF(AND(TRIM(U74)="Pass after CA",OR(TRIM(AA74)="",AB74&lt;&gt;"Closed")),"INVALID – corrective action not recorded/closed",""),IF(AND(AS74=1,Documents!$J$7&lt;&gt;"ON FILE"),"INVALID – GLD not on file (Documents sheet)",IF(AND(AS74=2,Documents!$O$7&lt;&gt;"ON FILE"),"INVALID – menu checklist not on file (Documents sheet)",IF(AND(AS74=3,NOT(ISNUMBER(Flights!$AX$7))),"INVALID – enter carrying flight KUL departure (Flights AX)",IF(AG74&gt;AsOfUTC,"INVALID – completion time is in the future",IF(AND(ISNUMBER(S74),AG74&lt;S74),IF(H74="Physical uplift","INVALID – before uplift window (cannot confirm loading)","INVALID – before valid window"),IF(AG74&gt;Flights!$AA$7,"INVALID – completed after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f>
        <v>OPEN</v>
      </c>
      <c r="AI74" s="61" t="n">
        <f aca="false">IF(OR(AH74="N/A – RULE",AH74="N/A – JUSTIFIED"),0,1)</f>
        <v>1</v>
      </c>
      <c r="AJ74" s="61" t="n">
        <f aca="false">IF(LEFT(AH74,8)="COMPLETE",1,0)</f>
        <v>0</v>
      </c>
      <c r="AK74" s="61" t="n">
        <f aca="false">IF(AND(AI74=1,AJ74=0,AsOfUTC&gt;Q74),1,0)</f>
        <v>0</v>
      </c>
      <c r="AL74" s="61" t="n">
        <f aca="false">IF(AND(AI74=1,OR(TRIM(U74)="Fail",AB74="Open",AND(ISNUMBER(AF74),AF74&lt;&gt;0,TRIM(U74)&lt;&gt;"Pass after CA"))),1,0)</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row>
    <row r="75" customFormat="false" ht="39.75" hidden="false" customHeight="true" outlineLevel="0" collapsed="false">
      <c r="A75" s="57" t="s">
        <v>525</v>
      </c>
      <c r="B75" s="57" t="s">
        <v>202</v>
      </c>
      <c r="C75" s="57" t="str">
        <f aca="false">Flights!$F$7</f>
        <v>MH0720</v>
      </c>
      <c r="D75" s="58" t="n">
        <f aca="false">Flights!$D$7</f>
        <v>46305</v>
      </c>
      <c r="E75" s="57" t="str">
        <f aca="false">Flights!$G$7&amp;"-"&amp;Flights!$H$7</f>
        <v>CGK-KUL</v>
      </c>
      <c r="F75" s="57" t="str">
        <f aca="false">Flights!$K$7</f>
        <v>EY</v>
      </c>
      <c r="G75" s="57" t="s">
        <v>74</v>
      </c>
      <c r="H75" s="57" t="s">
        <v>341</v>
      </c>
      <c r="I75" s="57" t="s">
        <v>368</v>
      </c>
      <c r="J75" s="57" t="s">
        <v>369</v>
      </c>
      <c r="K75" s="67" t="s">
        <v>370</v>
      </c>
      <c r="L75" s="67" t="s">
        <v>345</v>
      </c>
      <c r="M75" s="67"/>
      <c r="N75" s="67" t="s">
        <v>346</v>
      </c>
      <c r="O75" s="67"/>
      <c r="P75" s="57" t="s">
        <v>191</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IF(N75="N/A – rule","N/A – RULE",IF(TRIM(U75)="N/A",IF(AT75=0,"INVALID – N/A not permitted for this mandatory check",IF(AND(TRIM(AC75)&lt;&gt;"",TRIM(AE75)&lt;&gt;"",TRIM(T75)&lt;&gt;""),"N/A – JUSTIFIED","INVALID – N/A needs justification, PIC and verifier")),IF(OR(TRIM(U75)="Pass",TRIM(U75)="Pass after CA"),IF(NOT(ISNUMBER(AD75)),"INVALID – completion time missing",IF(TRIM(T75)="","INVALID – PIC missing",IF(TRIM(Z75)="","INVALID – evidence missing",IF(TRIM(AE75)="","INVALID – verifier missing",IF(AND(AQ75=1,TRIM(W75)=""),"INVALID – batch ID missing",IF(AND(AR75=1,OR(NOT(ISNUMBER(X75)),NOT(ISNUMBER(Y75)))),"INVALID – expected/actual qty missing",IF(IF(AND(TRIM(U75)="Pass",ISNUMBER(AF75)),IF(AF75&lt;&gt;0,"INVALID – qty variance: use Fail or Pass after CA",""),"")&amp;IF(AND(TRIM(U75)="Pass",AB75="Open"),"INVALID – corrective action still open: use Fail, then Pass after CA","")&amp;IF(AND(TRIM(U75)="Pass after CA",OR(TRIM(AA75)="",AB75&lt;&gt;"Closed")),"INVALID – corrective action not recorded/closed","")&lt;&gt;"",IF(AND(TRIM(U75)="Pass",ISNUMBER(AF75)),IF(AF75&lt;&gt;0,"INVALID – qty variance: use Fail or Pass after CA",""),"")&amp;IF(AND(TRIM(U75)="Pass",AB75="Open"),"INVALID – corrective action still open: use Fail, then Pass after CA","")&amp;IF(AND(TRIM(U75)="Pass after CA",OR(TRIM(AA75)="",AB75&lt;&gt;"Closed")),"INVALID – corrective action not recorded/closed",""),IF(AND(AS75=1,Documents!$J$7&lt;&gt;"ON FILE"),"INVALID – GLD not on file (Documents sheet)",IF(AND(AS75=2,Documents!$O$7&lt;&gt;"ON FILE"),"INVALID – menu checklist not on file (Documents sheet)",IF(AND(AS75=3,NOT(ISNUMBER(Flights!$AX$7))),"INVALID – enter carrying flight KUL departure (Flights AX)",IF(AG75&gt;AsOfUTC,"INVALID – completion time is in the future",IF(AND(ISNUMBER(S75),AG75&lt;S75),IF(H75="Physical uplift","INVALID – before uplift window (cannot confirm loading)","INVALID – before valid window"),IF(AG75&gt;Flights!$AA$7,"INVALID – completed after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f>
        <v>OPEN</v>
      </c>
      <c r="AI75" s="61" t="n">
        <f aca="false">IF(OR(AH75="N/A – RULE",AH75="N/A – JUSTIFIED"),0,1)</f>
        <v>1</v>
      </c>
      <c r="AJ75" s="61" t="n">
        <f aca="false">IF(LEFT(AH75,8)="COMPLETE",1,0)</f>
        <v>0</v>
      </c>
      <c r="AK75" s="61" t="n">
        <f aca="false">IF(AND(AI75=1,AJ75=0,AsOfUTC&gt;Q75),1,0)</f>
        <v>0</v>
      </c>
      <c r="AL75" s="61" t="n">
        <f aca="false">IF(AND(AI75=1,OR(TRIM(U75)="Fail",AB75="Open",AND(ISNUMBER(AF75),AF75&lt;&gt;0,TRIM(U75)&lt;&gt;"Pass after CA"))),1,0)</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row>
    <row r="76" customFormat="false" ht="39.75" hidden="false" customHeight="true" outlineLevel="0" collapsed="false">
      <c r="A76" s="57" t="s">
        <v>526</v>
      </c>
      <c r="B76" s="57" t="s">
        <v>202</v>
      </c>
      <c r="C76" s="57" t="str">
        <f aca="false">Flights!$F$7</f>
        <v>MH0720</v>
      </c>
      <c r="D76" s="58" t="n">
        <f aca="false">Flights!$D$7</f>
        <v>46305</v>
      </c>
      <c r="E76" s="57" t="str">
        <f aca="false">Flights!$G$7&amp;"-"&amp;Flights!$H$7</f>
        <v>CGK-KUL</v>
      </c>
      <c r="F76" s="57" t="str">
        <f aca="false">Flights!$K$7</f>
        <v>EY</v>
      </c>
      <c r="G76" s="57" t="s">
        <v>74</v>
      </c>
      <c r="H76" s="57" t="s">
        <v>341</v>
      </c>
      <c r="I76" s="57" t="s">
        <v>368</v>
      </c>
      <c r="J76" s="57" t="s">
        <v>372</v>
      </c>
      <c r="K76" s="67" t="s">
        <v>370</v>
      </c>
      <c r="L76" s="67" t="s">
        <v>345</v>
      </c>
      <c r="M76" s="67"/>
      <c r="N76" s="67" t="s">
        <v>346</v>
      </c>
      <c r="O76" s="67"/>
      <c r="P76" s="57" t="s">
        <v>191</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IF(N76="N/A – rule","N/A – RULE",IF(TRIM(U76)="N/A",IF(AT76=0,"INVALID – N/A not permitted for this mandatory check",IF(AND(TRIM(AC76)&lt;&gt;"",TRIM(AE76)&lt;&gt;"",TRIM(T76)&lt;&gt;""),"N/A – JUSTIFIED","INVALID – N/A needs justification, PIC and verifier")),IF(OR(TRIM(U76)="Pass",TRIM(U76)="Pass after CA"),IF(NOT(ISNUMBER(AD76)),"INVALID – completion time missing",IF(TRIM(T76)="","INVALID – PIC missing",IF(TRIM(Z76)="","INVALID – evidence missing",IF(TRIM(AE76)="","INVALID – verifier missing",IF(AND(AQ76=1,TRIM(W76)=""),"INVALID – batch ID missing",IF(AND(AR76=1,OR(NOT(ISNUMBER(X76)),NOT(ISNUMBER(Y76)))),"INVALID – expected/actual qty missing",IF(IF(AND(TRIM(U76)="Pass",ISNUMBER(AF76)),IF(AF76&lt;&gt;0,"INVALID – qty variance: use Fail or Pass after CA",""),"")&amp;IF(AND(TRIM(U76)="Pass",AB76="Open"),"INVALID – corrective action still open: use Fail, then Pass after CA","")&amp;IF(AND(TRIM(U76)="Pass after CA",OR(TRIM(AA76)="",AB76&lt;&gt;"Closed")),"INVALID – corrective action not recorded/closed","")&lt;&gt;"",IF(AND(TRIM(U76)="Pass",ISNUMBER(AF76)),IF(AF76&lt;&gt;0,"INVALID – qty variance: use Fail or Pass after CA",""),"")&amp;IF(AND(TRIM(U76)="Pass",AB76="Open"),"INVALID – corrective action still open: use Fail, then Pass after CA","")&amp;IF(AND(TRIM(U76)="Pass after CA",OR(TRIM(AA76)="",AB76&lt;&gt;"Closed")),"INVALID – corrective action not recorded/closed",""),IF(AND(AS76=1,Documents!$J$7&lt;&gt;"ON FILE"),"INVALID – GLD not on file (Documents sheet)",IF(AND(AS76=2,Documents!$O$7&lt;&gt;"ON FILE"),"INVALID – menu checklist not on file (Documents sheet)",IF(AND(AS76=3,NOT(ISNUMBER(Flights!$AX$7))),"INVALID – enter carrying flight KUL departure (Flights AX)",IF(AG76&gt;AsOfUTC,"INVALID – completion time is in the future",IF(AND(ISNUMBER(S76),AG76&lt;S76),IF(H76="Physical uplift","INVALID – before uplift window (cannot confirm loading)","INVALID – before valid window"),IF(AG76&gt;Flights!$AA$7,"INVALID – completed after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f>
        <v>OPEN</v>
      </c>
      <c r="AI76" s="61" t="n">
        <f aca="false">IF(OR(AH76="N/A – RULE",AH76="N/A – JUSTIFIED"),0,1)</f>
        <v>1</v>
      </c>
      <c r="AJ76" s="61" t="n">
        <f aca="false">IF(LEFT(AH76,8)="COMPLETE",1,0)</f>
        <v>0</v>
      </c>
      <c r="AK76" s="61" t="n">
        <f aca="false">IF(AND(AI76=1,AJ76=0,AsOfUTC&gt;Q76),1,0)</f>
        <v>0</v>
      </c>
      <c r="AL76" s="61" t="n">
        <f aca="false">IF(AND(AI76=1,OR(TRIM(U76)="Fail",AB76="Open",AND(ISNUMBER(AF76),AF76&lt;&gt;0,TRIM(U76)&lt;&gt;"Pass after CA"))),1,0)</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row>
    <row r="77" customFormat="false" ht="39.75" hidden="false" customHeight="true" outlineLevel="0" collapsed="false">
      <c r="A77" s="57" t="s">
        <v>527</v>
      </c>
      <c r="B77" s="57" t="s">
        <v>202</v>
      </c>
      <c r="C77" s="57" t="str">
        <f aca="false">Flights!$F$7</f>
        <v>MH0720</v>
      </c>
      <c r="D77" s="58" t="n">
        <f aca="false">Flights!$D$7</f>
        <v>46305</v>
      </c>
      <c r="E77" s="57" t="str">
        <f aca="false">Flights!$G$7&amp;"-"&amp;Flights!$H$7</f>
        <v>CGK-KUL</v>
      </c>
      <c r="F77" s="57" t="str">
        <f aca="false">Flights!$K$7</f>
        <v>EY</v>
      </c>
      <c r="G77" s="57" t="s">
        <v>74</v>
      </c>
      <c r="H77" s="57" t="s">
        <v>341</v>
      </c>
      <c r="I77" s="57" t="s">
        <v>374</v>
      </c>
      <c r="J77" s="57" t="s">
        <v>375</v>
      </c>
      <c r="K77" s="67" t="s">
        <v>528</v>
      </c>
      <c r="L77" s="67" t="s">
        <v>446</v>
      </c>
      <c r="M77" s="67"/>
      <c r="N77" s="67" t="s">
        <v>346</v>
      </c>
      <c r="O77" s="67"/>
      <c r="P77" s="57" t="s">
        <v>191</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IF(N77="N/A – rule","N/A – RULE",IF(TRIM(U77)="N/A",IF(AT77=0,"INVALID – N/A not permitted for this mandatory check",IF(AND(TRIM(AC77)&lt;&gt;"",TRIM(AE77)&lt;&gt;"",TRIM(T77)&lt;&gt;""),"N/A – JUSTIFIED","INVALID – N/A needs justification, PIC and verifier")),IF(OR(TRIM(U77)="Pass",TRIM(U77)="Pass after CA"),IF(NOT(ISNUMBER(AD77)),"INVALID – completion time missing",IF(TRIM(T77)="","INVALID – PIC missing",IF(TRIM(Z77)="","INVALID – evidence missing",IF(TRIM(AE77)="","INVALID – verifier missing",IF(AND(AQ77=1,TRIM(W77)=""),"INVALID – batch ID missing",IF(AND(AR77=1,OR(NOT(ISNUMBER(X77)),NOT(ISNUMBER(Y77)))),"INVALID – expected/actual qty missing",IF(IF(AND(TRIM(U77)="Pass",ISNUMBER(AF77)),IF(AF77&lt;&gt;0,"INVALID – qty variance: use Fail or Pass after CA",""),"")&amp;IF(AND(TRIM(U77)="Pass",AB77="Open"),"INVALID – corrective action still open: use Fail, then Pass after CA","")&amp;IF(AND(TRIM(U77)="Pass after CA",OR(TRIM(AA77)="",AB77&lt;&gt;"Closed")),"INVALID – corrective action not recorded/closed","")&lt;&gt;"",IF(AND(TRIM(U77)="Pass",ISNUMBER(AF77)),IF(AF77&lt;&gt;0,"INVALID – qty variance: use Fail or Pass after CA",""),"")&amp;IF(AND(TRIM(U77)="Pass",AB77="Open"),"INVALID – corrective action still open: use Fail, then Pass after CA","")&amp;IF(AND(TRIM(U77)="Pass after CA",OR(TRIM(AA77)="",AB77&lt;&gt;"Closed")),"INVALID – corrective action not recorded/closed",""),IF(AND(AS77=1,Documents!$J$7&lt;&gt;"ON FILE"),"INVALID – GLD not on file (Documents sheet)",IF(AND(AS77=2,Documents!$O$7&lt;&gt;"ON FILE"),"INVALID – menu checklist not on file (Documents sheet)",IF(AND(AS77=3,NOT(ISNUMBER(Flights!$AX$7))),"INVALID – enter carrying flight KUL departure (Flights AX)",IF(AG77&gt;AsOfUTC,"INVALID – completion time is in the future",IF(AND(ISNUMBER(S77),AG77&lt;S77),IF(H77="Physical uplift","INVALID – before uplift window (cannot confirm loading)","INVALID – before valid window"),IF(AG77&gt;Flights!$AA$7,"INVALID – completed after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f>
        <v>OPEN</v>
      </c>
      <c r="AI77" s="61" t="n">
        <f aca="false">IF(OR(AH77="N/A – RULE",AH77="N/A – JUSTIFIED"),0,1)</f>
        <v>1</v>
      </c>
      <c r="AJ77" s="61" t="n">
        <f aca="false">IF(LEFT(AH77,8)="COMPLETE",1,0)</f>
        <v>0</v>
      </c>
      <c r="AK77" s="61" t="n">
        <f aca="false">IF(AND(AI77=1,AJ77=0,AsOfUTC&gt;Q77),1,0)</f>
        <v>0</v>
      </c>
      <c r="AL77" s="61" t="n">
        <f aca="false">IF(AND(AI77=1,OR(TRIM(U77)="Fail",AB77="Open",AND(ISNUMBER(AF77),AF77&lt;&gt;0,TRIM(U77)&lt;&gt;"Pass after CA"))),1,0)</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row>
    <row r="78" customFormat="false" ht="39.75" hidden="false" customHeight="true" outlineLevel="0" collapsed="false">
      <c r="A78" s="57" t="s">
        <v>529</v>
      </c>
      <c r="B78" s="57" t="s">
        <v>202</v>
      </c>
      <c r="C78" s="57" t="str">
        <f aca="false">Flights!$F$7</f>
        <v>MH0720</v>
      </c>
      <c r="D78" s="58" t="n">
        <f aca="false">Flights!$D$7</f>
        <v>46305</v>
      </c>
      <c r="E78" s="57" t="str">
        <f aca="false">Flights!$G$7&amp;"-"&amp;Flights!$H$7</f>
        <v>CGK-KUL</v>
      </c>
      <c r="F78" s="57" t="str">
        <f aca="false">Flights!$K$7</f>
        <v>EY</v>
      </c>
      <c r="G78" s="57" t="s">
        <v>76</v>
      </c>
      <c r="H78" s="57" t="s">
        <v>341</v>
      </c>
      <c r="I78" s="57" t="s">
        <v>342</v>
      </c>
      <c r="J78" s="57" t="s">
        <v>379</v>
      </c>
      <c r="K78" s="67" t="s">
        <v>380</v>
      </c>
      <c r="L78" s="67" t="s">
        <v>381</v>
      </c>
      <c r="M78" s="67"/>
      <c r="N78" s="67" t="s">
        <v>346</v>
      </c>
      <c r="O78" s="67"/>
      <c r="P78" s="57" t="s">
        <v>191</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IF(N78="N/A – rule","N/A – RULE",IF(TRIM(U78)="N/A",IF(AT78=0,"INVALID – N/A not permitted for this mandatory check",IF(AND(TRIM(AC78)&lt;&gt;"",TRIM(AE78)&lt;&gt;"",TRIM(T78)&lt;&gt;""),"N/A – JUSTIFIED","INVALID – N/A needs justification, PIC and verifier")),IF(OR(TRIM(U78)="Pass",TRIM(U78)="Pass after CA"),IF(NOT(ISNUMBER(AD78)),"INVALID – completion time missing",IF(TRIM(T78)="","INVALID – PIC missing",IF(TRIM(Z78)="","INVALID – evidence missing",IF(TRIM(AE78)="","INVALID – verifier missing",IF(AND(AQ78=1,TRIM(W78)=""),"INVALID – batch ID missing",IF(AND(AR78=1,OR(NOT(ISNUMBER(X78)),NOT(ISNUMBER(Y78)))),"INVALID – expected/actual qty missing",IF(IF(AND(TRIM(U78)="Pass",ISNUMBER(AF78)),IF(AF78&lt;&gt;0,"INVALID – qty variance: use Fail or Pass after CA",""),"")&amp;IF(AND(TRIM(U78)="Pass",AB78="Open"),"INVALID – corrective action still open: use Fail, then Pass after CA","")&amp;IF(AND(TRIM(U78)="Pass after CA",OR(TRIM(AA78)="",AB78&lt;&gt;"Closed")),"INVALID – corrective action not recorded/closed","")&lt;&gt;"",IF(AND(TRIM(U78)="Pass",ISNUMBER(AF78)),IF(AF78&lt;&gt;0,"INVALID – qty variance: use Fail or Pass after CA",""),"")&amp;IF(AND(TRIM(U78)="Pass",AB78="Open"),"INVALID – corrective action still open: use Fail, then Pass after CA","")&amp;IF(AND(TRIM(U78)="Pass after CA",OR(TRIM(AA78)="",AB78&lt;&gt;"Closed")),"INVALID – corrective action not recorded/closed",""),IF(AND(AS78=1,Documents!$J$7&lt;&gt;"ON FILE"),"INVALID – GLD not on file (Documents sheet)",IF(AND(AS78=2,Documents!$O$7&lt;&gt;"ON FILE"),"INVALID – menu checklist not on file (Documents sheet)",IF(AND(AS78=3,NOT(ISNUMBER(Flights!$AX$7))),"INVALID – enter carrying flight KUL departure (Flights AX)",IF(AG78&gt;AsOfUTC,"INVALID – completion time is in the future",IF(AND(ISNUMBER(S78),AG78&lt;S78),IF(H78="Physical uplift","INVALID – before uplift window (cannot confirm loading)","INVALID – before valid window"),IF(AG78&gt;Flights!$AA$7,"INVALID – completed after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f>
        <v>OPEN</v>
      </c>
      <c r="AI78" s="61" t="n">
        <f aca="false">IF(OR(AH78="N/A – RULE",AH78="N/A – JUSTIFIED"),0,1)</f>
        <v>1</v>
      </c>
      <c r="AJ78" s="61" t="n">
        <f aca="false">IF(LEFT(AH78,8)="COMPLETE",1,0)</f>
        <v>0</v>
      </c>
      <c r="AK78" s="61" t="n">
        <f aca="false">IF(AND(AI78=1,AJ78=0,AsOfUTC&gt;Q78),1,0)</f>
        <v>0</v>
      </c>
      <c r="AL78" s="61" t="n">
        <f aca="false">IF(AND(AI78=1,OR(TRIM(U78)="Fail",AB78="Open",AND(ISNUMBER(AF78),AF78&lt;&gt;0,TRIM(U78)&lt;&gt;"Pass after CA"))),1,0)</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row>
    <row r="79" customFormat="false" ht="39.75" hidden="false" customHeight="true" outlineLevel="0" collapsed="false">
      <c r="A79" s="57" t="s">
        <v>530</v>
      </c>
      <c r="B79" s="57" t="s">
        <v>202</v>
      </c>
      <c r="C79" s="57" t="str">
        <f aca="false">Flights!$F$7</f>
        <v>MH0720</v>
      </c>
      <c r="D79" s="58" t="n">
        <f aca="false">Flights!$D$7</f>
        <v>46305</v>
      </c>
      <c r="E79" s="57" t="str">
        <f aca="false">Flights!$G$7&amp;"-"&amp;Flights!$H$7</f>
        <v>CGK-KUL</v>
      </c>
      <c r="F79" s="57" t="str">
        <f aca="false">Flights!$K$7</f>
        <v>EY</v>
      </c>
      <c r="G79" s="57" t="s">
        <v>383</v>
      </c>
      <c r="H79" s="57" t="s">
        <v>341</v>
      </c>
      <c r="I79" s="57" t="s">
        <v>342</v>
      </c>
      <c r="J79" s="57" t="s">
        <v>384</v>
      </c>
      <c r="K79" s="67"/>
      <c r="L79" s="67" t="s">
        <v>385</v>
      </c>
      <c r="M79" s="67"/>
      <c r="N79" s="67" t="s">
        <v>346</v>
      </c>
      <c r="O79" s="67" t="s">
        <v>386</v>
      </c>
      <c r="P79" s="57" t="s">
        <v>191</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IF(N79="N/A – rule","N/A – RULE",IF(TRIM(U79)="N/A",IF(AT79=0,"INVALID – N/A not permitted for this mandatory check",IF(AND(TRIM(AC79)&lt;&gt;"",TRIM(AE79)&lt;&gt;"",TRIM(T79)&lt;&gt;""),"N/A – JUSTIFIED","INVALID – N/A needs justification, PIC and verifier")),IF(OR(TRIM(U79)="Pass",TRIM(U79)="Pass after CA"),IF(NOT(ISNUMBER(AD79)),"INVALID – completion time missing",IF(TRIM(T79)="","INVALID – PIC missing",IF(TRIM(Z79)="","INVALID – evidence missing",IF(TRIM(AE79)="","INVALID – verifier missing",IF(AND(AQ79=1,TRIM(W79)=""),"INVALID – batch ID missing",IF(AND(AR79=1,OR(NOT(ISNUMBER(X79)),NOT(ISNUMBER(Y79)))),"INVALID – expected/actual qty missing",IF(IF(AND(TRIM(U79)="Pass",ISNUMBER(AF79)),IF(AF79&lt;&gt;0,"INVALID – qty variance: use Fail or Pass after CA",""),"")&amp;IF(AND(TRIM(U79)="Pass",AB79="Open"),"INVALID – corrective action still open: use Fail, then Pass after CA","")&amp;IF(AND(TRIM(U79)="Pass after CA",OR(TRIM(AA79)="",AB79&lt;&gt;"Closed")),"INVALID – corrective action not recorded/closed","")&lt;&gt;"",IF(AND(TRIM(U79)="Pass",ISNUMBER(AF79)),IF(AF79&lt;&gt;0,"INVALID – qty variance: use Fail or Pass after CA",""),"")&amp;IF(AND(TRIM(U79)="Pass",AB79="Open"),"INVALID – corrective action still open: use Fail, then Pass after CA","")&amp;IF(AND(TRIM(U79)="Pass after CA",OR(TRIM(AA79)="",AB79&lt;&gt;"Closed")),"INVALID – corrective action not recorded/closed",""),IF(AND(AS79=1,Documents!$J$7&lt;&gt;"ON FILE"),"INVALID – GLD not on file (Documents sheet)",IF(AND(AS79=2,Documents!$O$7&lt;&gt;"ON FILE"),"INVALID – menu checklist not on file (Documents sheet)",IF(AND(AS79=3,NOT(ISNUMBER(Flights!$AX$7))),"INVALID – enter carrying flight KUL departure (Flights AX)",IF(AG79&gt;AsOfUTC,"INVALID – completion time is in the future",IF(AND(ISNUMBER(S79),AG79&lt;S79),IF(H79="Physical uplift","INVALID – before uplift window (cannot confirm loading)","INVALID – before valid window"),IF(AG79&gt;Flights!$AA$7,"INVALID – completed after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f>
        <v>OPEN</v>
      </c>
      <c r="AI79" s="61" t="n">
        <f aca="false">IF(OR(AH79="N/A – RULE",AH79="N/A – JUSTIFIED"),0,1)</f>
        <v>1</v>
      </c>
      <c r="AJ79" s="61" t="n">
        <f aca="false">IF(LEFT(AH79,8)="COMPLETE",1,0)</f>
        <v>0</v>
      </c>
      <c r="AK79" s="61" t="n">
        <f aca="false">IF(AND(AI79=1,AJ79=0,AsOfUTC&gt;Q79),1,0)</f>
        <v>0</v>
      </c>
      <c r="AL79" s="61" t="n">
        <f aca="false">IF(AND(AI79=1,OR(TRIM(U79)="Fail",AB79="Open",AND(ISNUMBER(AF79),AF79&lt;&gt;0,TRIM(U79)&lt;&gt;"Pass after CA"))),1,0)</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row>
    <row r="80" customFormat="false" ht="39.75" hidden="false" customHeight="true" outlineLevel="0" collapsed="false">
      <c r="A80" s="57" t="s">
        <v>531</v>
      </c>
      <c r="B80" s="57" t="s">
        <v>202</v>
      </c>
      <c r="C80" s="57" t="str">
        <f aca="false">Flights!$F$7</f>
        <v>MH0720</v>
      </c>
      <c r="D80" s="58" t="n">
        <f aca="false">Flights!$D$7</f>
        <v>46305</v>
      </c>
      <c r="E80" s="57" t="str">
        <f aca="false">Flights!$G$7&amp;"-"&amp;Flights!$H$7</f>
        <v>CGK-KUL</v>
      </c>
      <c r="F80" s="57" t="str">
        <f aca="false">Flights!$K$7</f>
        <v>EY</v>
      </c>
      <c r="G80" s="57" t="s">
        <v>383</v>
      </c>
      <c r="H80" s="57" t="s">
        <v>341</v>
      </c>
      <c r="I80" s="57" t="s">
        <v>342</v>
      </c>
      <c r="J80" s="57" t="s">
        <v>388</v>
      </c>
      <c r="K80" s="67" t="s">
        <v>389</v>
      </c>
      <c r="L80" s="67" t="s">
        <v>385</v>
      </c>
      <c r="M80" s="67"/>
      <c r="N80" s="67" t="s">
        <v>346</v>
      </c>
      <c r="O80" s="67" t="s">
        <v>386</v>
      </c>
      <c r="P80" s="57" t="s">
        <v>191</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IF(N80="N/A – rule","N/A – RULE",IF(TRIM(U80)="N/A",IF(AT80=0,"INVALID – N/A not permitted for this mandatory check",IF(AND(TRIM(AC80)&lt;&gt;"",TRIM(AE80)&lt;&gt;"",TRIM(T80)&lt;&gt;""),"N/A – JUSTIFIED","INVALID – N/A needs justification, PIC and verifier")),IF(OR(TRIM(U80)="Pass",TRIM(U80)="Pass after CA"),IF(NOT(ISNUMBER(AD80)),"INVALID – completion time missing",IF(TRIM(T80)="","INVALID – PIC missing",IF(TRIM(Z80)="","INVALID – evidence missing",IF(TRIM(AE80)="","INVALID – verifier missing",IF(AND(AQ80=1,TRIM(W80)=""),"INVALID – batch ID missing",IF(AND(AR80=1,OR(NOT(ISNUMBER(X80)),NOT(ISNUMBER(Y80)))),"INVALID – expected/actual qty missing",IF(IF(AND(TRIM(U80)="Pass",ISNUMBER(AF80)),IF(AF80&lt;&gt;0,"INVALID – qty variance: use Fail or Pass after CA",""),"")&amp;IF(AND(TRIM(U80)="Pass",AB80="Open"),"INVALID – corrective action still open: use Fail, then Pass after CA","")&amp;IF(AND(TRIM(U80)="Pass after CA",OR(TRIM(AA80)="",AB80&lt;&gt;"Closed")),"INVALID – corrective action not recorded/closed","")&lt;&gt;"",IF(AND(TRIM(U80)="Pass",ISNUMBER(AF80)),IF(AF80&lt;&gt;0,"INVALID – qty variance: use Fail or Pass after CA",""),"")&amp;IF(AND(TRIM(U80)="Pass",AB80="Open"),"INVALID – corrective action still open: use Fail, then Pass after CA","")&amp;IF(AND(TRIM(U80)="Pass after CA",OR(TRIM(AA80)="",AB80&lt;&gt;"Closed")),"INVALID – corrective action not recorded/closed",""),IF(AND(AS80=1,Documents!$J$7&lt;&gt;"ON FILE"),"INVALID – GLD not on file (Documents sheet)",IF(AND(AS80=2,Documents!$O$7&lt;&gt;"ON FILE"),"INVALID – menu checklist not on file (Documents sheet)",IF(AND(AS80=3,NOT(ISNUMBER(Flights!$AX$7))),"INVALID – enter carrying flight KUL departure (Flights AX)",IF(AG80&gt;AsOfUTC,"INVALID – completion time is in the future",IF(AND(ISNUMBER(S80),AG80&lt;S80),IF(H80="Physical uplift","INVALID – before uplift window (cannot confirm loading)","INVALID – before valid window"),IF(AG80&gt;Flights!$AA$7,"INVALID – completed after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f>
        <v>OPEN</v>
      </c>
      <c r="AI80" s="61" t="n">
        <f aca="false">IF(OR(AH80="N/A – RULE",AH80="N/A – JUSTIFIED"),0,1)</f>
        <v>1</v>
      </c>
      <c r="AJ80" s="61" t="n">
        <f aca="false">IF(LEFT(AH80,8)="COMPLETE",1,0)</f>
        <v>0</v>
      </c>
      <c r="AK80" s="61" t="n">
        <f aca="false">IF(AND(AI80=1,AJ80=0,AsOfUTC&gt;Q80),1,0)</f>
        <v>0</v>
      </c>
      <c r="AL80" s="61" t="n">
        <f aca="false">IF(AND(AI80=1,OR(TRIM(U80)="Fail",AB80="Open",AND(ISNUMBER(AF80),AF80&lt;&gt;0,TRIM(U80)&lt;&gt;"Pass after CA"))),1,0)</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row>
    <row r="81" customFormat="false" ht="39.75" hidden="false" customHeight="true" outlineLevel="0" collapsed="false">
      <c r="A81" s="57" t="s">
        <v>532</v>
      </c>
      <c r="B81" s="57" t="s">
        <v>202</v>
      </c>
      <c r="C81" s="57" t="str">
        <f aca="false">Flights!$F$7</f>
        <v>MH0720</v>
      </c>
      <c r="D81" s="58" t="n">
        <f aca="false">Flights!$D$7</f>
        <v>46305</v>
      </c>
      <c r="E81" s="57" t="str">
        <f aca="false">Flights!$G$7&amp;"-"&amp;Flights!$H$7</f>
        <v>CGK-KUL</v>
      </c>
      <c r="F81" s="57" t="str">
        <f aca="false">Flights!$K$7</f>
        <v>EY</v>
      </c>
      <c r="G81" s="57" t="s">
        <v>383</v>
      </c>
      <c r="H81" s="57" t="s">
        <v>341</v>
      </c>
      <c r="I81" s="57" t="s">
        <v>391</v>
      </c>
      <c r="J81" s="57" t="s">
        <v>392</v>
      </c>
      <c r="K81" s="67"/>
      <c r="L81" s="67" t="s">
        <v>385</v>
      </c>
      <c r="M81" s="67"/>
      <c r="N81" s="67" t="s">
        <v>346</v>
      </c>
      <c r="O81" s="67" t="s">
        <v>386</v>
      </c>
      <c r="P81" s="57" t="s">
        <v>191</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IF(N81="N/A – rule","N/A – RULE",IF(TRIM(U81)="N/A",IF(AT81=0,"INVALID – N/A not permitted for this mandatory check",IF(AND(TRIM(AC81)&lt;&gt;"",TRIM(AE81)&lt;&gt;"",TRIM(T81)&lt;&gt;""),"N/A – JUSTIFIED","INVALID – N/A needs justification, PIC and verifier")),IF(OR(TRIM(U81)="Pass",TRIM(U81)="Pass after CA"),IF(NOT(ISNUMBER(AD81)),"INVALID – completion time missing",IF(TRIM(T81)="","INVALID – PIC missing",IF(TRIM(Z81)="","INVALID – evidence missing",IF(TRIM(AE81)="","INVALID – verifier missing",IF(AND(AQ81=1,TRIM(W81)=""),"INVALID – batch ID missing",IF(AND(AR81=1,OR(NOT(ISNUMBER(X81)),NOT(ISNUMBER(Y81)))),"INVALID – expected/actual qty missing",IF(IF(AND(TRIM(U81)="Pass",ISNUMBER(AF81)),IF(AF81&lt;&gt;0,"INVALID – qty variance: use Fail or Pass after CA",""),"")&amp;IF(AND(TRIM(U81)="Pass",AB81="Open"),"INVALID – corrective action still open: use Fail, then Pass after CA","")&amp;IF(AND(TRIM(U81)="Pass after CA",OR(TRIM(AA81)="",AB81&lt;&gt;"Closed")),"INVALID – corrective action not recorded/closed","")&lt;&gt;"",IF(AND(TRIM(U81)="Pass",ISNUMBER(AF81)),IF(AF81&lt;&gt;0,"INVALID – qty variance: use Fail or Pass after CA",""),"")&amp;IF(AND(TRIM(U81)="Pass",AB81="Open"),"INVALID – corrective action still open: use Fail, then Pass after CA","")&amp;IF(AND(TRIM(U81)="Pass after CA",OR(TRIM(AA81)="",AB81&lt;&gt;"Closed")),"INVALID – corrective action not recorded/closed",""),IF(AND(AS81=1,Documents!$J$7&lt;&gt;"ON FILE"),"INVALID – GLD not on file (Documents sheet)",IF(AND(AS81=2,Documents!$O$7&lt;&gt;"ON FILE"),"INVALID – menu checklist not on file (Documents sheet)",IF(AND(AS81=3,NOT(ISNUMBER(Flights!$AX$7))),"INVALID – enter carrying flight KUL departure (Flights AX)",IF(AG81&gt;AsOfUTC,"INVALID – completion time is in the future",IF(AND(ISNUMBER(S81),AG81&lt;S81),IF(H81="Physical uplift","INVALID – before uplift window (cannot confirm loading)","INVALID – before valid window"),IF(AG81&gt;Flights!$AA$7,"INVALID – completed after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f>
        <v>OPEN</v>
      </c>
      <c r="AI81" s="61" t="n">
        <f aca="false">IF(OR(AH81="N/A – RULE",AH81="N/A – JUSTIFIED"),0,1)</f>
        <v>1</v>
      </c>
      <c r="AJ81" s="61" t="n">
        <f aca="false">IF(LEFT(AH81,8)="COMPLETE",1,0)</f>
        <v>0</v>
      </c>
      <c r="AK81" s="61" t="n">
        <f aca="false">IF(AND(AI81=1,AJ81=0,AsOfUTC&gt;Q81),1,0)</f>
        <v>0</v>
      </c>
      <c r="AL81" s="61" t="n">
        <f aca="false">IF(AND(AI81=1,OR(TRIM(U81)="Fail",AB81="Open",AND(ISNUMBER(AF81),AF81&lt;&gt;0,TRIM(U81)&lt;&gt;"Pass after CA"))),1,0)</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row>
    <row r="82" customFormat="false" ht="39.75" hidden="false" customHeight="true" outlineLevel="0" collapsed="false">
      <c r="A82" s="57" t="s">
        <v>533</v>
      </c>
      <c r="B82" s="57" t="s">
        <v>202</v>
      </c>
      <c r="C82" s="57" t="str">
        <f aca="false">Flights!$F$7</f>
        <v>MH0720</v>
      </c>
      <c r="D82" s="58" t="n">
        <f aca="false">Flights!$D$7</f>
        <v>46305</v>
      </c>
      <c r="E82" s="57" t="str">
        <f aca="false">Flights!$G$7&amp;"-"&amp;Flights!$H$7</f>
        <v>CGK-KUL</v>
      </c>
      <c r="F82" s="57" t="str">
        <f aca="false">Flights!$K$7</f>
        <v>EY</v>
      </c>
      <c r="G82" s="57" t="s">
        <v>383</v>
      </c>
      <c r="H82" s="57" t="s">
        <v>341</v>
      </c>
      <c r="I82" s="57" t="s">
        <v>391</v>
      </c>
      <c r="J82" s="57" t="s">
        <v>394</v>
      </c>
      <c r="K82" s="67"/>
      <c r="L82" s="67" t="s">
        <v>385</v>
      </c>
      <c r="M82" s="67"/>
      <c r="N82" s="67" t="s">
        <v>346</v>
      </c>
      <c r="O82" s="67" t="s">
        <v>386</v>
      </c>
      <c r="P82" s="57" t="s">
        <v>191</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IF(N82="N/A – rule","N/A – RULE",IF(TRIM(U82)="N/A",IF(AT82=0,"INVALID – N/A not permitted for this mandatory check",IF(AND(TRIM(AC82)&lt;&gt;"",TRIM(AE82)&lt;&gt;"",TRIM(T82)&lt;&gt;""),"N/A – JUSTIFIED","INVALID – N/A needs justification, PIC and verifier")),IF(OR(TRIM(U82)="Pass",TRIM(U82)="Pass after CA"),IF(NOT(ISNUMBER(AD82)),"INVALID – completion time missing",IF(TRIM(T82)="","INVALID – PIC missing",IF(TRIM(Z82)="","INVALID – evidence missing",IF(TRIM(AE82)="","INVALID – verifier missing",IF(AND(AQ82=1,TRIM(W82)=""),"INVALID – batch ID missing",IF(AND(AR82=1,OR(NOT(ISNUMBER(X82)),NOT(ISNUMBER(Y82)))),"INVALID – expected/actual qty missing",IF(IF(AND(TRIM(U82)="Pass",ISNUMBER(AF82)),IF(AF82&lt;&gt;0,"INVALID – qty variance: use Fail or Pass after CA",""),"")&amp;IF(AND(TRIM(U82)="Pass",AB82="Open"),"INVALID – corrective action still open: use Fail, then Pass after CA","")&amp;IF(AND(TRIM(U82)="Pass after CA",OR(TRIM(AA82)="",AB82&lt;&gt;"Closed")),"INVALID – corrective action not recorded/closed","")&lt;&gt;"",IF(AND(TRIM(U82)="Pass",ISNUMBER(AF82)),IF(AF82&lt;&gt;0,"INVALID – qty variance: use Fail or Pass after CA",""),"")&amp;IF(AND(TRIM(U82)="Pass",AB82="Open"),"INVALID – corrective action still open: use Fail, then Pass after CA","")&amp;IF(AND(TRIM(U82)="Pass after CA",OR(TRIM(AA82)="",AB82&lt;&gt;"Closed")),"INVALID – corrective action not recorded/closed",""),IF(AND(AS82=1,Documents!$J$7&lt;&gt;"ON FILE"),"INVALID – GLD not on file (Documents sheet)",IF(AND(AS82=2,Documents!$O$7&lt;&gt;"ON FILE"),"INVALID – menu checklist not on file (Documents sheet)",IF(AND(AS82=3,NOT(ISNUMBER(Flights!$AX$7))),"INVALID – enter carrying flight KUL departure (Flights AX)",IF(AG82&gt;AsOfUTC,"INVALID – completion time is in the future",IF(AND(ISNUMBER(S82),AG82&lt;S82),IF(H82="Physical uplift","INVALID – before uplift window (cannot confirm loading)","INVALID – before valid window"),IF(AG82&gt;Flights!$AA$7,"INVALID – completed after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f>
        <v>OPEN</v>
      </c>
      <c r="AI82" s="61" t="n">
        <f aca="false">IF(OR(AH82="N/A – RULE",AH82="N/A – JUSTIFIED"),0,1)</f>
        <v>1</v>
      </c>
      <c r="AJ82" s="61" t="n">
        <f aca="false">IF(LEFT(AH82,8)="COMPLETE",1,0)</f>
        <v>0</v>
      </c>
      <c r="AK82" s="61" t="n">
        <f aca="false">IF(AND(AI82=1,AJ82=0,AsOfUTC&gt;Q82),1,0)</f>
        <v>0</v>
      </c>
      <c r="AL82" s="61" t="n">
        <f aca="false">IF(AND(AI82=1,OR(TRIM(U82)="Fail",AB82="Open",AND(ISNUMBER(AF82),AF82&lt;&gt;0,TRIM(U82)&lt;&gt;"Pass after CA"))),1,0)</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row>
    <row r="83" customFormat="false" ht="39.75" hidden="false" customHeight="true" outlineLevel="0" collapsed="false">
      <c r="A83" s="57" t="s">
        <v>534</v>
      </c>
      <c r="B83" s="57" t="s">
        <v>202</v>
      </c>
      <c r="C83" s="57" t="str">
        <f aca="false">Flights!$F$7</f>
        <v>MH0720</v>
      </c>
      <c r="D83" s="58" t="n">
        <f aca="false">Flights!$D$7</f>
        <v>46305</v>
      </c>
      <c r="E83" s="57" t="str">
        <f aca="false">Flights!$G$7&amp;"-"&amp;Flights!$H$7</f>
        <v>CGK-KUL</v>
      </c>
      <c r="F83" s="57" t="str">
        <f aca="false">Flights!$K$7</f>
        <v>EY</v>
      </c>
      <c r="G83" s="57" t="s">
        <v>383</v>
      </c>
      <c r="H83" s="57" t="s">
        <v>341</v>
      </c>
      <c r="I83" s="57" t="s">
        <v>391</v>
      </c>
      <c r="J83" s="57" t="s">
        <v>396</v>
      </c>
      <c r="K83" s="67"/>
      <c r="L83" s="67" t="s">
        <v>385</v>
      </c>
      <c r="M83" s="67"/>
      <c r="N83" s="67" t="s">
        <v>346</v>
      </c>
      <c r="O83" s="67" t="s">
        <v>386</v>
      </c>
      <c r="P83" s="57" t="s">
        <v>191</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IF(N83="N/A – rule","N/A – RULE",IF(TRIM(U83)="N/A",IF(AT83=0,"INVALID – N/A not permitted for this mandatory check",IF(AND(TRIM(AC83)&lt;&gt;"",TRIM(AE83)&lt;&gt;"",TRIM(T83)&lt;&gt;""),"N/A – JUSTIFIED","INVALID – N/A needs justification, PIC and verifier")),IF(OR(TRIM(U83)="Pass",TRIM(U83)="Pass after CA"),IF(NOT(ISNUMBER(AD83)),"INVALID – completion time missing",IF(TRIM(T83)="","INVALID – PIC missing",IF(TRIM(Z83)="","INVALID – evidence missing",IF(TRIM(AE83)="","INVALID – verifier missing",IF(AND(AQ83=1,TRIM(W83)=""),"INVALID – batch ID missing",IF(AND(AR83=1,OR(NOT(ISNUMBER(X83)),NOT(ISNUMBER(Y83)))),"INVALID – expected/actual qty missing",IF(IF(AND(TRIM(U83)="Pass",ISNUMBER(AF83)),IF(AF83&lt;&gt;0,"INVALID – qty variance: use Fail or Pass after CA",""),"")&amp;IF(AND(TRIM(U83)="Pass",AB83="Open"),"INVALID – corrective action still open: use Fail, then Pass after CA","")&amp;IF(AND(TRIM(U83)="Pass after CA",OR(TRIM(AA83)="",AB83&lt;&gt;"Closed")),"INVALID – corrective action not recorded/closed","")&lt;&gt;"",IF(AND(TRIM(U83)="Pass",ISNUMBER(AF83)),IF(AF83&lt;&gt;0,"INVALID – qty variance: use Fail or Pass after CA",""),"")&amp;IF(AND(TRIM(U83)="Pass",AB83="Open"),"INVALID – corrective action still open: use Fail, then Pass after CA","")&amp;IF(AND(TRIM(U83)="Pass after CA",OR(TRIM(AA83)="",AB83&lt;&gt;"Closed")),"INVALID – corrective action not recorded/closed",""),IF(AND(AS83=1,Documents!$J$7&lt;&gt;"ON FILE"),"INVALID – GLD not on file (Documents sheet)",IF(AND(AS83=2,Documents!$O$7&lt;&gt;"ON FILE"),"INVALID – menu checklist not on file (Documents sheet)",IF(AND(AS83=3,NOT(ISNUMBER(Flights!$AX$7))),"INVALID – enter carrying flight KUL departure (Flights AX)",IF(AG83&gt;AsOfUTC,"INVALID – completion time is in the future",IF(AND(ISNUMBER(S83),AG83&lt;S83),IF(H83="Physical uplift","INVALID – before uplift window (cannot confirm loading)","INVALID – before valid window"),IF(AG83&gt;Flights!$AA$7,"INVALID – completed after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f>
        <v>OPEN</v>
      </c>
      <c r="AI83" s="61" t="n">
        <f aca="false">IF(OR(AH83="N/A – RULE",AH83="N/A – JUSTIFIED"),0,1)</f>
        <v>1</v>
      </c>
      <c r="AJ83" s="61" t="n">
        <f aca="false">IF(LEFT(AH83,8)="COMPLETE",1,0)</f>
        <v>0</v>
      </c>
      <c r="AK83" s="61" t="n">
        <f aca="false">IF(AND(AI83=1,AJ83=0,AsOfUTC&gt;Q83),1,0)</f>
        <v>0</v>
      </c>
      <c r="AL83" s="61" t="n">
        <f aca="false">IF(AND(AI83=1,OR(TRIM(U83)="Fail",AB83="Open",AND(ISNUMBER(AF83),AF83&lt;&gt;0,TRIM(U83)&lt;&gt;"Pass after CA"))),1,0)</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row>
    <row r="84" customFormat="false" ht="78.75" hidden="false" customHeight="true" outlineLevel="0" collapsed="false">
      <c r="A84" s="57" t="s">
        <v>535</v>
      </c>
      <c r="B84" s="57" t="s">
        <v>202</v>
      </c>
      <c r="C84" s="57" t="str">
        <f aca="false">Flights!$F$7</f>
        <v>MH0720</v>
      </c>
      <c r="D84" s="58" t="n">
        <f aca="false">Flights!$D$7</f>
        <v>46305</v>
      </c>
      <c r="E84" s="57" t="str">
        <f aca="false">Flights!$G$7&amp;"-"&amp;Flights!$H$7</f>
        <v>CGK-KUL</v>
      </c>
      <c r="F84" s="57" t="str">
        <f aca="false">Flights!$K$7</f>
        <v>EY</v>
      </c>
      <c r="G84" s="57" t="s">
        <v>383</v>
      </c>
      <c r="H84" s="57" t="s">
        <v>341</v>
      </c>
      <c r="I84" s="57" t="s">
        <v>391</v>
      </c>
      <c r="J84" s="57" t="s">
        <v>398</v>
      </c>
      <c r="K84" s="67" t="s">
        <v>536</v>
      </c>
      <c r="L84" s="67" t="s">
        <v>385</v>
      </c>
      <c r="M84" s="67"/>
      <c r="N84" s="67" t="s">
        <v>346</v>
      </c>
      <c r="O84" s="67" t="s">
        <v>386</v>
      </c>
      <c r="P84" s="57" t="s">
        <v>191</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IF(N84="N/A – rule","N/A – RULE",IF(TRIM(U84)="N/A",IF(AT84=0,"INVALID – N/A not permitted for this mandatory check",IF(AND(TRIM(AC84)&lt;&gt;"",TRIM(AE84)&lt;&gt;"",TRIM(T84)&lt;&gt;""),"N/A – JUSTIFIED","INVALID – N/A needs justification, PIC and verifier")),IF(OR(TRIM(U84)="Pass",TRIM(U84)="Pass after CA"),IF(NOT(ISNUMBER(AD84)),"INVALID – completion time missing",IF(TRIM(T84)="","INVALID – PIC missing",IF(TRIM(Z84)="","INVALID – evidence missing",IF(TRIM(AE84)="","INVALID – verifier missing",IF(AND(AQ84=1,TRIM(W84)=""),"INVALID – batch ID missing",IF(AND(AR84=1,OR(NOT(ISNUMBER(X84)),NOT(ISNUMBER(Y84)))),"INVALID – expected/actual qty missing",IF(IF(AND(TRIM(U84)="Pass",ISNUMBER(AF84)),IF(AF84&lt;&gt;0,"INVALID – qty variance: use Fail or Pass after CA",""),"")&amp;IF(AND(TRIM(U84)="Pass",AB84="Open"),"INVALID – corrective action still open: use Fail, then Pass after CA","")&amp;IF(AND(TRIM(U84)="Pass after CA",OR(TRIM(AA84)="",AB84&lt;&gt;"Closed")),"INVALID – corrective action not recorded/closed","")&lt;&gt;"",IF(AND(TRIM(U84)="Pass",ISNUMBER(AF84)),IF(AF84&lt;&gt;0,"INVALID – qty variance: use Fail or Pass after CA",""),"")&amp;IF(AND(TRIM(U84)="Pass",AB84="Open"),"INVALID – corrective action still open: use Fail, then Pass after CA","")&amp;IF(AND(TRIM(U84)="Pass after CA",OR(TRIM(AA84)="",AB84&lt;&gt;"Closed")),"INVALID – corrective action not recorded/closed",""),IF(AND(AS84=1,Documents!$J$7&lt;&gt;"ON FILE"),"INVALID – GLD not on file (Documents sheet)",IF(AND(AS84=2,Documents!$O$7&lt;&gt;"ON FILE"),"INVALID – menu checklist not on file (Documents sheet)",IF(AND(AS84=3,NOT(ISNUMBER(Flights!$AX$7))),"INVALID – enter carrying flight KUL departure (Flights AX)",IF(AG84&gt;AsOfUTC,"INVALID – completion time is in the future",IF(AND(ISNUMBER(S84),AG84&lt;S84),IF(H84="Physical uplift","INVALID – before uplift window (cannot confirm loading)","INVALID – before valid window"),IF(AG84&gt;Flights!$AA$7,"INVALID – completed after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f>
        <v>OPEN</v>
      </c>
      <c r="AI84" s="61" t="n">
        <f aca="false">IF(OR(AH84="N/A – RULE",AH84="N/A – JUSTIFIED"),0,1)</f>
        <v>1</v>
      </c>
      <c r="AJ84" s="61" t="n">
        <f aca="false">IF(LEFT(AH84,8)="COMPLETE",1,0)</f>
        <v>0</v>
      </c>
      <c r="AK84" s="61" t="n">
        <f aca="false">IF(AND(AI84=1,AJ84=0,AsOfUTC&gt;Q84),1,0)</f>
        <v>0</v>
      </c>
      <c r="AL84" s="61" t="n">
        <f aca="false">IF(AND(AI84=1,OR(TRIM(U84)="Fail",AB84="Open",AND(ISNUMBER(AF84),AF84&lt;&gt;0,TRIM(U84)&lt;&gt;"Pass after CA"))),1,0)</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row>
    <row r="85" customFormat="false" ht="39.75" hidden="false" customHeight="true" outlineLevel="0" collapsed="false">
      <c r="A85" s="57" t="s">
        <v>537</v>
      </c>
      <c r="B85" s="57" t="s">
        <v>202</v>
      </c>
      <c r="C85" s="57" t="str">
        <f aca="false">Flights!$F$7</f>
        <v>MH0720</v>
      </c>
      <c r="D85" s="58" t="n">
        <f aca="false">Flights!$D$7</f>
        <v>46305</v>
      </c>
      <c r="E85" s="57" t="str">
        <f aca="false">Flights!$G$7&amp;"-"&amp;Flights!$H$7</f>
        <v>CGK-KUL</v>
      </c>
      <c r="F85" s="57" t="str">
        <f aca="false">Flights!$K$7</f>
        <v>EY</v>
      </c>
      <c r="G85" s="57" t="s">
        <v>383</v>
      </c>
      <c r="H85" s="57" t="s">
        <v>341</v>
      </c>
      <c r="I85" s="57" t="s">
        <v>391</v>
      </c>
      <c r="J85" s="57" t="s">
        <v>401</v>
      </c>
      <c r="K85" s="67"/>
      <c r="L85" s="67" t="s">
        <v>385</v>
      </c>
      <c r="M85" s="67"/>
      <c r="N85" s="67" t="s">
        <v>346</v>
      </c>
      <c r="O85" s="67" t="s">
        <v>386</v>
      </c>
      <c r="P85" s="57" t="s">
        <v>191</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IF(N85="N/A – rule","N/A – RULE",IF(TRIM(U85)="N/A",IF(AT85=0,"INVALID – N/A not permitted for this mandatory check",IF(AND(TRIM(AC85)&lt;&gt;"",TRIM(AE85)&lt;&gt;"",TRIM(T85)&lt;&gt;""),"N/A – JUSTIFIED","INVALID – N/A needs justification, PIC and verifier")),IF(OR(TRIM(U85)="Pass",TRIM(U85)="Pass after CA"),IF(NOT(ISNUMBER(AD85)),"INVALID – completion time missing",IF(TRIM(T85)="","INVALID – PIC missing",IF(TRIM(Z85)="","INVALID – evidence missing",IF(TRIM(AE85)="","INVALID – verifier missing",IF(AND(AQ85=1,TRIM(W85)=""),"INVALID – batch ID missing",IF(AND(AR85=1,OR(NOT(ISNUMBER(X85)),NOT(ISNUMBER(Y85)))),"INVALID – expected/actual qty missing",IF(IF(AND(TRIM(U85)="Pass",ISNUMBER(AF85)),IF(AF85&lt;&gt;0,"INVALID – qty variance: use Fail or Pass after CA",""),"")&amp;IF(AND(TRIM(U85)="Pass",AB85="Open"),"INVALID – corrective action still open: use Fail, then Pass after CA","")&amp;IF(AND(TRIM(U85)="Pass after CA",OR(TRIM(AA85)="",AB85&lt;&gt;"Closed")),"INVALID – corrective action not recorded/closed","")&lt;&gt;"",IF(AND(TRIM(U85)="Pass",ISNUMBER(AF85)),IF(AF85&lt;&gt;0,"INVALID – qty variance: use Fail or Pass after CA",""),"")&amp;IF(AND(TRIM(U85)="Pass",AB85="Open"),"INVALID – corrective action still open: use Fail, then Pass after CA","")&amp;IF(AND(TRIM(U85)="Pass after CA",OR(TRIM(AA85)="",AB85&lt;&gt;"Closed")),"INVALID – corrective action not recorded/closed",""),IF(AND(AS85=1,Documents!$J$7&lt;&gt;"ON FILE"),"INVALID – GLD not on file (Documents sheet)",IF(AND(AS85=2,Documents!$O$7&lt;&gt;"ON FILE"),"INVALID – menu checklist not on file (Documents sheet)",IF(AND(AS85=3,NOT(ISNUMBER(Flights!$AX$7))),"INVALID – enter carrying flight KUL departure (Flights AX)",IF(AG85&gt;AsOfUTC,"INVALID – completion time is in the future",IF(AND(ISNUMBER(S85),AG85&lt;S85),IF(H85="Physical uplift","INVALID – before uplift window (cannot confirm loading)","INVALID – before valid window"),IF(AG85&gt;Flights!$AA$7,"INVALID – completed after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f>
        <v>OPEN</v>
      </c>
      <c r="AI85" s="61" t="n">
        <f aca="false">IF(OR(AH85="N/A – RULE",AH85="N/A – JUSTIFIED"),0,1)</f>
        <v>1</v>
      </c>
      <c r="AJ85" s="61" t="n">
        <f aca="false">IF(LEFT(AH85,8)="COMPLETE",1,0)</f>
        <v>0</v>
      </c>
      <c r="AK85" s="61" t="n">
        <f aca="false">IF(AND(AI85=1,AJ85=0,AsOfUTC&gt;Q85),1,0)</f>
        <v>0</v>
      </c>
      <c r="AL85" s="61" t="n">
        <f aca="false">IF(AND(AI85=1,OR(TRIM(U85)="Fail",AB85="Open",AND(ISNUMBER(AF85),AF85&lt;&gt;0,TRIM(U85)&lt;&gt;"Pass after CA"))),1,0)</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row>
    <row r="86" customFormat="false" ht="41.25" hidden="false" customHeight="true" outlineLevel="0" collapsed="false">
      <c r="A86" s="57" t="s">
        <v>538</v>
      </c>
      <c r="B86" s="57" t="s">
        <v>202</v>
      </c>
      <c r="C86" s="57" t="str">
        <f aca="false">Flights!$F$7</f>
        <v>MH0720</v>
      </c>
      <c r="D86" s="58" t="n">
        <f aca="false">Flights!$D$7</f>
        <v>46305</v>
      </c>
      <c r="E86" s="57" t="str">
        <f aca="false">Flights!$G$7&amp;"-"&amp;Flights!$H$7</f>
        <v>CGK-KUL</v>
      </c>
      <c r="F86" s="57" t="str">
        <f aca="false">Flights!$K$7</f>
        <v>EY</v>
      </c>
      <c r="G86" s="57" t="s">
        <v>383</v>
      </c>
      <c r="H86" s="57" t="s">
        <v>341</v>
      </c>
      <c r="I86" s="57" t="s">
        <v>410</v>
      </c>
      <c r="J86" s="57" t="s">
        <v>411</v>
      </c>
      <c r="K86" s="67" t="s">
        <v>412</v>
      </c>
      <c r="L86" s="67" t="s">
        <v>539</v>
      </c>
      <c r="M86" s="67" t="s">
        <v>414</v>
      </c>
      <c r="N86" s="67" t="s">
        <v>346</v>
      </c>
      <c r="O86" s="67" t="s">
        <v>540</v>
      </c>
      <c r="P86" s="57" t="s">
        <v>191</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IF(N86="N/A – rule","N/A – RULE",IF(TRIM(U86)="N/A",IF(AT86=0,"INVALID – N/A not permitted for this mandatory check",IF(AND(TRIM(AC86)&lt;&gt;"",TRIM(AE86)&lt;&gt;"",TRIM(T86)&lt;&gt;""),"N/A – JUSTIFIED","INVALID – N/A needs justification, PIC and verifier")),IF(OR(TRIM(U86)="Pass",TRIM(U86)="Pass after CA"),IF(NOT(ISNUMBER(AD86)),"INVALID – completion time missing",IF(TRIM(T86)="","INVALID – PIC missing",IF(TRIM(Z86)="","INVALID – evidence missing",IF(TRIM(AE86)="","INVALID – verifier missing",IF(AND(AQ86=1,TRIM(W86)=""),"INVALID – batch ID missing",IF(AND(AR86=1,OR(NOT(ISNUMBER(X86)),NOT(ISNUMBER(Y86)))),"INVALID – expected/actual qty missing",IF(IF(AND(TRIM(U86)="Pass",ISNUMBER(AF86)),IF(AF86&lt;&gt;0,"INVALID – qty variance: use Fail or Pass after CA",""),"")&amp;IF(AND(TRIM(U86)="Pass",AB86="Open"),"INVALID – corrective action still open: use Fail, then Pass after CA","")&amp;IF(AND(TRIM(U86)="Pass after CA",OR(TRIM(AA86)="",AB86&lt;&gt;"Closed")),"INVALID – corrective action not recorded/closed","")&lt;&gt;"",IF(AND(TRIM(U86)="Pass",ISNUMBER(AF86)),IF(AF86&lt;&gt;0,"INVALID – qty variance: use Fail or Pass after CA",""),"")&amp;IF(AND(TRIM(U86)="Pass",AB86="Open"),"INVALID – corrective action still open: use Fail, then Pass after CA","")&amp;IF(AND(TRIM(U86)="Pass after CA",OR(TRIM(AA86)="",AB86&lt;&gt;"Closed")),"INVALID – corrective action not recorded/closed",""),IF(AND(AS86=1,Documents!$J$7&lt;&gt;"ON FILE"),"INVALID – GLD not on file (Documents sheet)",IF(AND(AS86=2,Documents!$O$7&lt;&gt;"ON FILE"),"INVALID – menu checklist not on file (Documents sheet)",IF(AND(AS86=3,NOT(ISNUMBER(Flights!$AX$7))),"INVALID – enter carrying flight KUL departure (Flights AX)",IF(AG86&gt;AsOfUTC,"INVALID – completion time is in the future",IF(AND(ISNUMBER(S86),AG86&lt;S86),IF(H86="Physical uplift","INVALID – before uplift window (cannot confirm loading)","INVALID – before valid window"),IF(AG86&gt;Flights!$AA$7,"INVALID – completed after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f>
        <v>OPEN</v>
      </c>
      <c r="AI86" s="61" t="n">
        <f aca="false">IF(OR(AH86="N/A – RULE",AH86="N/A – JUSTIFIED"),0,1)</f>
        <v>1</v>
      </c>
      <c r="AJ86" s="61" t="n">
        <f aca="false">IF(LEFT(AH86,8)="COMPLETE",1,0)</f>
        <v>0</v>
      </c>
      <c r="AK86" s="61" t="n">
        <f aca="false">IF(AND(AI86=1,AJ86=0,AsOfUTC&gt;Q86),1,0)</f>
        <v>0</v>
      </c>
      <c r="AL86" s="61" t="n">
        <f aca="false">IF(AND(AI86=1,OR(TRIM(U86)="Fail",AB86="Open",AND(ISNUMBER(AF86),AF86&lt;&gt;0,TRIM(U86)&lt;&gt;"Pass after CA"))),1,0)</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1</v>
      </c>
    </row>
    <row r="87" customFormat="false" ht="39.75" hidden="false" customHeight="true" outlineLevel="0" collapsed="false">
      <c r="A87" s="57" t="s">
        <v>541</v>
      </c>
      <c r="B87" s="57" t="s">
        <v>202</v>
      </c>
      <c r="C87" s="57" t="str">
        <f aca="false">Flights!$F$7</f>
        <v>MH0720</v>
      </c>
      <c r="D87" s="58" t="n">
        <f aca="false">Flights!$D$7</f>
        <v>46305</v>
      </c>
      <c r="E87" s="57" t="str">
        <f aca="false">Flights!$G$7&amp;"-"&amp;Flights!$H$7</f>
        <v>CGK-KUL</v>
      </c>
      <c r="F87" s="57" t="str">
        <f aca="false">Flights!$K$7</f>
        <v>EY</v>
      </c>
      <c r="G87" s="57" t="s">
        <v>422</v>
      </c>
      <c r="H87" s="57" t="s">
        <v>423</v>
      </c>
      <c r="I87" s="57" t="s">
        <v>342</v>
      </c>
      <c r="J87" s="57" t="s">
        <v>424</v>
      </c>
      <c r="K87" s="67" t="s">
        <v>389</v>
      </c>
      <c r="L87" s="67" t="s">
        <v>425</v>
      </c>
      <c r="M87" s="67"/>
      <c r="N87" s="67" t="s">
        <v>346</v>
      </c>
      <c r="O87" s="67" t="s">
        <v>426</v>
      </c>
      <c r="P87" s="57" t="s">
        <v>191</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IF(N87="N/A – rule","N/A – RULE",IF(TRIM(U87)="N/A",IF(AT87=0,"INVALID – N/A not permitted for this mandatory check",IF(AND(TRIM(AC87)&lt;&gt;"",TRIM(AE87)&lt;&gt;"",TRIM(T87)&lt;&gt;""),"N/A – JUSTIFIED","INVALID – N/A needs justification, PIC and verifier")),IF(OR(TRIM(U87)="Pass",TRIM(U87)="Pass after CA"),IF(NOT(ISNUMBER(AD87)),"INVALID – completion time missing",IF(TRIM(T87)="","INVALID – PIC missing",IF(TRIM(Z87)="","INVALID – evidence missing",IF(TRIM(AE87)="","INVALID – verifier missing",IF(AND(AQ87=1,TRIM(W87)=""),"INVALID – batch ID missing",IF(AND(AR87=1,OR(NOT(ISNUMBER(X87)),NOT(ISNUMBER(Y87)))),"INVALID – expected/actual qty missing",IF(IF(AND(TRIM(U87)="Pass",ISNUMBER(AF87)),IF(AF87&lt;&gt;0,"INVALID – qty variance: use Fail or Pass after CA",""),"")&amp;IF(AND(TRIM(U87)="Pass",AB87="Open"),"INVALID – corrective action still open: use Fail, then Pass after CA","")&amp;IF(AND(TRIM(U87)="Pass after CA",OR(TRIM(AA87)="",AB87&lt;&gt;"Closed")),"INVALID – corrective action not recorded/closed","")&lt;&gt;"",IF(AND(TRIM(U87)="Pass",ISNUMBER(AF87)),IF(AF87&lt;&gt;0,"INVALID – qty variance: use Fail or Pass after CA",""),"")&amp;IF(AND(TRIM(U87)="Pass",AB87="Open"),"INVALID – corrective action still open: use Fail, then Pass after CA","")&amp;IF(AND(TRIM(U87)="Pass after CA",OR(TRIM(AA87)="",AB87&lt;&gt;"Closed")),"INVALID – corrective action not recorded/closed",""),IF(AND(AS87=1,Documents!$J$7&lt;&gt;"ON FILE"),"INVALID – GLD not on file (Documents sheet)",IF(AND(AS87=2,Documents!$O$7&lt;&gt;"ON FILE"),"INVALID – menu checklist not on file (Documents sheet)",IF(AND(AS87=3,NOT(ISNUMBER(Flights!$AX$7))),"INVALID – enter carrying flight KUL departure (Flights AX)",IF(AG87&gt;AsOfUTC,"INVALID – completion time is in the future",IF(AND(ISNUMBER(S87),AG87&lt;S87),IF(H87="Physical uplift","INVALID – before uplift window (cannot confirm loading)","INVALID – before valid window"),IF(AG87&gt;Flights!$AA$7,"INVALID – completed after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f>
        <v>OPEN</v>
      </c>
      <c r="AI87" s="61" t="n">
        <f aca="false">IF(OR(AH87="N/A – RULE",AH87="N/A – JUSTIFIED"),0,1)</f>
        <v>1</v>
      </c>
      <c r="AJ87" s="61" t="n">
        <f aca="false">IF(LEFT(AH87,8)="COMPLETE",1,0)</f>
        <v>0</v>
      </c>
      <c r="AK87" s="61" t="n">
        <f aca="false">IF(AND(AI87=1,AJ87=0,AsOfUTC&gt;Q87),1,0)</f>
        <v>0</v>
      </c>
      <c r="AL87" s="61" t="n">
        <f aca="false">IF(AND(AI87=1,OR(TRIM(U87)="Fail",AB87="Open",AND(ISNUMBER(AF87),AF87&lt;&gt;0,TRIM(U87)&lt;&gt;"Pass after CA"))),1,0)</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row>
    <row r="88" customFormat="false" ht="39.75" hidden="false" customHeight="true" outlineLevel="0" collapsed="false">
      <c r="A88" s="57" t="s">
        <v>542</v>
      </c>
      <c r="B88" s="57" t="s">
        <v>202</v>
      </c>
      <c r="C88" s="57" t="str">
        <f aca="false">Flights!$F$7</f>
        <v>MH0720</v>
      </c>
      <c r="D88" s="58" t="n">
        <f aca="false">Flights!$D$7</f>
        <v>46305</v>
      </c>
      <c r="E88" s="57" t="str">
        <f aca="false">Flights!$G$7&amp;"-"&amp;Flights!$H$7</f>
        <v>CGK-KUL</v>
      </c>
      <c r="F88" s="57" t="str">
        <f aca="false">Flights!$K$7</f>
        <v>EY</v>
      </c>
      <c r="G88" s="57" t="s">
        <v>422</v>
      </c>
      <c r="H88" s="57" t="s">
        <v>423</v>
      </c>
      <c r="I88" s="57" t="s">
        <v>391</v>
      </c>
      <c r="J88" s="57" t="s">
        <v>428</v>
      </c>
      <c r="K88" s="67" t="s">
        <v>389</v>
      </c>
      <c r="L88" s="67" t="s">
        <v>425</v>
      </c>
      <c r="M88" s="67"/>
      <c r="N88" s="67" t="s">
        <v>346</v>
      </c>
      <c r="O88" s="67" t="s">
        <v>426</v>
      </c>
      <c r="P88" s="57" t="s">
        <v>191</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IF(N88="N/A – rule","N/A – RULE",IF(TRIM(U88)="N/A",IF(AT88=0,"INVALID – N/A not permitted for this mandatory check",IF(AND(TRIM(AC88)&lt;&gt;"",TRIM(AE88)&lt;&gt;"",TRIM(T88)&lt;&gt;""),"N/A – JUSTIFIED","INVALID – N/A needs justification, PIC and verifier")),IF(OR(TRIM(U88)="Pass",TRIM(U88)="Pass after CA"),IF(NOT(ISNUMBER(AD88)),"INVALID – completion time missing",IF(TRIM(T88)="","INVALID – PIC missing",IF(TRIM(Z88)="","INVALID – evidence missing",IF(TRIM(AE88)="","INVALID – verifier missing",IF(AND(AQ88=1,TRIM(W88)=""),"INVALID – batch ID missing",IF(AND(AR88=1,OR(NOT(ISNUMBER(X88)),NOT(ISNUMBER(Y88)))),"INVALID – expected/actual qty missing",IF(IF(AND(TRIM(U88)="Pass",ISNUMBER(AF88)),IF(AF88&lt;&gt;0,"INVALID – qty variance: use Fail or Pass after CA",""),"")&amp;IF(AND(TRIM(U88)="Pass",AB88="Open"),"INVALID – corrective action still open: use Fail, then Pass after CA","")&amp;IF(AND(TRIM(U88)="Pass after CA",OR(TRIM(AA88)="",AB88&lt;&gt;"Closed")),"INVALID – corrective action not recorded/closed","")&lt;&gt;"",IF(AND(TRIM(U88)="Pass",ISNUMBER(AF88)),IF(AF88&lt;&gt;0,"INVALID – qty variance: use Fail or Pass after CA",""),"")&amp;IF(AND(TRIM(U88)="Pass",AB88="Open"),"INVALID – corrective action still open: use Fail, then Pass after CA","")&amp;IF(AND(TRIM(U88)="Pass after CA",OR(TRIM(AA88)="",AB88&lt;&gt;"Closed")),"INVALID – corrective action not recorded/closed",""),IF(AND(AS88=1,Documents!$J$7&lt;&gt;"ON FILE"),"INVALID – GLD not on file (Documents sheet)",IF(AND(AS88=2,Documents!$O$7&lt;&gt;"ON FILE"),"INVALID – menu checklist not on file (Documents sheet)",IF(AND(AS88=3,NOT(ISNUMBER(Flights!$AX$7))),"INVALID – enter carrying flight KUL departure (Flights AX)",IF(AG88&gt;AsOfUTC,"INVALID – completion time is in the future",IF(AND(ISNUMBER(S88),AG88&lt;S88),IF(H88="Physical uplift","INVALID – before uplift window (cannot confirm loading)","INVALID – before valid window"),IF(AG88&gt;Flights!$AA$7,"INVALID – completed after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f>
        <v>OPEN</v>
      </c>
      <c r="AI88" s="61" t="n">
        <f aca="false">IF(OR(AH88="N/A – RULE",AH88="N/A – JUSTIFIED"),0,1)</f>
        <v>1</v>
      </c>
      <c r="AJ88" s="61" t="n">
        <f aca="false">IF(LEFT(AH88,8)="COMPLETE",1,0)</f>
        <v>0</v>
      </c>
      <c r="AK88" s="61" t="n">
        <f aca="false">IF(AND(AI88=1,AJ88=0,AsOfUTC&gt;Q88),1,0)</f>
        <v>0</v>
      </c>
      <c r="AL88" s="61" t="n">
        <f aca="false">IF(AND(AI88=1,OR(TRIM(U88)="Fail",AB88="Open",AND(ISNUMBER(AF88),AF88&lt;&gt;0,TRIM(U88)&lt;&gt;"Pass after CA"))),1,0)</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row>
    <row r="89" customFormat="false" ht="39.75" hidden="false" customHeight="true" outlineLevel="0" collapsed="false">
      <c r="A89" s="57" t="s">
        <v>543</v>
      </c>
      <c r="B89" s="57" t="s">
        <v>202</v>
      </c>
      <c r="C89" s="57" t="str">
        <f aca="false">Flights!$F$7</f>
        <v>MH0720</v>
      </c>
      <c r="D89" s="58" t="n">
        <f aca="false">Flights!$D$7</f>
        <v>46305</v>
      </c>
      <c r="E89" s="57" t="str">
        <f aca="false">Flights!$G$7&amp;"-"&amp;Flights!$H$7</f>
        <v>CGK-KUL</v>
      </c>
      <c r="F89" s="57" t="str">
        <f aca="false">Flights!$K$7</f>
        <v>EY</v>
      </c>
      <c r="G89" s="57" t="s">
        <v>422</v>
      </c>
      <c r="H89" s="57" t="s">
        <v>423</v>
      </c>
      <c r="I89" s="57" t="s">
        <v>410</v>
      </c>
      <c r="J89" s="57" t="s">
        <v>432</v>
      </c>
      <c r="K89" s="67" t="s">
        <v>412</v>
      </c>
      <c r="L89" s="67" t="s">
        <v>539</v>
      </c>
      <c r="M89" s="67" t="s">
        <v>414</v>
      </c>
      <c r="N89" s="67" t="s">
        <v>346</v>
      </c>
      <c r="O89" s="67"/>
      <c r="P89" s="57" t="s">
        <v>191</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IF(N89="N/A – rule","N/A – RULE",IF(TRIM(U89)="N/A",IF(AT89=0,"INVALID – N/A not permitted for this mandatory check",IF(AND(TRIM(AC89)&lt;&gt;"",TRIM(AE89)&lt;&gt;"",TRIM(T89)&lt;&gt;""),"N/A – JUSTIFIED","INVALID – N/A needs justification, PIC and verifier")),IF(OR(TRIM(U89)="Pass",TRIM(U89)="Pass after CA"),IF(NOT(ISNUMBER(AD89)),"INVALID – completion time missing",IF(TRIM(T89)="","INVALID – PIC missing",IF(TRIM(Z89)="","INVALID – evidence missing",IF(TRIM(AE89)="","INVALID – verifier missing",IF(AND(AQ89=1,TRIM(W89)=""),"INVALID – batch ID missing",IF(AND(AR89=1,OR(NOT(ISNUMBER(X89)),NOT(ISNUMBER(Y89)))),"INVALID – expected/actual qty missing",IF(IF(AND(TRIM(U89)="Pass",ISNUMBER(AF89)),IF(AF89&lt;&gt;0,"INVALID – qty variance: use Fail or Pass after CA",""),"")&amp;IF(AND(TRIM(U89)="Pass",AB89="Open"),"INVALID – corrective action still open: use Fail, then Pass after CA","")&amp;IF(AND(TRIM(U89)="Pass after CA",OR(TRIM(AA89)="",AB89&lt;&gt;"Closed")),"INVALID – corrective action not recorded/closed","")&lt;&gt;"",IF(AND(TRIM(U89)="Pass",ISNUMBER(AF89)),IF(AF89&lt;&gt;0,"INVALID – qty variance: use Fail or Pass after CA",""),"")&amp;IF(AND(TRIM(U89)="Pass",AB89="Open"),"INVALID – corrective action still open: use Fail, then Pass after CA","")&amp;IF(AND(TRIM(U89)="Pass after CA",OR(TRIM(AA89)="",AB89&lt;&gt;"Closed")),"INVALID – corrective action not recorded/closed",""),IF(AND(AS89=1,Documents!$J$7&lt;&gt;"ON FILE"),"INVALID – GLD not on file (Documents sheet)",IF(AND(AS89=2,Documents!$O$7&lt;&gt;"ON FILE"),"INVALID – menu checklist not on file (Documents sheet)",IF(AND(AS89=3,NOT(ISNUMBER(Flights!$AX$7))),"INVALID – enter carrying flight KUL departure (Flights AX)",IF(AG89&gt;AsOfUTC,"INVALID – completion time is in the future",IF(AND(ISNUMBER(S89),AG89&lt;S89),IF(H89="Physical uplift","INVALID – before uplift window (cannot confirm loading)","INVALID – before valid window"),IF(AG89&gt;Flights!$AA$7,"INVALID – completed after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f>
        <v>OPEN</v>
      </c>
      <c r="AI89" s="61" t="n">
        <f aca="false">IF(OR(AH89="N/A – RULE",AH89="N/A – JUSTIFIED"),0,1)</f>
        <v>1</v>
      </c>
      <c r="AJ89" s="61" t="n">
        <f aca="false">IF(LEFT(AH89,8)="COMPLETE",1,0)</f>
        <v>0</v>
      </c>
      <c r="AK89" s="61" t="n">
        <f aca="false">IF(AND(AI89=1,AJ89=0,AsOfUTC&gt;Q89),1,0)</f>
        <v>0</v>
      </c>
      <c r="AL89" s="61" t="n">
        <f aca="false">IF(AND(AI89=1,OR(TRIM(U89)="Fail",AB89="Open",AND(ISNUMBER(AF89),AF89&lt;&gt;0,TRIM(U89)&lt;&gt;"Pass after CA"))),1,0)</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1</v>
      </c>
    </row>
    <row r="90" customFormat="false" ht="39.75" hidden="false" customHeight="true" outlineLevel="0" collapsed="false">
      <c r="A90" s="57" t="s">
        <v>544</v>
      </c>
      <c r="B90" s="57" t="s">
        <v>208</v>
      </c>
      <c r="C90" s="57" t="str">
        <f aca="false">Flights!$F$8</f>
        <v>MH0088</v>
      </c>
      <c r="D90" s="58" t="n">
        <f aca="false">Flights!$D$8</f>
        <v>46305</v>
      </c>
      <c r="E90" s="57" t="str">
        <f aca="false">Flights!$G$8&amp;"-"&amp;Flights!$H$8</f>
        <v>KUL-NRT</v>
      </c>
      <c r="F90" s="57" t="str">
        <f aca="false">Flights!$K$8</f>
        <v>BC</v>
      </c>
      <c r="G90" s="57" t="s">
        <v>74</v>
      </c>
      <c r="H90" s="57" t="s">
        <v>341</v>
      </c>
      <c r="I90" s="57" t="s">
        <v>342</v>
      </c>
      <c r="J90" s="57" t="s">
        <v>343</v>
      </c>
      <c r="K90" s="67" t="s">
        <v>344</v>
      </c>
      <c r="L90" s="67" t="s">
        <v>345</v>
      </c>
      <c r="M90" s="67"/>
      <c r="N90" s="67" t="s">
        <v>346</v>
      </c>
      <c r="O90" s="67"/>
      <c r="P90" s="57" t="s">
        <v>177</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IF(N90="N/A – rule","N/A – RULE",IF(TRIM(U90)="N/A",IF(AT90=0,"INVALID – N/A not permitted for this mandatory check",IF(AND(TRIM(AC90)&lt;&gt;"",TRIM(AE90)&lt;&gt;"",TRIM(T90)&lt;&gt;""),"N/A – JUSTIFIED","INVALID – N/A needs justification, PIC and verifier")),IF(OR(TRIM(U90)="Pass",TRIM(U90)="Pass after CA"),IF(NOT(ISNUMBER(AD90)),"INVALID – completion time missing",IF(TRIM(T90)="","INVALID – PIC missing",IF(TRIM(Z90)="","INVALID – evidence missing",IF(TRIM(AE90)="","INVALID – verifier missing",IF(AND(AQ90=1,TRIM(W90)=""),"INVALID – batch ID missing",IF(AND(AR90=1,OR(NOT(ISNUMBER(X90)),NOT(ISNUMBER(Y90)))),"INVALID – expected/actual qty missing",IF(IF(AND(TRIM(U90)="Pass",ISNUMBER(AF90)),IF(AF90&lt;&gt;0,"INVALID – qty variance: use Fail or Pass after CA",""),"")&amp;IF(AND(TRIM(U90)="Pass",AB90="Open"),"INVALID – corrective action still open: use Fail, then Pass after CA","")&amp;IF(AND(TRIM(U90)="Pass after CA",OR(TRIM(AA90)="",AB90&lt;&gt;"Closed")),"INVALID – corrective action not recorded/closed","")&lt;&gt;"",IF(AND(TRIM(U90)="Pass",ISNUMBER(AF90)),IF(AF90&lt;&gt;0,"INVALID – qty variance: use Fail or Pass after CA",""),"")&amp;IF(AND(TRIM(U90)="Pass",AB90="Open"),"INVALID – corrective action still open: use Fail, then Pass after CA","")&amp;IF(AND(TRIM(U90)="Pass after CA",OR(TRIM(AA90)="",AB90&lt;&gt;"Closed")),"INVALID – corrective action not recorded/closed",""),IF(AND(AS90=1,Documents!$J$8&lt;&gt;"ON FILE"),"INVALID – GLD not on file (Documents sheet)",IF(AND(AS90=2,Documents!$O$8&lt;&gt;"ON FILE"),"INVALID – menu checklist not on file (Documents sheet)",IF(AND(AS90=3,NOT(ISNUMBER(Flights!$AX$8))),"INVALID – enter carrying flight KUL departure (Flights AX)",IF(AG90&gt;AsOfUTC,"INVALID – completion time is in the future",IF(AND(ISNUMBER(S90),AG90&lt;S90),IF(H90="Physical uplift","INVALID – before uplift window (cannot confirm loading)","INVALID – before valid window"),IF(AG90&gt;Flights!$AA$8,"INVALID – completed after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f>
        <v>OPEN</v>
      </c>
      <c r="AI90" s="61" t="n">
        <f aca="false">IF(OR(AH90="N/A – RULE",AH90="N/A – JUSTIFIED"),0,1)</f>
        <v>1</v>
      </c>
      <c r="AJ90" s="61" t="n">
        <f aca="false">IF(LEFT(AH90,8)="COMPLETE",1,0)</f>
        <v>0</v>
      </c>
      <c r="AK90" s="61" t="n">
        <f aca="false">IF(AND(AI90=1,AJ90=0,AsOfUTC&gt;Q90),1,0)</f>
        <v>0</v>
      </c>
      <c r="AL90" s="61" t="n">
        <f aca="false">IF(AND(AI90=1,OR(TRIM(U90)="Fail",AB90="Open",AND(ISNUMBER(AF90),AF90&lt;&gt;0,TRIM(U90)&lt;&gt;"Pass after CA"))),1,0)</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row>
    <row r="91" customFormat="false" ht="39.75" hidden="false" customHeight="true" outlineLevel="0" collapsed="false">
      <c r="A91" s="57" t="s">
        <v>545</v>
      </c>
      <c r="B91" s="57" t="s">
        <v>208</v>
      </c>
      <c r="C91" s="57" t="str">
        <f aca="false">Flights!$F$8</f>
        <v>MH0088</v>
      </c>
      <c r="D91" s="58" t="n">
        <f aca="false">Flights!$D$8</f>
        <v>46305</v>
      </c>
      <c r="E91" s="57" t="str">
        <f aca="false">Flights!$G$8&amp;"-"&amp;Flights!$H$8</f>
        <v>KUL-NRT</v>
      </c>
      <c r="F91" s="57" t="str">
        <f aca="false">Flights!$K$8</f>
        <v>BC</v>
      </c>
      <c r="G91" s="57" t="s">
        <v>74</v>
      </c>
      <c r="H91" s="57" t="s">
        <v>341</v>
      </c>
      <c r="I91" s="57" t="s">
        <v>348</v>
      </c>
      <c r="J91" s="57" t="s">
        <v>349</v>
      </c>
      <c r="K91" s="67" t="s">
        <v>350</v>
      </c>
      <c r="L91" s="67" t="s">
        <v>345</v>
      </c>
      <c r="M91" s="67"/>
      <c r="N91" s="67" t="s">
        <v>346</v>
      </c>
      <c r="O91" s="67"/>
      <c r="P91" s="57" t="s">
        <v>177</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IF(N91="N/A – rule","N/A – RULE",IF(TRIM(U91)="N/A",IF(AT91=0,"INVALID – N/A not permitted for this mandatory check",IF(AND(TRIM(AC91)&lt;&gt;"",TRIM(AE91)&lt;&gt;"",TRIM(T91)&lt;&gt;""),"N/A – JUSTIFIED","INVALID – N/A needs justification, PIC and verifier")),IF(OR(TRIM(U91)="Pass",TRIM(U91)="Pass after CA"),IF(NOT(ISNUMBER(AD91)),"INVALID – completion time missing",IF(TRIM(T91)="","INVALID – PIC missing",IF(TRIM(Z91)="","INVALID – evidence missing",IF(TRIM(AE91)="","INVALID – verifier missing",IF(AND(AQ91=1,TRIM(W91)=""),"INVALID – batch ID missing",IF(AND(AR91=1,OR(NOT(ISNUMBER(X91)),NOT(ISNUMBER(Y91)))),"INVALID – expected/actual qty missing",IF(IF(AND(TRIM(U91)="Pass",ISNUMBER(AF91)),IF(AF91&lt;&gt;0,"INVALID – qty variance: use Fail or Pass after CA",""),"")&amp;IF(AND(TRIM(U91)="Pass",AB91="Open"),"INVALID – corrective action still open: use Fail, then Pass after CA","")&amp;IF(AND(TRIM(U91)="Pass after CA",OR(TRIM(AA91)="",AB91&lt;&gt;"Closed")),"INVALID – corrective action not recorded/closed","")&lt;&gt;"",IF(AND(TRIM(U91)="Pass",ISNUMBER(AF91)),IF(AF91&lt;&gt;0,"INVALID – qty variance: use Fail or Pass after CA",""),"")&amp;IF(AND(TRIM(U91)="Pass",AB91="Open"),"INVALID – corrective action still open: use Fail, then Pass after CA","")&amp;IF(AND(TRIM(U91)="Pass after CA",OR(TRIM(AA91)="",AB91&lt;&gt;"Closed")),"INVALID – corrective action not recorded/closed",""),IF(AND(AS91=1,Documents!$J$8&lt;&gt;"ON FILE"),"INVALID – GLD not on file (Documents sheet)",IF(AND(AS91=2,Documents!$O$8&lt;&gt;"ON FILE"),"INVALID – menu checklist not on file (Documents sheet)",IF(AND(AS91=3,NOT(ISNUMBER(Flights!$AX$8))),"INVALID – enter carrying flight KUL departure (Flights AX)",IF(AG91&gt;AsOfUTC,"INVALID – completion time is in the future",IF(AND(ISNUMBER(S91),AG91&lt;S91),IF(H91="Physical uplift","INVALID – before uplift window (cannot confirm loading)","INVALID – before valid window"),IF(AG91&gt;Flights!$AA$8,"INVALID – completed after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f>
        <v>OPEN</v>
      </c>
      <c r="AI91" s="61" t="n">
        <f aca="false">IF(OR(AH91="N/A – RULE",AH91="N/A – JUSTIFIED"),0,1)</f>
        <v>1</v>
      </c>
      <c r="AJ91" s="61" t="n">
        <f aca="false">IF(LEFT(AH91,8)="COMPLETE",1,0)</f>
        <v>0</v>
      </c>
      <c r="AK91" s="61" t="n">
        <f aca="false">IF(AND(AI91=1,AJ91=0,AsOfUTC&gt;Q91),1,0)</f>
        <v>0</v>
      </c>
      <c r="AL91" s="61" t="n">
        <f aca="false">IF(AND(AI91=1,OR(TRIM(U91)="Fail",AB91="Open",AND(ISNUMBER(AF91),AF91&lt;&gt;0,TRIM(U91)&lt;&gt;"Pass after CA"))),1,0)</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1</v>
      </c>
    </row>
    <row r="92" customFormat="false" ht="41.25" hidden="false" customHeight="true" outlineLevel="0" collapsed="false">
      <c r="A92" s="57" t="s">
        <v>546</v>
      </c>
      <c r="B92" s="57" t="s">
        <v>208</v>
      </c>
      <c r="C92" s="57" t="str">
        <f aca="false">Flights!$F$8</f>
        <v>MH0088</v>
      </c>
      <c r="D92" s="58" t="n">
        <f aca="false">Flights!$D$8</f>
        <v>46305</v>
      </c>
      <c r="E92" s="57" t="str">
        <f aca="false">Flights!$G$8&amp;"-"&amp;Flights!$H$8</f>
        <v>KUL-NRT</v>
      </c>
      <c r="F92" s="57" t="str">
        <f aca="false">Flights!$K$8</f>
        <v>BC</v>
      </c>
      <c r="G92" s="57" t="s">
        <v>74</v>
      </c>
      <c r="H92" s="57" t="s">
        <v>341</v>
      </c>
      <c r="I92" s="57" t="s">
        <v>352</v>
      </c>
      <c r="J92" s="57" t="s">
        <v>353</v>
      </c>
      <c r="K92" s="67" t="s">
        <v>354</v>
      </c>
      <c r="L92" s="67" t="s">
        <v>345</v>
      </c>
      <c r="M92" s="67"/>
      <c r="N92" s="67" t="str">
        <f aca="false">IF(TRIM(Flights!$L$8)="A339","Required","N/A – rule")</f>
        <v>N/A – rule</v>
      </c>
      <c r="O92" s="67" t="s">
        <v>355</v>
      </c>
      <c r="P92" s="57" t="s">
        <v>177</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IF(N92="N/A – rule","N/A – RULE",IF(TRIM(U92)="N/A",IF(AT92=0,"INVALID – N/A not permitted for this mandatory check",IF(AND(TRIM(AC92)&lt;&gt;"",TRIM(AE92)&lt;&gt;"",TRIM(T92)&lt;&gt;""),"N/A – JUSTIFIED","INVALID – N/A needs justification, PIC and verifier")),IF(OR(TRIM(U92)="Pass",TRIM(U92)="Pass after CA"),IF(NOT(ISNUMBER(AD92)),"INVALID – completion time missing",IF(TRIM(T92)="","INVALID – PIC missing",IF(TRIM(Z92)="","INVALID – evidence missing",IF(TRIM(AE92)="","INVALID – verifier missing",IF(AND(AQ92=1,TRIM(W92)=""),"INVALID – batch ID missing",IF(AND(AR92=1,OR(NOT(ISNUMBER(X92)),NOT(ISNUMBER(Y92)))),"INVALID – expected/actual qty missing",IF(IF(AND(TRIM(U92)="Pass",ISNUMBER(AF92)),IF(AF92&lt;&gt;0,"INVALID – qty variance: use Fail or Pass after CA",""),"")&amp;IF(AND(TRIM(U92)="Pass",AB92="Open"),"INVALID – corrective action still open: use Fail, then Pass after CA","")&amp;IF(AND(TRIM(U92)="Pass after CA",OR(TRIM(AA92)="",AB92&lt;&gt;"Closed")),"INVALID – corrective action not recorded/closed","")&lt;&gt;"",IF(AND(TRIM(U92)="Pass",ISNUMBER(AF92)),IF(AF92&lt;&gt;0,"INVALID – qty variance: use Fail or Pass after CA",""),"")&amp;IF(AND(TRIM(U92)="Pass",AB92="Open"),"INVALID – corrective action still open: use Fail, then Pass after CA","")&amp;IF(AND(TRIM(U92)="Pass after CA",OR(TRIM(AA92)="",AB92&lt;&gt;"Closed")),"INVALID – corrective action not recorded/closed",""),IF(AND(AS92=1,Documents!$J$8&lt;&gt;"ON FILE"),"INVALID – GLD not on file (Documents sheet)",IF(AND(AS92=2,Documents!$O$8&lt;&gt;"ON FILE"),"INVALID – menu checklist not on file (Documents sheet)",IF(AND(AS92=3,NOT(ISNUMBER(Flights!$AX$8))),"INVALID – enter carrying flight KUL departure (Flights AX)",IF(AG92&gt;AsOfUTC,"INVALID – completion time is in the future",IF(AND(ISNUMBER(S92),AG92&lt;S92),IF(H92="Physical uplift","INVALID – before uplift window (cannot confirm loading)","INVALID – before valid window"),IF(AG92&gt;Flights!$AA$8,"INVALID – completed after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f>
        <v>N/A – RULE</v>
      </c>
      <c r="AI92" s="61" t="n">
        <f aca="false">IF(OR(AH92="N/A – RULE",AH92="N/A – JUSTIFIED"),0,1)</f>
        <v>0</v>
      </c>
      <c r="AJ92" s="61" t="n">
        <f aca="false">IF(LEFT(AH92,8)="COMPLETE",1,0)</f>
        <v>0</v>
      </c>
      <c r="AK92" s="61" t="n">
        <f aca="false">IF(AND(AI92=1,AJ92=0,AsOfUTC&gt;Q92),1,0)</f>
        <v>0</v>
      </c>
      <c r="AL92" s="61" t="n">
        <f aca="false">IF(AND(AI92=1,OR(TRIM(U92)="Fail",AB92="Open",AND(ISNUMBER(AF92),AF92&lt;&gt;0,TRIM(U92)&lt;&gt;"Pass after CA"))),1,0)</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row>
    <row r="93" customFormat="false" ht="39.75" hidden="false" customHeight="true" outlineLevel="0" collapsed="false">
      <c r="A93" s="57" t="s">
        <v>547</v>
      </c>
      <c r="B93" s="57" t="s">
        <v>208</v>
      </c>
      <c r="C93" s="57" t="str">
        <f aca="false">Flights!$F$8</f>
        <v>MH0088</v>
      </c>
      <c r="D93" s="58" t="n">
        <f aca="false">Flights!$D$8</f>
        <v>46305</v>
      </c>
      <c r="E93" s="57" t="str">
        <f aca="false">Flights!$G$8&amp;"-"&amp;Flights!$H$8</f>
        <v>KUL-NRT</v>
      </c>
      <c r="F93" s="57" t="str">
        <f aca="false">Flights!$K$8</f>
        <v>BC</v>
      </c>
      <c r="G93" s="57" t="s">
        <v>74</v>
      </c>
      <c r="H93" s="57" t="s">
        <v>341</v>
      </c>
      <c r="I93" s="57" t="s">
        <v>357</v>
      </c>
      <c r="J93" s="57" t="s">
        <v>358</v>
      </c>
      <c r="K93" s="67" t="s">
        <v>359</v>
      </c>
      <c r="L93" s="67" t="s">
        <v>345</v>
      </c>
      <c r="M93" s="67"/>
      <c r="N93" s="67" t="s">
        <v>346</v>
      </c>
      <c r="O93" s="67"/>
      <c r="P93" s="57" t="s">
        <v>177</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IF(N93="N/A – rule","N/A – RULE",IF(TRIM(U93)="N/A",IF(AT93=0,"INVALID – N/A not permitted for this mandatory check",IF(AND(TRIM(AC93)&lt;&gt;"",TRIM(AE93)&lt;&gt;"",TRIM(T93)&lt;&gt;""),"N/A – JUSTIFIED","INVALID – N/A needs justification, PIC and verifier")),IF(OR(TRIM(U93)="Pass",TRIM(U93)="Pass after CA"),IF(NOT(ISNUMBER(AD93)),"INVALID – completion time missing",IF(TRIM(T93)="","INVALID – PIC missing",IF(TRIM(Z93)="","INVALID – evidence missing",IF(TRIM(AE93)="","INVALID – verifier missing",IF(AND(AQ93=1,TRIM(W93)=""),"INVALID – batch ID missing",IF(AND(AR93=1,OR(NOT(ISNUMBER(X93)),NOT(ISNUMBER(Y93)))),"INVALID – expected/actual qty missing",IF(IF(AND(TRIM(U93)="Pass",ISNUMBER(AF93)),IF(AF93&lt;&gt;0,"INVALID – qty variance: use Fail or Pass after CA",""),"")&amp;IF(AND(TRIM(U93)="Pass",AB93="Open"),"INVALID – corrective action still open: use Fail, then Pass after CA","")&amp;IF(AND(TRIM(U93)="Pass after CA",OR(TRIM(AA93)="",AB93&lt;&gt;"Closed")),"INVALID – corrective action not recorded/closed","")&lt;&gt;"",IF(AND(TRIM(U93)="Pass",ISNUMBER(AF93)),IF(AF93&lt;&gt;0,"INVALID – qty variance: use Fail or Pass after CA",""),"")&amp;IF(AND(TRIM(U93)="Pass",AB93="Open"),"INVALID – corrective action still open: use Fail, then Pass after CA","")&amp;IF(AND(TRIM(U93)="Pass after CA",OR(TRIM(AA93)="",AB93&lt;&gt;"Closed")),"INVALID – corrective action not recorded/closed",""),IF(AND(AS93=1,Documents!$J$8&lt;&gt;"ON FILE"),"INVALID – GLD not on file (Documents sheet)",IF(AND(AS93=2,Documents!$O$8&lt;&gt;"ON FILE"),"INVALID – menu checklist not on file (Documents sheet)",IF(AND(AS93=3,NOT(ISNUMBER(Flights!$AX$8))),"INVALID – enter carrying flight KUL departure (Flights AX)",IF(AG93&gt;AsOfUTC,"INVALID – completion time is in the future",IF(AND(ISNUMBER(S93),AG93&lt;S93),IF(H93="Physical uplift","INVALID – before uplift window (cannot confirm loading)","INVALID – before valid window"),IF(AG93&gt;Flights!$AA$8,"INVALID – completed after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f>
        <v>OPEN</v>
      </c>
      <c r="AI93" s="61" t="n">
        <f aca="false">IF(OR(AH93="N/A – RULE",AH93="N/A – JUSTIFIED"),0,1)</f>
        <v>1</v>
      </c>
      <c r="AJ93" s="61" t="n">
        <f aca="false">IF(LEFT(AH93,8)="COMPLETE",1,0)</f>
        <v>0</v>
      </c>
      <c r="AK93" s="61" t="n">
        <f aca="false">IF(AND(AI93=1,AJ93=0,AsOfUTC&gt;Q93),1,0)</f>
        <v>0</v>
      </c>
      <c r="AL93" s="61" t="n">
        <f aca="false">IF(AND(AI93=1,OR(TRIM(U93)="Fail",AB93="Open",AND(ISNUMBER(AF93),AF93&lt;&gt;0,TRIM(U93)&lt;&gt;"Pass after CA"))),1,0)</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row>
    <row r="94" customFormat="false" ht="39.75" hidden="false" customHeight="true" outlineLevel="0" collapsed="false">
      <c r="A94" s="57" t="s">
        <v>548</v>
      </c>
      <c r="B94" s="57" t="s">
        <v>208</v>
      </c>
      <c r="C94" s="57" t="str">
        <f aca="false">Flights!$F$8</f>
        <v>MH0088</v>
      </c>
      <c r="D94" s="58" t="n">
        <f aca="false">Flights!$D$8</f>
        <v>46305</v>
      </c>
      <c r="E94" s="57" t="str">
        <f aca="false">Flights!$G$8&amp;"-"&amp;Flights!$H$8</f>
        <v>KUL-NRT</v>
      </c>
      <c r="F94" s="57" t="str">
        <f aca="false">Flights!$K$8</f>
        <v>BC</v>
      </c>
      <c r="G94" s="57" t="s">
        <v>74</v>
      </c>
      <c r="H94" s="57" t="s">
        <v>341</v>
      </c>
      <c r="I94" s="57" t="s">
        <v>361</v>
      </c>
      <c r="J94" s="57" t="s">
        <v>362</v>
      </c>
      <c r="K94" s="67" t="s">
        <v>363</v>
      </c>
      <c r="L94" s="67" t="s">
        <v>345</v>
      </c>
      <c r="M94" s="67"/>
      <c r="N94" s="67" t="s">
        <v>346</v>
      </c>
      <c r="O94" s="67"/>
      <c r="P94" s="57" t="s">
        <v>177</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IF(N94="N/A – rule","N/A – RULE",IF(TRIM(U94)="N/A",IF(AT94=0,"INVALID – N/A not permitted for this mandatory check",IF(AND(TRIM(AC94)&lt;&gt;"",TRIM(AE94)&lt;&gt;"",TRIM(T94)&lt;&gt;""),"N/A – JUSTIFIED","INVALID – N/A needs justification, PIC and verifier")),IF(OR(TRIM(U94)="Pass",TRIM(U94)="Pass after CA"),IF(NOT(ISNUMBER(AD94)),"INVALID – completion time missing",IF(TRIM(T94)="","INVALID – PIC missing",IF(TRIM(Z94)="","INVALID – evidence missing",IF(TRIM(AE94)="","INVALID – verifier missing",IF(AND(AQ94=1,TRIM(W94)=""),"INVALID – batch ID missing",IF(AND(AR94=1,OR(NOT(ISNUMBER(X94)),NOT(ISNUMBER(Y94)))),"INVALID – expected/actual qty missing",IF(IF(AND(TRIM(U94)="Pass",ISNUMBER(AF94)),IF(AF94&lt;&gt;0,"INVALID – qty variance: use Fail or Pass after CA",""),"")&amp;IF(AND(TRIM(U94)="Pass",AB94="Open"),"INVALID – corrective action still open: use Fail, then Pass after CA","")&amp;IF(AND(TRIM(U94)="Pass after CA",OR(TRIM(AA94)="",AB94&lt;&gt;"Closed")),"INVALID – corrective action not recorded/closed","")&lt;&gt;"",IF(AND(TRIM(U94)="Pass",ISNUMBER(AF94)),IF(AF94&lt;&gt;0,"INVALID – qty variance: use Fail or Pass after CA",""),"")&amp;IF(AND(TRIM(U94)="Pass",AB94="Open"),"INVALID – corrective action still open: use Fail, then Pass after CA","")&amp;IF(AND(TRIM(U94)="Pass after CA",OR(TRIM(AA94)="",AB94&lt;&gt;"Closed")),"INVALID – corrective action not recorded/closed",""),IF(AND(AS94=1,Documents!$J$8&lt;&gt;"ON FILE"),"INVALID – GLD not on file (Documents sheet)",IF(AND(AS94=2,Documents!$O$8&lt;&gt;"ON FILE"),"INVALID – menu checklist not on file (Documents sheet)",IF(AND(AS94=3,NOT(ISNUMBER(Flights!$AX$8))),"INVALID – enter carrying flight KUL departure (Flights AX)",IF(AG94&gt;AsOfUTC,"INVALID – completion time is in the future",IF(AND(ISNUMBER(S94),AG94&lt;S94),IF(H94="Physical uplift","INVALID – before uplift window (cannot confirm loading)","INVALID – before valid window"),IF(AG94&gt;Flights!$AA$8,"INVALID – completed after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f>
        <v>OPEN</v>
      </c>
      <c r="AI94" s="61" t="n">
        <f aca="false">IF(OR(AH94="N/A – RULE",AH94="N/A – JUSTIFIED"),0,1)</f>
        <v>1</v>
      </c>
      <c r="AJ94" s="61" t="n">
        <f aca="false">IF(LEFT(AH94,8)="COMPLETE",1,0)</f>
        <v>0</v>
      </c>
      <c r="AK94" s="61" t="n">
        <f aca="false">IF(AND(AI94=1,AJ94=0,AsOfUTC&gt;Q94),1,0)</f>
        <v>0</v>
      </c>
      <c r="AL94" s="61" t="n">
        <f aca="false">IF(AND(AI94=1,OR(TRIM(U94)="Fail",AB94="Open",AND(ISNUMBER(AF94),AF94&lt;&gt;0,TRIM(U94)&lt;&gt;"Pass after CA"))),1,0)</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row>
    <row r="95" customFormat="false" ht="39.75" hidden="false" customHeight="true" outlineLevel="0" collapsed="false">
      <c r="A95" s="57" t="s">
        <v>549</v>
      </c>
      <c r="B95" s="57" t="s">
        <v>208</v>
      </c>
      <c r="C95" s="57" t="str">
        <f aca="false">Flights!$F$8</f>
        <v>MH0088</v>
      </c>
      <c r="D95" s="58" t="n">
        <f aca="false">Flights!$D$8</f>
        <v>46305</v>
      </c>
      <c r="E95" s="57" t="str">
        <f aca="false">Flights!$G$8&amp;"-"&amp;Flights!$H$8</f>
        <v>KUL-NRT</v>
      </c>
      <c r="F95" s="57" t="str">
        <f aca="false">Flights!$K$8</f>
        <v>BC</v>
      </c>
      <c r="G95" s="57" t="s">
        <v>74</v>
      </c>
      <c r="H95" s="57" t="s">
        <v>341</v>
      </c>
      <c r="I95" s="57" t="s">
        <v>361</v>
      </c>
      <c r="J95" s="57" t="s">
        <v>365</v>
      </c>
      <c r="K95" s="67" t="s">
        <v>366</v>
      </c>
      <c r="L95" s="67" t="s">
        <v>345</v>
      </c>
      <c r="M95" s="67"/>
      <c r="N95" s="67" t="s">
        <v>346</v>
      </c>
      <c r="O95" s="67"/>
      <c r="P95" s="57" t="s">
        <v>177</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IF(N95="N/A – rule","N/A – RULE",IF(TRIM(U95)="N/A",IF(AT95=0,"INVALID – N/A not permitted for this mandatory check",IF(AND(TRIM(AC95)&lt;&gt;"",TRIM(AE95)&lt;&gt;"",TRIM(T95)&lt;&gt;""),"N/A – JUSTIFIED","INVALID – N/A needs justification, PIC and verifier")),IF(OR(TRIM(U95)="Pass",TRIM(U95)="Pass after CA"),IF(NOT(ISNUMBER(AD95)),"INVALID – completion time missing",IF(TRIM(T95)="","INVALID – PIC missing",IF(TRIM(Z95)="","INVALID – evidence missing",IF(TRIM(AE95)="","INVALID – verifier missing",IF(AND(AQ95=1,TRIM(W95)=""),"INVALID – batch ID missing",IF(AND(AR95=1,OR(NOT(ISNUMBER(X95)),NOT(ISNUMBER(Y95)))),"INVALID – expected/actual qty missing",IF(IF(AND(TRIM(U95)="Pass",ISNUMBER(AF95)),IF(AF95&lt;&gt;0,"INVALID – qty variance: use Fail or Pass after CA",""),"")&amp;IF(AND(TRIM(U95)="Pass",AB95="Open"),"INVALID – corrective action still open: use Fail, then Pass after CA","")&amp;IF(AND(TRIM(U95)="Pass after CA",OR(TRIM(AA95)="",AB95&lt;&gt;"Closed")),"INVALID – corrective action not recorded/closed","")&lt;&gt;"",IF(AND(TRIM(U95)="Pass",ISNUMBER(AF95)),IF(AF95&lt;&gt;0,"INVALID – qty variance: use Fail or Pass after CA",""),"")&amp;IF(AND(TRIM(U95)="Pass",AB95="Open"),"INVALID – corrective action still open: use Fail, then Pass after CA","")&amp;IF(AND(TRIM(U95)="Pass after CA",OR(TRIM(AA95)="",AB95&lt;&gt;"Closed")),"INVALID – corrective action not recorded/closed",""),IF(AND(AS95=1,Documents!$J$8&lt;&gt;"ON FILE"),"INVALID – GLD not on file (Documents sheet)",IF(AND(AS95=2,Documents!$O$8&lt;&gt;"ON FILE"),"INVALID – menu checklist not on file (Documents sheet)",IF(AND(AS95=3,NOT(ISNUMBER(Flights!$AX$8))),"INVALID – enter carrying flight KUL departure (Flights AX)",IF(AG95&gt;AsOfUTC,"INVALID – completion time is in the future",IF(AND(ISNUMBER(S95),AG95&lt;S95),IF(H95="Physical uplift","INVALID – before uplift window (cannot confirm loading)","INVALID – before valid window"),IF(AG95&gt;Flights!$AA$8,"INVALID – completed after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f>
        <v>OPEN</v>
      </c>
      <c r="AI95" s="61" t="n">
        <f aca="false">IF(OR(AH95="N/A – RULE",AH95="N/A – JUSTIFIED"),0,1)</f>
        <v>1</v>
      </c>
      <c r="AJ95" s="61" t="n">
        <f aca="false">IF(LEFT(AH95,8)="COMPLETE",1,0)</f>
        <v>0</v>
      </c>
      <c r="AK95" s="61" t="n">
        <f aca="false">IF(AND(AI95=1,AJ95=0,AsOfUTC&gt;Q95),1,0)</f>
        <v>0</v>
      </c>
      <c r="AL95" s="61" t="n">
        <f aca="false">IF(AND(AI95=1,OR(TRIM(U95)="Fail",AB95="Open",AND(ISNUMBER(AF95),AF95&lt;&gt;0,TRIM(U95)&lt;&gt;"Pass after CA"))),1,0)</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row>
    <row r="96" customFormat="false" ht="39.75" hidden="false" customHeight="true" outlineLevel="0" collapsed="false">
      <c r="A96" s="57" t="s">
        <v>550</v>
      </c>
      <c r="B96" s="57" t="s">
        <v>208</v>
      </c>
      <c r="C96" s="57" t="str">
        <f aca="false">Flights!$F$8</f>
        <v>MH0088</v>
      </c>
      <c r="D96" s="58" t="n">
        <f aca="false">Flights!$D$8</f>
        <v>46305</v>
      </c>
      <c r="E96" s="57" t="str">
        <f aca="false">Flights!$G$8&amp;"-"&amp;Flights!$H$8</f>
        <v>KUL-NRT</v>
      </c>
      <c r="F96" s="57" t="str">
        <f aca="false">Flights!$K$8</f>
        <v>BC</v>
      </c>
      <c r="G96" s="57" t="s">
        <v>74</v>
      </c>
      <c r="H96" s="57" t="s">
        <v>341</v>
      </c>
      <c r="I96" s="57" t="s">
        <v>368</v>
      </c>
      <c r="J96" s="57" t="s">
        <v>369</v>
      </c>
      <c r="K96" s="67" t="s">
        <v>370</v>
      </c>
      <c r="L96" s="67" t="s">
        <v>345</v>
      </c>
      <c r="M96" s="67"/>
      <c r="N96" s="67" t="s">
        <v>346</v>
      </c>
      <c r="O96" s="67"/>
      <c r="P96" s="57" t="s">
        <v>177</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IF(N96="N/A – rule","N/A – RULE",IF(TRIM(U96)="N/A",IF(AT96=0,"INVALID – N/A not permitted for this mandatory check",IF(AND(TRIM(AC96)&lt;&gt;"",TRIM(AE96)&lt;&gt;"",TRIM(T96)&lt;&gt;""),"N/A – JUSTIFIED","INVALID – N/A needs justification, PIC and verifier")),IF(OR(TRIM(U96)="Pass",TRIM(U96)="Pass after CA"),IF(NOT(ISNUMBER(AD96)),"INVALID – completion time missing",IF(TRIM(T96)="","INVALID – PIC missing",IF(TRIM(Z96)="","INVALID – evidence missing",IF(TRIM(AE96)="","INVALID – verifier missing",IF(AND(AQ96=1,TRIM(W96)=""),"INVALID – batch ID missing",IF(AND(AR96=1,OR(NOT(ISNUMBER(X96)),NOT(ISNUMBER(Y96)))),"INVALID – expected/actual qty missing",IF(IF(AND(TRIM(U96)="Pass",ISNUMBER(AF96)),IF(AF96&lt;&gt;0,"INVALID – qty variance: use Fail or Pass after CA",""),"")&amp;IF(AND(TRIM(U96)="Pass",AB96="Open"),"INVALID – corrective action still open: use Fail, then Pass after CA","")&amp;IF(AND(TRIM(U96)="Pass after CA",OR(TRIM(AA96)="",AB96&lt;&gt;"Closed")),"INVALID – corrective action not recorded/closed","")&lt;&gt;"",IF(AND(TRIM(U96)="Pass",ISNUMBER(AF96)),IF(AF96&lt;&gt;0,"INVALID – qty variance: use Fail or Pass after CA",""),"")&amp;IF(AND(TRIM(U96)="Pass",AB96="Open"),"INVALID – corrective action still open: use Fail, then Pass after CA","")&amp;IF(AND(TRIM(U96)="Pass after CA",OR(TRIM(AA96)="",AB96&lt;&gt;"Closed")),"INVALID – corrective action not recorded/closed",""),IF(AND(AS96=1,Documents!$J$8&lt;&gt;"ON FILE"),"INVALID – GLD not on file (Documents sheet)",IF(AND(AS96=2,Documents!$O$8&lt;&gt;"ON FILE"),"INVALID – menu checklist not on file (Documents sheet)",IF(AND(AS96=3,NOT(ISNUMBER(Flights!$AX$8))),"INVALID – enter carrying flight KUL departure (Flights AX)",IF(AG96&gt;AsOfUTC,"INVALID – completion time is in the future",IF(AND(ISNUMBER(S96),AG96&lt;S96),IF(H96="Physical uplift","INVALID – before uplift window (cannot confirm loading)","INVALID – before valid window"),IF(AG96&gt;Flights!$AA$8,"INVALID – completed after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f>
        <v>OPEN</v>
      </c>
      <c r="AI96" s="61" t="n">
        <f aca="false">IF(OR(AH96="N/A – RULE",AH96="N/A – JUSTIFIED"),0,1)</f>
        <v>1</v>
      </c>
      <c r="AJ96" s="61" t="n">
        <f aca="false">IF(LEFT(AH96,8)="COMPLETE",1,0)</f>
        <v>0</v>
      </c>
      <c r="AK96" s="61" t="n">
        <f aca="false">IF(AND(AI96=1,AJ96=0,AsOfUTC&gt;Q96),1,0)</f>
        <v>0</v>
      </c>
      <c r="AL96" s="61" t="n">
        <f aca="false">IF(AND(AI96=1,OR(TRIM(U96)="Fail",AB96="Open",AND(ISNUMBER(AF96),AF96&lt;&gt;0,TRIM(U96)&lt;&gt;"Pass after CA"))),1,0)</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row>
    <row r="97" customFormat="false" ht="39.75" hidden="false" customHeight="true" outlineLevel="0" collapsed="false">
      <c r="A97" s="57" t="s">
        <v>551</v>
      </c>
      <c r="B97" s="57" t="s">
        <v>208</v>
      </c>
      <c r="C97" s="57" t="str">
        <f aca="false">Flights!$F$8</f>
        <v>MH0088</v>
      </c>
      <c r="D97" s="58" t="n">
        <f aca="false">Flights!$D$8</f>
        <v>46305</v>
      </c>
      <c r="E97" s="57" t="str">
        <f aca="false">Flights!$G$8&amp;"-"&amp;Flights!$H$8</f>
        <v>KUL-NRT</v>
      </c>
      <c r="F97" s="57" t="str">
        <f aca="false">Flights!$K$8</f>
        <v>BC</v>
      </c>
      <c r="G97" s="57" t="s">
        <v>74</v>
      </c>
      <c r="H97" s="57" t="s">
        <v>341</v>
      </c>
      <c r="I97" s="57" t="s">
        <v>368</v>
      </c>
      <c r="J97" s="57" t="s">
        <v>372</v>
      </c>
      <c r="K97" s="67" t="s">
        <v>370</v>
      </c>
      <c r="L97" s="67" t="s">
        <v>345</v>
      </c>
      <c r="M97" s="67"/>
      <c r="N97" s="67" t="s">
        <v>346</v>
      </c>
      <c r="O97" s="67"/>
      <c r="P97" s="57" t="s">
        <v>177</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IF(N97="N/A – rule","N/A – RULE",IF(TRIM(U97)="N/A",IF(AT97=0,"INVALID – N/A not permitted for this mandatory check",IF(AND(TRIM(AC97)&lt;&gt;"",TRIM(AE97)&lt;&gt;"",TRIM(T97)&lt;&gt;""),"N/A – JUSTIFIED","INVALID – N/A needs justification, PIC and verifier")),IF(OR(TRIM(U97)="Pass",TRIM(U97)="Pass after CA"),IF(NOT(ISNUMBER(AD97)),"INVALID – completion time missing",IF(TRIM(T97)="","INVALID – PIC missing",IF(TRIM(Z97)="","INVALID – evidence missing",IF(TRIM(AE97)="","INVALID – verifier missing",IF(AND(AQ97=1,TRIM(W97)=""),"INVALID – batch ID missing",IF(AND(AR97=1,OR(NOT(ISNUMBER(X97)),NOT(ISNUMBER(Y97)))),"INVALID – expected/actual qty missing",IF(IF(AND(TRIM(U97)="Pass",ISNUMBER(AF97)),IF(AF97&lt;&gt;0,"INVALID – qty variance: use Fail or Pass after CA",""),"")&amp;IF(AND(TRIM(U97)="Pass",AB97="Open"),"INVALID – corrective action still open: use Fail, then Pass after CA","")&amp;IF(AND(TRIM(U97)="Pass after CA",OR(TRIM(AA97)="",AB97&lt;&gt;"Closed")),"INVALID – corrective action not recorded/closed","")&lt;&gt;"",IF(AND(TRIM(U97)="Pass",ISNUMBER(AF97)),IF(AF97&lt;&gt;0,"INVALID – qty variance: use Fail or Pass after CA",""),"")&amp;IF(AND(TRIM(U97)="Pass",AB97="Open"),"INVALID – corrective action still open: use Fail, then Pass after CA","")&amp;IF(AND(TRIM(U97)="Pass after CA",OR(TRIM(AA97)="",AB97&lt;&gt;"Closed")),"INVALID – corrective action not recorded/closed",""),IF(AND(AS97=1,Documents!$J$8&lt;&gt;"ON FILE"),"INVALID – GLD not on file (Documents sheet)",IF(AND(AS97=2,Documents!$O$8&lt;&gt;"ON FILE"),"INVALID – menu checklist not on file (Documents sheet)",IF(AND(AS97=3,NOT(ISNUMBER(Flights!$AX$8))),"INVALID – enter carrying flight KUL departure (Flights AX)",IF(AG97&gt;AsOfUTC,"INVALID – completion time is in the future",IF(AND(ISNUMBER(S97),AG97&lt;S97),IF(H97="Physical uplift","INVALID – before uplift window (cannot confirm loading)","INVALID – before valid window"),IF(AG97&gt;Flights!$AA$8,"INVALID – completed after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f>
        <v>OPEN</v>
      </c>
      <c r="AI97" s="61" t="n">
        <f aca="false">IF(OR(AH97="N/A – RULE",AH97="N/A – JUSTIFIED"),0,1)</f>
        <v>1</v>
      </c>
      <c r="AJ97" s="61" t="n">
        <f aca="false">IF(LEFT(AH97,8)="COMPLETE",1,0)</f>
        <v>0</v>
      </c>
      <c r="AK97" s="61" t="n">
        <f aca="false">IF(AND(AI97=1,AJ97=0,AsOfUTC&gt;Q97),1,0)</f>
        <v>0</v>
      </c>
      <c r="AL97" s="61" t="n">
        <f aca="false">IF(AND(AI97=1,OR(TRIM(U97)="Fail",AB97="Open",AND(ISNUMBER(AF97),AF97&lt;&gt;0,TRIM(U97)&lt;&gt;"Pass after CA"))),1,0)</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row>
    <row r="98" customFormat="false" ht="39.75" hidden="false" customHeight="true" outlineLevel="0" collapsed="false">
      <c r="A98" s="57" t="s">
        <v>552</v>
      </c>
      <c r="B98" s="57" t="s">
        <v>208</v>
      </c>
      <c r="C98" s="57" t="str">
        <f aca="false">Flights!$F$8</f>
        <v>MH0088</v>
      </c>
      <c r="D98" s="58" t="n">
        <f aca="false">Flights!$D$8</f>
        <v>46305</v>
      </c>
      <c r="E98" s="57" t="str">
        <f aca="false">Flights!$G$8&amp;"-"&amp;Flights!$H$8</f>
        <v>KUL-NRT</v>
      </c>
      <c r="F98" s="57" t="str">
        <f aca="false">Flights!$K$8</f>
        <v>BC</v>
      </c>
      <c r="G98" s="57" t="s">
        <v>74</v>
      </c>
      <c r="H98" s="57" t="s">
        <v>341</v>
      </c>
      <c r="I98" s="57" t="s">
        <v>374</v>
      </c>
      <c r="J98" s="57" t="s">
        <v>375</v>
      </c>
      <c r="K98" s="67" t="s">
        <v>553</v>
      </c>
      <c r="L98" s="67" t="s">
        <v>554</v>
      </c>
      <c r="M98" s="67"/>
      <c r="N98" s="67" t="s">
        <v>346</v>
      </c>
      <c r="O98" s="67"/>
      <c r="P98" s="57" t="s">
        <v>177</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IF(N98="N/A – rule","N/A – RULE",IF(TRIM(U98)="N/A",IF(AT98=0,"INVALID – N/A not permitted for this mandatory check",IF(AND(TRIM(AC98)&lt;&gt;"",TRIM(AE98)&lt;&gt;"",TRIM(T98)&lt;&gt;""),"N/A – JUSTIFIED","INVALID – N/A needs justification, PIC and verifier")),IF(OR(TRIM(U98)="Pass",TRIM(U98)="Pass after CA"),IF(NOT(ISNUMBER(AD98)),"INVALID – completion time missing",IF(TRIM(T98)="","INVALID – PIC missing",IF(TRIM(Z98)="","INVALID – evidence missing",IF(TRIM(AE98)="","INVALID – verifier missing",IF(AND(AQ98=1,TRIM(W98)=""),"INVALID – batch ID missing",IF(AND(AR98=1,OR(NOT(ISNUMBER(X98)),NOT(ISNUMBER(Y98)))),"INVALID – expected/actual qty missing",IF(IF(AND(TRIM(U98)="Pass",ISNUMBER(AF98)),IF(AF98&lt;&gt;0,"INVALID – qty variance: use Fail or Pass after CA",""),"")&amp;IF(AND(TRIM(U98)="Pass",AB98="Open"),"INVALID – corrective action still open: use Fail, then Pass after CA","")&amp;IF(AND(TRIM(U98)="Pass after CA",OR(TRIM(AA98)="",AB98&lt;&gt;"Closed")),"INVALID – corrective action not recorded/closed","")&lt;&gt;"",IF(AND(TRIM(U98)="Pass",ISNUMBER(AF98)),IF(AF98&lt;&gt;0,"INVALID – qty variance: use Fail or Pass after CA",""),"")&amp;IF(AND(TRIM(U98)="Pass",AB98="Open"),"INVALID – corrective action still open: use Fail, then Pass after CA","")&amp;IF(AND(TRIM(U98)="Pass after CA",OR(TRIM(AA98)="",AB98&lt;&gt;"Closed")),"INVALID – corrective action not recorded/closed",""),IF(AND(AS98=1,Documents!$J$8&lt;&gt;"ON FILE"),"INVALID – GLD not on file (Documents sheet)",IF(AND(AS98=2,Documents!$O$8&lt;&gt;"ON FILE"),"INVALID – menu checklist not on file (Documents sheet)",IF(AND(AS98=3,NOT(ISNUMBER(Flights!$AX$8))),"INVALID – enter carrying flight KUL departure (Flights AX)",IF(AG98&gt;AsOfUTC,"INVALID – completion time is in the future",IF(AND(ISNUMBER(S98),AG98&lt;S98),IF(H98="Physical uplift","INVALID – before uplift window (cannot confirm loading)","INVALID – before valid window"),IF(AG98&gt;Flights!$AA$8,"INVALID – completed after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f>
        <v>OPEN</v>
      </c>
      <c r="AI98" s="61" t="n">
        <f aca="false">IF(OR(AH98="N/A – RULE",AH98="N/A – JUSTIFIED"),0,1)</f>
        <v>1</v>
      </c>
      <c r="AJ98" s="61" t="n">
        <f aca="false">IF(LEFT(AH98,8)="COMPLETE",1,0)</f>
        <v>0</v>
      </c>
      <c r="AK98" s="61" t="n">
        <f aca="false">IF(AND(AI98=1,AJ98=0,AsOfUTC&gt;Q98),1,0)</f>
        <v>0</v>
      </c>
      <c r="AL98" s="61" t="n">
        <f aca="false">IF(AND(AI98=1,OR(TRIM(U98)="Fail",AB98="Open",AND(ISNUMBER(AF98),AF98&lt;&gt;0,TRIM(U98)&lt;&gt;"Pass after CA"))),1,0)</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row>
    <row r="99" customFormat="false" ht="39.75" hidden="false" customHeight="true" outlineLevel="0" collapsed="false">
      <c r="A99" s="57" t="s">
        <v>555</v>
      </c>
      <c r="B99" s="57" t="s">
        <v>208</v>
      </c>
      <c r="C99" s="57" t="str">
        <f aca="false">Flights!$F$8</f>
        <v>MH0088</v>
      </c>
      <c r="D99" s="58" t="n">
        <f aca="false">Flights!$D$8</f>
        <v>46305</v>
      </c>
      <c r="E99" s="57" t="str">
        <f aca="false">Flights!$G$8&amp;"-"&amp;Flights!$H$8</f>
        <v>KUL-NRT</v>
      </c>
      <c r="F99" s="57" t="str">
        <f aca="false">Flights!$K$8</f>
        <v>BC</v>
      </c>
      <c r="G99" s="57" t="s">
        <v>76</v>
      </c>
      <c r="H99" s="57" t="s">
        <v>341</v>
      </c>
      <c r="I99" s="57" t="s">
        <v>342</v>
      </c>
      <c r="J99" s="57" t="s">
        <v>379</v>
      </c>
      <c r="K99" s="67" t="s">
        <v>380</v>
      </c>
      <c r="L99" s="67" t="s">
        <v>381</v>
      </c>
      <c r="M99" s="67"/>
      <c r="N99" s="67" t="s">
        <v>346</v>
      </c>
      <c r="O99" s="67"/>
      <c r="P99" s="57" t="s">
        <v>177</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IF(N99="N/A – rule","N/A – RULE",IF(TRIM(U99)="N/A",IF(AT99=0,"INVALID – N/A not permitted for this mandatory check",IF(AND(TRIM(AC99)&lt;&gt;"",TRIM(AE99)&lt;&gt;"",TRIM(T99)&lt;&gt;""),"N/A – JUSTIFIED","INVALID – N/A needs justification, PIC and verifier")),IF(OR(TRIM(U99)="Pass",TRIM(U99)="Pass after CA"),IF(NOT(ISNUMBER(AD99)),"INVALID – completion time missing",IF(TRIM(T99)="","INVALID – PIC missing",IF(TRIM(Z99)="","INVALID – evidence missing",IF(TRIM(AE99)="","INVALID – verifier missing",IF(AND(AQ99=1,TRIM(W99)=""),"INVALID – batch ID missing",IF(AND(AR99=1,OR(NOT(ISNUMBER(X99)),NOT(ISNUMBER(Y99)))),"INVALID – expected/actual qty missing",IF(IF(AND(TRIM(U99)="Pass",ISNUMBER(AF99)),IF(AF99&lt;&gt;0,"INVALID – qty variance: use Fail or Pass after CA",""),"")&amp;IF(AND(TRIM(U99)="Pass",AB99="Open"),"INVALID – corrective action still open: use Fail, then Pass after CA","")&amp;IF(AND(TRIM(U99)="Pass after CA",OR(TRIM(AA99)="",AB99&lt;&gt;"Closed")),"INVALID – corrective action not recorded/closed","")&lt;&gt;"",IF(AND(TRIM(U99)="Pass",ISNUMBER(AF99)),IF(AF99&lt;&gt;0,"INVALID – qty variance: use Fail or Pass after CA",""),"")&amp;IF(AND(TRIM(U99)="Pass",AB99="Open"),"INVALID – corrective action still open: use Fail, then Pass after CA","")&amp;IF(AND(TRIM(U99)="Pass after CA",OR(TRIM(AA99)="",AB99&lt;&gt;"Closed")),"INVALID – corrective action not recorded/closed",""),IF(AND(AS99=1,Documents!$J$8&lt;&gt;"ON FILE"),"INVALID – GLD not on file (Documents sheet)",IF(AND(AS99=2,Documents!$O$8&lt;&gt;"ON FILE"),"INVALID – menu checklist not on file (Documents sheet)",IF(AND(AS99=3,NOT(ISNUMBER(Flights!$AX$8))),"INVALID – enter carrying flight KUL departure (Flights AX)",IF(AG99&gt;AsOfUTC,"INVALID – completion time is in the future",IF(AND(ISNUMBER(S99),AG99&lt;S99),IF(H99="Physical uplift","INVALID – before uplift window (cannot confirm loading)","INVALID – before valid window"),IF(AG99&gt;Flights!$AA$8,"INVALID – completed after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f>
        <v>OPEN</v>
      </c>
      <c r="AI99" s="61" t="n">
        <f aca="false">IF(OR(AH99="N/A – RULE",AH99="N/A – JUSTIFIED"),0,1)</f>
        <v>1</v>
      </c>
      <c r="AJ99" s="61" t="n">
        <f aca="false">IF(LEFT(AH99,8)="COMPLETE",1,0)</f>
        <v>0</v>
      </c>
      <c r="AK99" s="61" t="n">
        <f aca="false">IF(AND(AI99=1,AJ99=0,AsOfUTC&gt;Q99),1,0)</f>
        <v>0</v>
      </c>
      <c r="AL99" s="61" t="n">
        <f aca="false">IF(AND(AI99=1,OR(TRIM(U99)="Fail",AB99="Open",AND(ISNUMBER(AF99),AF99&lt;&gt;0,TRIM(U99)&lt;&gt;"Pass after CA"))),1,0)</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row>
    <row r="100" customFormat="false" ht="39.75" hidden="false" customHeight="true" outlineLevel="0" collapsed="false">
      <c r="A100" s="57" t="s">
        <v>556</v>
      </c>
      <c r="B100" s="57" t="s">
        <v>208</v>
      </c>
      <c r="C100" s="57" t="str">
        <f aca="false">Flights!$F$8</f>
        <v>MH0088</v>
      </c>
      <c r="D100" s="58" t="n">
        <f aca="false">Flights!$D$8</f>
        <v>46305</v>
      </c>
      <c r="E100" s="57" t="str">
        <f aca="false">Flights!$G$8&amp;"-"&amp;Flights!$H$8</f>
        <v>KUL-NRT</v>
      </c>
      <c r="F100" s="57" t="str">
        <f aca="false">Flights!$K$8</f>
        <v>BC</v>
      </c>
      <c r="G100" s="57" t="s">
        <v>383</v>
      </c>
      <c r="H100" s="57" t="s">
        <v>341</v>
      </c>
      <c r="I100" s="57" t="s">
        <v>342</v>
      </c>
      <c r="J100" s="57" t="s">
        <v>384</v>
      </c>
      <c r="K100" s="67"/>
      <c r="L100" s="67" t="s">
        <v>385</v>
      </c>
      <c r="M100" s="67"/>
      <c r="N100" s="67" t="s">
        <v>346</v>
      </c>
      <c r="O100" s="67" t="s">
        <v>386</v>
      </c>
      <c r="P100" s="57" t="s">
        <v>177</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IF(N100="N/A – rule","N/A – RULE",IF(TRIM(U100)="N/A",IF(AT100=0,"INVALID – N/A not permitted for this mandatory check",IF(AND(TRIM(AC100)&lt;&gt;"",TRIM(AE100)&lt;&gt;"",TRIM(T100)&lt;&gt;""),"N/A – JUSTIFIED","INVALID – N/A needs justification, PIC and verifier")),IF(OR(TRIM(U100)="Pass",TRIM(U100)="Pass after CA"),IF(NOT(ISNUMBER(AD100)),"INVALID – completion time missing",IF(TRIM(T100)="","INVALID – PIC missing",IF(TRIM(Z100)="","INVALID – evidence missing",IF(TRIM(AE100)="","INVALID – verifier missing",IF(AND(AQ100=1,TRIM(W100)=""),"INVALID – batch ID missing",IF(AND(AR100=1,OR(NOT(ISNUMBER(X100)),NOT(ISNUMBER(Y100)))),"INVALID – expected/actual qty missing",IF(IF(AND(TRIM(U100)="Pass",ISNUMBER(AF100)),IF(AF100&lt;&gt;0,"INVALID – qty variance: use Fail or Pass after CA",""),"")&amp;IF(AND(TRIM(U100)="Pass",AB100="Open"),"INVALID – corrective action still open: use Fail, then Pass after CA","")&amp;IF(AND(TRIM(U100)="Pass after CA",OR(TRIM(AA100)="",AB100&lt;&gt;"Closed")),"INVALID – corrective action not recorded/closed","")&lt;&gt;"",IF(AND(TRIM(U100)="Pass",ISNUMBER(AF100)),IF(AF100&lt;&gt;0,"INVALID – qty variance: use Fail or Pass after CA",""),"")&amp;IF(AND(TRIM(U100)="Pass",AB100="Open"),"INVALID – corrective action still open: use Fail, then Pass after CA","")&amp;IF(AND(TRIM(U100)="Pass after CA",OR(TRIM(AA100)="",AB100&lt;&gt;"Closed")),"INVALID – corrective action not recorded/closed",""),IF(AND(AS100=1,Documents!$J$8&lt;&gt;"ON FILE"),"INVALID – GLD not on file (Documents sheet)",IF(AND(AS100=2,Documents!$O$8&lt;&gt;"ON FILE"),"INVALID – menu checklist not on file (Documents sheet)",IF(AND(AS100=3,NOT(ISNUMBER(Flights!$AX$8))),"INVALID – enter carrying flight KUL departure (Flights AX)",IF(AG100&gt;AsOfUTC,"INVALID – completion time is in the future",IF(AND(ISNUMBER(S100),AG100&lt;S100),IF(H100="Physical uplift","INVALID – before uplift window (cannot confirm loading)","INVALID – before valid window"),IF(AG100&gt;Flights!$AA$8,"INVALID – completed after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f>
        <v>OPEN</v>
      </c>
      <c r="AI100" s="61" t="n">
        <f aca="false">IF(OR(AH100="N/A – RULE",AH100="N/A – JUSTIFIED"),0,1)</f>
        <v>1</v>
      </c>
      <c r="AJ100" s="61" t="n">
        <f aca="false">IF(LEFT(AH100,8)="COMPLETE",1,0)</f>
        <v>0</v>
      </c>
      <c r="AK100" s="61" t="n">
        <f aca="false">IF(AND(AI100=1,AJ100=0,AsOfUTC&gt;Q100),1,0)</f>
        <v>0</v>
      </c>
      <c r="AL100" s="61" t="n">
        <f aca="false">IF(AND(AI100=1,OR(TRIM(U100)="Fail",AB100="Open",AND(ISNUMBER(AF100),AF100&lt;&gt;0,TRIM(U100)&lt;&gt;"Pass after CA"))),1,0)</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row>
    <row r="101" customFormat="false" ht="39.75" hidden="false" customHeight="true" outlineLevel="0" collapsed="false">
      <c r="A101" s="57" t="s">
        <v>557</v>
      </c>
      <c r="B101" s="57" t="s">
        <v>208</v>
      </c>
      <c r="C101" s="57" t="str">
        <f aca="false">Flights!$F$8</f>
        <v>MH0088</v>
      </c>
      <c r="D101" s="58" t="n">
        <f aca="false">Flights!$D$8</f>
        <v>46305</v>
      </c>
      <c r="E101" s="57" t="str">
        <f aca="false">Flights!$G$8&amp;"-"&amp;Flights!$H$8</f>
        <v>KUL-NRT</v>
      </c>
      <c r="F101" s="57" t="str">
        <f aca="false">Flights!$K$8</f>
        <v>BC</v>
      </c>
      <c r="G101" s="57" t="s">
        <v>383</v>
      </c>
      <c r="H101" s="57" t="s">
        <v>341</v>
      </c>
      <c r="I101" s="57" t="s">
        <v>342</v>
      </c>
      <c r="J101" s="57" t="s">
        <v>388</v>
      </c>
      <c r="K101" s="67" t="s">
        <v>389</v>
      </c>
      <c r="L101" s="67" t="s">
        <v>385</v>
      </c>
      <c r="M101" s="67"/>
      <c r="N101" s="67" t="s">
        <v>346</v>
      </c>
      <c r="O101" s="67" t="s">
        <v>386</v>
      </c>
      <c r="P101" s="57" t="s">
        <v>177</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IF(N101="N/A – rule","N/A – RULE",IF(TRIM(U101)="N/A",IF(AT101=0,"INVALID – N/A not permitted for this mandatory check",IF(AND(TRIM(AC101)&lt;&gt;"",TRIM(AE101)&lt;&gt;"",TRIM(T101)&lt;&gt;""),"N/A – JUSTIFIED","INVALID – N/A needs justification, PIC and verifier")),IF(OR(TRIM(U101)="Pass",TRIM(U101)="Pass after CA"),IF(NOT(ISNUMBER(AD101)),"INVALID – completion time missing",IF(TRIM(T101)="","INVALID – PIC missing",IF(TRIM(Z101)="","INVALID – evidence missing",IF(TRIM(AE101)="","INVALID – verifier missing",IF(AND(AQ101=1,TRIM(W101)=""),"INVALID – batch ID missing",IF(AND(AR101=1,OR(NOT(ISNUMBER(X101)),NOT(ISNUMBER(Y101)))),"INVALID – expected/actual qty missing",IF(IF(AND(TRIM(U101)="Pass",ISNUMBER(AF101)),IF(AF101&lt;&gt;0,"INVALID – qty variance: use Fail or Pass after CA",""),"")&amp;IF(AND(TRIM(U101)="Pass",AB101="Open"),"INVALID – corrective action still open: use Fail, then Pass after CA","")&amp;IF(AND(TRIM(U101)="Pass after CA",OR(TRIM(AA101)="",AB101&lt;&gt;"Closed")),"INVALID – corrective action not recorded/closed","")&lt;&gt;"",IF(AND(TRIM(U101)="Pass",ISNUMBER(AF101)),IF(AF101&lt;&gt;0,"INVALID – qty variance: use Fail or Pass after CA",""),"")&amp;IF(AND(TRIM(U101)="Pass",AB101="Open"),"INVALID – corrective action still open: use Fail, then Pass after CA","")&amp;IF(AND(TRIM(U101)="Pass after CA",OR(TRIM(AA101)="",AB101&lt;&gt;"Closed")),"INVALID – corrective action not recorded/closed",""),IF(AND(AS101=1,Documents!$J$8&lt;&gt;"ON FILE"),"INVALID – GLD not on file (Documents sheet)",IF(AND(AS101=2,Documents!$O$8&lt;&gt;"ON FILE"),"INVALID – menu checklist not on file (Documents sheet)",IF(AND(AS101=3,NOT(ISNUMBER(Flights!$AX$8))),"INVALID – enter carrying flight KUL departure (Flights AX)",IF(AG101&gt;AsOfUTC,"INVALID – completion time is in the future",IF(AND(ISNUMBER(S101),AG101&lt;S101),IF(H101="Physical uplift","INVALID – before uplift window (cannot confirm loading)","INVALID – before valid window"),IF(AG101&gt;Flights!$AA$8,"INVALID – completed after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f>
        <v>OPEN</v>
      </c>
      <c r="AI101" s="61" t="n">
        <f aca="false">IF(OR(AH101="N/A – RULE",AH101="N/A – JUSTIFIED"),0,1)</f>
        <v>1</v>
      </c>
      <c r="AJ101" s="61" t="n">
        <f aca="false">IF(LEFT(AH101,8)="COMPLETE",1,0)</f>
        <v>0</v>
      </c>
      <c r="AK101" s="61" t="n">
        <f aca="false">IF(AND(AI101=1,AJ101=0,AsOfUTC&gt;Q101),1,0)</f>
        <v>0</v>
      </c>
      <c r="AL101" s="61" t="n">
        <f aca="false">IF(AND(AI101=1,OR(TRIM(U101)="Fail",AB101="Open",AND(ISNUMBER(AF101),AF101&lt;&gt;0,TRIM(U101)&lt;&gt;"Pass after CA"))),1,0)</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row>
    <row r="102" customFormat="false" ht="39.75" hidden="false" customHeight="true" outlineLevel="0" collapsed="false">
      <c r="A102" s="57" t="s">
        <v>558</v>
      </c>
      <c r="B102" s="57" t="s">
        <v>208</v>
      </c>
      <c r="C102" s="57" t="str">
        <f aca="false">Flights!$F$8</f>
        <v>MH0088</v>
      </c>
      <c r="D102" s="58" t="n">
        <f aca="false">Flights!$D$8</f>
        <v>46305</v>
      </c>
      <c r="E102" s="57" t="str">
        <f aca="false">Flights!$G$8&amp;"-"&amp;Flights!$H$8</f>
        <v>KUL-NRT</v>
      </c>
      <c r="F102" s="57" t="str">
        <f aca="false">Flights!$K$8</f>
        <v>BC</v>
      </c>
      <c r="G102" s="57" t="s">
        <v>383</v>
      </c>
      <c r="H102" s="57" t="s">
        <v>341</v>
      </c>
      <c r="I102" s="57" t="s">
        <v>391</v>
      </c>
      <c r="J102" s="57" t="s">
        <v>392</v>
      </c>
      <c r="K102" s="67"/>
      <c r="L102" s="67" t="s">
        <v>385</v>
      </c>
      <c r="M102" s="67"/>
      <c r="N102" s="67" t="s">
        <v>346</v>
      </c>
      <c r="O102" s="67" t="s">
        <v>386</v>
      </c>
      <c r="P102" s="57" t="s">
        <v>177</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IF(N102="N/A – rule","N/A – RULE",IF(TRIM(U102)="N/A",IF(AT102=0,"INVALID – N/A not permitted for this mandatory check",IF(AND(TRIM(AC102)&lt;&gt;"",TRIM(AE102)&lt;&gt;"",TRIM(T102)&lt;&gt;""),"N/A – JUSTIFIED","INVALID – N/A needs justification, PIC and verifier")),IF(OR(TRIM(U102)="Pass",TRIM(U102)="Pass after CA"),IF(NOT(ISNUMBER(AD102)),"INVALID – completion time missing",IF(TRIM(T102)="","INVALID – PIC missing",IF(TRIM(Z102)="","INVALID – evidence missing",IF(TRIM(AE102)="","INVALID – verifier missing",IF(AND(AQ102=1,TRIM(W102)=""),"INVALID – batch ID missing",IF(AND(AR102=1,OR(NOT(ISNUMBER(X102)),NOT(ISNUMBER(Y102)))),"INVALID – expected/actual qty missing",IF(IF(AND(TRIM(U102)="Pass",ISNUMBER(AF102)),IF(AF102&lt;&gt;0,"INVALID – qty variance: use Fail or Pass after CA",""),"")&amp;IF(AND(TRIM(U102)="Pass",AB102="Open"),"INVALID – corrective action still open: use Fail, then Pass after CA","")&amp;IF(AND(TRIM(U102)="Pass after CA",OR(TRIM(AA102)="",AB102&lt;&gt;"Closed")),"INVALID – corrective action not recorded/closed","")&lt;&gt;"",IF(AND(TRIM(U102)="Pass",ISNUMBER(AF102)),IF(AF102&lt;&gt;0,"INVALID – qty variance: use Fail or Pass after CA",""),"")&amp;IF(AND(TRIM(U102)="Pass",AB102="Open"),"INVALID – corrective action still open: use Fail, then Pass after CA","")&amp;IF(AND(TRIM(U102)="Pass after CA",OR(TRIM(AA102)="",AB102&lt;&gt;"Closed")),"INVALID – corrective action not recorded/closed",""),IF(AND(AS102=1,Documents!$J$8&lt;&gt;"ON FILE"),"INVALID – GLD not on file (Documents sheet)",IF(AND(AS102=2,Documents!$O$8&lt;&gt;"ON FILE"),"INVALID – menu checklist not on file (Documents sheet)",IF(AND(AS102=3,NOT(ISNUMBER(Flights!$AX$8))),"INVALID – enter carrying flight KUL departure (Flights AX)",IF(AG102&gt;AsOfUTC,"INVALID – completion time is in the future",IF(AND(ISNUMBER(S102),AG102&lt;S102),IF(H102="Physical uplift","INVALID – before uplift window (cannot confirm loading)","INVALID – before valid window"),IF(AG102&gt;Flights!$AA$8,"INVALID – completed after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f>
        <v>OPEN</v>
      </c>
      <c r="AI102" s="61" t="n">
        <f aca="false">IF(OR(AH102="N/A – RULE",AH102="N/A – JUSTIFIED"),0,1)</f>
        <v>1</v>
      </c>
      <c r="AJ102" s="61" t="n">
        <f aca="false">IF(LEFT(AH102,8)="COMPLETE",1,0)</f>
        <v>0</v>
      </c>
      <c r="AK102" s="61" t="n">
        <f aca="false">IF(AND(AI102=1,AJ102=0,AsOfUTC&gt;Q102),1,0)</f>
        <v>0</v>
      </c>
      <c r="AL102" s="61" t="n">
        <f aca="false">IF(AND(AI102=1,OR(TRIM(U102)="Fail",AB102="Open",AND(ISNUMBER(AF102),AF102&lt;&gt;0,TRIM(U102)&lt;&gt;"Pass after CA"))),1,0)</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row>
    <row r="103" customFormat="false" ht="39.75" hidden="false" customHeight="true" outlineLevel="0" collapsed="false">
      <c r="A103" s="57" t="s">
        <v>559</v>
      </c>
      <c r="B103" s="57" t="s">
        <v>208</v>
      </c>
      <c r="C103" s="57" t="str">
        <f aca="false">Flights!$F$8</f>
        <v>MH0088</v>
      </c>
      <c r="D103" s="58" t="n">
        <f aca="false">Flights!$D$8</f>
        <v>46305</v>
      </c>
      <c r="E103" s="57" t="str">
        <f aca="false">Flights!$G$8&amp;"-"&amp;Flights!$H$8</f>
        <v>KUL-NRT</v>
      </c>
      <c r="F103" s="57" t="str">
        <f aca="false">Flights!$K$8</f>
        <v>BC</v>
      </c>
      <c r="G103" s="57" t="s">
        <v>383</v>
      </c>
      <c r="H103" s="57" t="s">
        <v>341</v>
      </c>
      <c r="I103" s="57" t="s">
        <v>391</v>
      </c>
      <c r="J103" s="57" t="s">
        <v>394</v>
      </c>
      <c r="K103" s="67"/>
      <c r="L103" s="67" t="s">
        <v>385</v>
      </c>
      <c r="M103" s="67"/>
      <c r="N103" s="67" t="s">
        <v>346</v>
      </c>
      <c r="O103" s="67" t="s">
        <v>386</v>
      </c>
      <c r="P103" s="57" t="s">
        <v>177</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IF(N103="N/A – rule","N/A – RULE",IF(TRIM(U103)="N/A",IF(AT103=0,"INVALID – N/A not permitted for this mandatory check",IF(AND(TRIM(AC103)&lt;&gt;"",TRIM(AE103)&lt;&gt;"",TRIM(T103)&lt;&gt;""),"N/A – JUSTIFIED","INVALID – N/A needs justification, PIC and verifier")),IF(OR(TRIM(U103)="Pass",TRIM(U103)="Pass after CA"),IF(NOT(ISNUMBER(AD103)),"INVALID – completion time missing",IF(TRIM(T103)="","INVALID – PIC missing",IF(TRIM(Z103)="","INVALID – evidence missing",IF(TRIM(AE103)="","INVALID – verifier missing",IF(AND(AQ103=1,TRIM(W103)=""),"INVALID – batch ID missing",IF(AND(AR103=1,OR(NOT(ISNUMBER(X103)),NOT(ISNUMBER(Y103)))),"INVALID – expected/actual qty missing",IF(IF(AND(TRIM(U103)="Pass",ISNUMBER(AF103)),IF(AF103&lt;&gt;0,"INVALID – qty variance: use Fail or Pass after CA",""),"")&amp;IF(AND(TRIM(U103)="Pass",AB103="Open"),"INVALID – corrective action still open: use Fail, then Pass after CA","")&amp;IF(AND(TRIM(U103)="Pass after CA",OR(TRIM(AA103)="",AB103&lt;&gt;"Closed")),"INVALID – corrective action not recorded/closed","")&lt;&gt;"",IF(AND(TRIM(U103)="Pass",ISNUMBER(AF103)),IF(AF103&lt;&gt;0,"INVALID – qty variance: use Fail or Pass after CA",""),"")&amp;IF(AND(TRIM(U103)="Pass",AB103="Open"),"INVALID – corrective action still open: use Fail, then Pass after CA","")&amp;IF(AND(TRIM(U103)="Pass after CA",OR(TRIM(AA103)="",AB103&lt;&gt;"Closed")),"INVALID – corrective action not recorded/closed",""),IF(AND(AS103=1,Documents!$J$8&lt;&gt;"ON FILE"),"INVALID – GLD not on file (Documents sheet)",IF(AND(AS103=2,Documents!$O$8&lt;&gt;"ON FILE"),"INVALID – menu checklist not on file (Documents sheet)",IF(AND(AS103=3,NOT(ISNUMBER(Flights!$AX$8))),"INVALID – enter carrying flight KUL departure (Flights AX)",IF(AG103&gt;AsOfUTC,"INVALID – completion time is in the future",IF(AND(ISNUMBER(S103),AG103&lt;S103),IF(H103="Physical uplift","INVALID – before uplift window (cannot confirm loading)","INVALID – before valid window"),IF(AG103&gt;Flights!$AA$8,"INVALID – completed after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f>
        <v>OPEN</v>
      </c>
      <c r="AI103" s="61" t="n">
        <f aca="false">IF(OR(AH103="N/A – RULE",AH103="N/A – JUSTIFIED"),0,1)</f>
        <v>1</v>
      </c>
      <c r="AJ103" s="61" t="n">
        <f aca="false">IF(LEFT(AH103,8)="COMPLETE",1,0)</f>
        <v>0</v>
      </c>
      <c r="AK103" s="61" t="n">
        <f aca="false">IF(AND(AI103=1,AJ103=0,AsOfUTC&gt;Q103),1,0)</f>
        <v>0</v>
      </c>
      <c r="AL103" s="61" t="n">
        <f aca="false">IF(AND(AI103=1,OR(TRIM(U103)="Fail",AB103="Open",AND(ISNUMBER(AF103),AF103&lt;&gt;0,TRIM(U103)&lt;&gt;"Pass after CA"))),1,0)</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row>
    <row r="104" customFormat="false" ht="39.75" hidden="false" customHeight="true" outlineLevel="0" collapsed="false">
      <c r="A104" s="57" t="s">
        <v>560</v>
      </c>
      <c r="B104" s="57" t="s">
        <v>208</v>
      </c>
      <c r="C104" s="57" t="str">
        <f aca="false">Flights!$F$8</f>
        <v>MH0088</v>
      </c>
      <c r="D104" s="58" t="n">
        <f aca="false">Flights!$D$8</f>
        <v>46305</v>
      </c>
      <c r="E104" s="57" t="str">
        <f aca="false">Flights!$G$8&amp;"-"&amp;Flights!$H$8</f>
        <v>KUL-NRT</v>
      </c>
      <c r="F104" s="57" t="str">
        <f aca="false">Flights!$K$8</f>
        <v>BC</v>
      </c>
      <c r="G104" s="57" t="s">
        <v>383</v>
      </c>
      <c r="H104" s="57" t="s">
        <v>341</v>
      </c>
      <c r="I104" s="57" t="s">
        <v>391</v>
      </c>
      <c r="J104" s="57" t="s">
        <v>396</v>
      </c>
      <c r="K104" s="67"/>
      <c r="L104" s="67" t="s">
        <v>385</v>
      </c>
      <c r="M104" s="67"/>
      <c r="N104" s="67" t="s">
        <v>346</v>
      </c>
      <c r="O104" s="67" t="s">
        <v>386</v>
      </c>
      <c r="P104" s="57" t="s">
        <v>177</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IF(N104="N/A – rule","N/A – RULE",IF(TRIM(U104)="N/A",IF(AT104=0,"INVALID – N/A not permitted for this mandatory check",IF(AND(TRIM(AC104)&lt;&gt;"",TRIM(AE104)&lt;&gt;"",TRIM(T104)&lt;&gt;""),"N/A – JUSTIFIED","INVALID – N/A needs justification, PIC and verifier")),IF(OR(TRIM(U104)="Pass",TRIM(U104)="Pass after CA"),IF(NOT(ISNUMBER(AD104)),"INVALID – completion time missing",IF(TRIM(T104)="","INVALID – PIC missing",IF(TRIM(Z104)="","INVALID – evidence missing",IF(TRIM(AE104)="","INVALID – verifier missing",IF(AND(AQ104=1,TRIM(W104)=""),"INVALID – batch ID missing",IF(AND(AR104=1,OR(NOT(ISNUMBER(X104)),NOT(ISNUMBER(Y104)))),"INVALID – expected/actual qty missing",IF(IF(AND(TRIM(U104)="Pass",ISNUMBER(AF104)),IF(AF104&lt;&gt;0,"INVALID – qty variance: use Fail or Pass after CA",""),"")&amp;IF(AND(TRIM(U104)="Pass",AB104="Open"),"INVALID – corrective action still open: use Fail, then Pass after CA","")&amp;IF(AND(TRIM(U104)="Pass after CA",OR(TRIM(AA104)="",AB104&lt;&gt;"Closed")),"INVALID – corrective action not recorded/closed","")&lt;&gt;"",IF(AND(TRIM(U104)="Pass",ISNUMBER(AF104)),IF(AF104&lt;&gt;0,"INVALID – qty variance: use Fail or Pass after CA",""),"")&amp;IF(AND(TRIM(U104)="Pass",AB104="Open"),"INVALID – corrective action still open: use Fail, then Pass after CA","")&amp;IF(AND(TRIM(U104)="Pass after CA",OR(TRIM(AA104)="",AB104&lt;&gt;"Closed")),"INVALID – corrective action not recorded/closed",""),IF(AND(AS104=1,Documents!$J$8&lt;&gt;"ON FILE"),"INVALID – GLD not on file (Documents sheet)",IF(AND(AS104=2,Documents!$O$8&lt;&gt;"ON FILE"),"INVALID – menu checklist not on file (Documents sheet)",IF(AND(AS104=3,NOT(ISNUMBER(Flights!$AX$8))),"INVALID – enter carrying flight KUL departure (Flights AX)",IF(AG104&gt;AsOfUTC,"INVALID – completion time is in the future",IF(AND(ISNUMBER(S104),AG104&lt;S104),IF(H104="Physical uplift","INVALID – before uplift window (cannot confirm loading)","INVALID – before valid window"),IF(AG104&gt;Flights!$AA$8,"INVALID – completed after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f>
        <v>OPEN</v>
      </c>
      <c r="AI104" s="61" t="n">
        <f aca="false">IF(OR(AH104="N/A – RULE",AH104="N/A – JUSTIFIED"),0,1)</f>
        <v>1</v>
      </c>
      <c r="AJ104" s="61" t="n">
        <f aca="false">IF(LEFT(AH104,8)="COMPLETE",1,0)</f>
        <v>0</v>
      </c>
      <c r="AK104" s="61" t="n">
        <f aca="false">IF(AND(AI104=1,AJ104=0,AsOfUTC&gt;Q104),1,0)</f>
        <v>0</v>
      </c>
      <c r="AL104" s="61" t="n">
        <f aca="false">IF(AND(AI104=1,OR(TRIM(U104)="Fail",AB104="Open",AND(ISNUMBER(AF104),AF104&lt;&gt;0,TRIM(U104)&lt;&gt;"Pass after CA"))),1,0)</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row>
    <row r="105" customFormat="false" ht="141" hidden="false" customHeight="true" outlineLevel="0" collapsed="false">
      <c r="A105" s="57" t="s">
        <v>561</v>
      </c>
      <c r="B105" s="57" t="s">
        <v>208</v>
      </c>
      <c r="C105" s="57" t="str">
        <f aca="false">Flights!$F$8</f>
        <v>MH0088</v>
      </c>
      <c r="D105" s="58" t="n">
        <f aca="false">Flights!$D$8</f>
        <v>46305</v>
      </c>
      <c r="E105" s="57" t="str">
        <f aca="false">Flights!$G$8&amp;"-"&amp;Flights!$H$8</f>
        <v>KUL-NRT</v>
      </c>
      <c r="F105" s="57" t="str">
        <f aca="false">Flights!$K$8</f>
        <v>BC</v>
      </c>
      <c r="G105" s="57" t="s">
        <v>383</v>
      </c>
      <c r="H105" s="57" t="s">
        <v>341</v>
      </c>
      <c r="I105" s="57" t="s">
        <v>391</v>
      </c>
      <c r="J105" s="57" t="s">
        <v>398</v>
      </c>
      <c r="K105" s="67" t="s">
        <v>399</v>
      </c>
      <c r="L105" s="67" t="s">
        <v>385</v>
      </c>
      <c r="M105" s="67"/>
      <c r="N105" s="67" t="s">
        <v>346</v>
      </c>
      <c r="O105" s="67" t="s">
        <v>386</v>
      </c>
      <c r="P105" s="57" t="s">
        <v>177</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IF(N105="N/A – rule","N/A – RULE",IF(TRIM(U105)="N/A",IF(AT105=0,"INVALID – N/A not permitted for this mandatory check",IF(AND(TRIM(AC105)&lt;&gt;"",TRIM(AE105)&lt;&gt;"",TRIM(T105)&lt;&gt;""),"N/A – JUSTIFIED","INVALID – N/A needs justification, PIC and verifier")),IF(OR(TRIM(U105)="Pass",TRIM(U105)="Pass after CA"),IF(NOT(ISNUMBER(AD105)),"INVALID – completion time missing",IF(TRIM(T105)="","INVALID – PIC missing",IF(TRIM(Z105)="","INVALID – evidence missing",IF(TRIM(AE105)="","INVALID – verifier missing",IF(AND(AQ105=1,TRIM(W105)=""),"INVALID – batch ID missing",IF(AND(AR105=1,OR(NOT(ISNUMBER(X105)),NOT(ISNUMBER(Y105)))),"INVALID – expected/actual qty missing",IF(IF(AND(TRIM(U105)="Pass",ISNUMBER(AF105)),IF(AF105&lt;&gt;0,"INVALID – qty variance: use Fail or Pass after CA",""),"")&amp;IF(AND(TRIM(U105)="Pass",AB105="Open"),"INVALID – corrective action still open: use Fail, then Pass after CA","")&amp;IF(AND(TRIM(U105)="Pass after CA",OR(TRIM(AA105)="",AB105&lt;&gt;"Closed")),"INVALID – corrective action not recorded/closed","")&lt;&gt;"",IF(AND(TRIM(U105)="Pass",ISNUMBER(AF105)),IF(AF105&lt;&gt;0,"INVALID – qty variance: use Fail or Pass after CA",""),"")&amp;IF(AND(TRIM(U105)="Pass",AB105="Open"),"INVALID – corrective action still open: use Fail, then Pass after CA","")&amp;IF(AND(TRIM(U105)="Pass after CA",OR(TRIM(AA105)="",AB105&lt;&gt;"Closed")),"INVALID – corrective action not recorded/closed",""),IF(AND(AS105=1,Documents!$J$8&lt;&gt;"ON FILE"),"INVALID – GLD not on file (Documents sheet)",IF(AND(AS105=2,Documents!$O$8&lt;&gt;"ON FILE"),"INVALID – menu checklist not on file (Documents sheet)",IF(AND(AS105=3,NOT(ISNUMBER(Flights!$AX$8))),"INVALID – enter carrying flight KUL departure (Flights AX)",IF(AG105&gt;AsOfUTC,"INVALID – completion time is in the future",IF(AND(ISNUMBER(S105),AG105&lt;S105),IF(H105="Physical uplift","INVALID – before uplift window (cannot confirm loading)","INVALID – before valid window"),IF(AG105&gt;Flights!$AA$8,"INVALID – completed after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f>
        <v>OPEN</v>
      </c>
      <c r="AI105" s="61" t="n">
        <f aca="false">IF(OR(AH105="N/A – RULE",AH105="N/A – JUSTIFIED"),0,1)</f>
        <v>1</v>
      </c>
      <c r="AJ105" s="61" t="n">
        <f aca="false">IF(LEFT(AH105,8)="COMPLETE",1,0)</f>
        <v>0</v>
      </c>
      <c r="AK105" s="61" t="n">
        <f aca="false">IF(AND(AI105=1,AJ105=0,AsOfUTC&gt;Q105),1,0)</f>
        <v>0</v>
      </c>
      <c r="AL105" s="61" t="n">
        <f aca="false">IF(AND(AI105=1,OR(TRIM(U105)="Fail",AB105="Open",AND(ISNUMBER(AF105),AF105&lt;&gt;0,TRIM(U105)&lt;&gt;"Pass after CA"))),1,0)</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row>
    <row r="106" customFormat="false" ht="39.75" hidden="false" customHeight="true" outlineLevel="0" collapsed="false">
      <c r="A106" s="57" t="s">
        <v>562</v>
      </c>
      <c r="B106" s="57" t="s">
        <v>208</v>
      </c>
      <c r="C106" s="57" t="str">
        <f aca="false">Flights!$F$8</f>
        <v>MH0088</v>
      </c>
      <c r="D106" s="58" t="n">
        <f aca="false">Flights!$D$8</f>
        <v>46305</v>
      </c>
      <c r="E106" s="57" t="str">
        <f aca="false">Flights!$G$8&amp;"-"&amp;Flights!$H$8</f>
        <v>KUL-NRT</v>
      </c>
      <c r="F106" s="57" t="str">
        <f aca="false">Flights!$K$8</f>
        <v>BC</v>
      </c>
      <c r="G106" s="57" t="s">
        <v>383</v>
      </c>
      <c r="H106" s="57" t="s">
        <v>341</v>
      </c>
      <c r="I106" s="57" t="s">
        <v>391</v>
      </c>
      <c r="J106" s="57" t="s">
        <v>401</v>
      </c>
      <c r="K106" s="67"/>
      <c r="L106" s="67" t="s">
        <v>385</v>
      </c>
      <c r="M106" s="67"/>
      <c r="N106" s="67" t="s">
        <v>346</v>
      </c>
      <c r="O106" s="67" t="s">
        <v>386</v>
      </c>
      <c r="P106" s="57" t="s">
        <v>177</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IF(N106="N/A – rule","N/A – RULE",IF(TRIM(U106)="N/A",IF(AT106=0,"INVALID – N/A not permitted for this mandatory check",IF(AND(TRIM(AC106)&lt;&gt;"",TRIM(AE106)&lt;&gt;"",TRIM(T106)&lt;&gt;""),"N/A – JUSTIFIED","INVALID – N/A needs justification, PIC and verifier")),IF(OR(TRIM(U106)="Pass",TRIM(U106)="Pass after CA"),IF(NOT(ISNUMBER(AD106)),"INVALID – completion time missing",IF(TRIM(T106)="","INVALID – PIC missing",IF(TRIM(Z106)="","INVALID – evidence missing",IF(TRIM(AE106)="","INVALID – verifier missing",IF(AND(AQ106=1,TRIM(W106)=""),"INVALID – batch ID missing",IF(AND(AR106=1,OR(NOT(ISNUMBER(X106)),NOT(ISNUMBER(Y106)))),"INVALID – expected/actual qty missing",IF(IF(AND(TRIM(U106)="Pass",ISNUMBER(AF106)),IF(AF106&lt;&gt;0,"INVALID – qty variance: use Fail or Pass after CA",""),"")&amp;IF(AND(TRIM(U106)="Pass",AB106="Open"),"INVALID – corrective action still open: use Fail, then Pass after CA","")&amp;IF(AND(TRIM(U106)="Pass after CA",OR(TRIM(AA106)="",AB106&lt;&gt;"Closed")),"INVALID – corrective action not recorded/closed","")&lt;&gt;"",IF(AND(TRIM(U106)="Pass",ISNUMBER(AF106)),IF(AF106&lt;&gt;0,"INVALID – qty variance: use Fail or Pass after CA",""),"")&amp;IF(AND(TRIM(U106)="Pass",AB106="Open"),"INVALID – corrective action still open: use Fail, then Pass after CA","")&amp;IF(AND(TRIM(U106)="Pass after CA",OR(TRIM(AA106)="",AB106&lt;&gt;"Closed")),"INVALID – corrective action not recorded/closed",""),IF(AND(AS106=1,Documents!$J$8&lt;&gt;"ON FILE"),"INVALID – GLD not on file (Documents sheet)",IF(AND(AS106=2,Documents!$O$8&lt;&gt;"ON FILE"),"INVALID – menu checklist not on file (Documents sheet)",IF(AND(AS106=3,NOT(ISNUMBER(Flights!$AX$8))),"INVALID – enter carrying flight KUL departure (Flights AX)",IF(AG106&gt;AsOfUTC,"INVALID – completion time is in the future",IF(AND(ISNUMBER(S106),AG106&lt;S106),IF(H106="Physical uplift","INVALID – before uplift window (cannot confirm loading)","INVALID – before valid window"),IF(AG106&gt;Flights!$AA$8,"INVALID – completed after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f>
        <v>OPEN</v>
      </c>
      <c r="AI106" s="61" t="n">
        <f aca="false">IF(OR(AH106="N/A – RULE",AH106="N/A – JUSTIFIED"),0,1)</f>
        <v>1</v>
      </c>
      <c r="AJ106" s="61" t="n">
        <f aca="false">IF(LEFT(AH106,8)="COMPLETE",1,0)</f>
        <v>0</v>
      </c>
      <c r="AK106" s="61" t="n">
        <f aca="false">IF(AND(AI106=1,AJ106=0,AsOfUTC&gt;Q106),1,0)</f>
        <v>0</v>
      </c>
      <c r="AL106" s="61" t="n">
        <f aca="false">IF(AND(AI106=1,OR(TRIM(U106)="Fail",AB106="Open",AND(ISNUMBER(AF106),AF106&lt;&gt;0,TRIM(U106)&lt;&gt;"Pass after CA"))),1,0)</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row>
    <row r="107" customFormat="false" ht="39.75" hidden="false" customHeight="true" outlineLevel="0" collapsed="false">
      <c r="A107" s="57" t="s">
        <v>563</v>
      </c>
      <c r="B107" s="57" t="s">
        <v>208</v>
      </c>
      <c r="C107" s="57" t="str">
        <f aca="false">Flights!$F$8</f>
        <v>MH0088</v>
      </c>
      <c r="D107" s="58" t="n">
        <f aca="false">Flights!$D$8</f>
        <v>46305</v>
      </c>
      <c r="E107" s="57" t="str">
        <f aca="false">Flights!$G$8&amp;"-"&amp;Flights!$H$8</f>
        <v>KUL-NRT</v>
      </c>
      <c r="F107" s="57" t="str">
        <f aca="false">Flights!$K$8</f>
        <v>BC</v>
      </c>
      <c r="G107" s="57" t="s">
        <v>383</v>
      </c>
      <c r="H107" s="57" t="s">
        <v>341</v>
      </c>
      <c r="I107" s="57" t="s">
        <v>403</v>
      </c>
      <c r="J107" s="57" t="s">
        <v>404</v>
      </c>
      <c r="K107" s="67" t="s">
        <v>464</v>
      </c>
      <c r="L107" s="67" t="s">
        <v>564</v>
      </c>
      <c r="M107" s="67" t="s">
        <v>177</v>
      </c>
      <c r="N107" s="67" t="s">
        <v>346</v>
      </c>
      <c r="O107" s="67"/>
      <c r="P107" s="57" t="s">
        <v>177</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IF(N107="N/A – rule","N/A – RULE",IF(TRIM(U107)="N/A",IF(AT107=0,"INVALID – N/A not permitted for this mandatory check",IF(AND(TRIM(AC107)&lt;&gt;"",TRIM(AE107)&lt;&gt;"",TRIM(T107)&lt;&gt;""),"N/A – JUSTIFIED","INVALID – N/A needs justification, PIC and verifier")),IF(OR(TRIM(U107)="Pass",TRIM(U107)="Pass after CA"),IF(NOT(ISNUMBER(AD107)),"INVALID – completion time missing",IF(TRIM(T107)="","INVALID – PIC missing",IF(TRIM(Z107)="","INVALID – evidence missing",IF(TRIM(AE107)="","INVALID – verifier missing",IF(AND(AQ107=1,TRIM(W107)=""),"INVALID – batch ID missing",IF(AND(AR107=1,OR(NOT(ISNUMBER(X107)),NOT(ISNUMBER(Y107)))),"INVALID – expected/actual qty missing",IF(IF(AND(TRIM(U107)="Pass",ISNUMBER(AF107)),IF(AF107&lt;&gt;0,"INVALID – qty variance: use Fail or Pass after CA",""),"")&amp;IF(AND(TRIM(U107)="Pass",AB107="Open"),"INVALID – corrective action still open: use Fail, then Pass after CA","")&amp;IF(AND(TRIM(U107)="Pass after CA",OR(TRIM(AA107)="",AB107&lt;&gt;"Closed")),"INVALID – corrective action not recorded/closed","")&lt;&gt;"",IF(AND(TRIM(U107)="Pass",ISNUMBER(AF107)),IF(AF107&lt;&gt;0,"INVALID – qty variance: use Fail or Pass after CA",""),"")&amp;IF(AND(TRIM(U107)="Pass",AB107="Open"),"INVALID – corrective action still open: use Fail, then Pass after CA","")&amp;IF(AND(TRIM(U107)="Pass after CA",OR(TRIM(AA107)="",AB107&lt;&gt;"Closed")),"INVALID – corrective action not recorded/closed",""),IF(AND(AS107=1,Documents!$J$8&lt;&gt;"ON FILE"),"INVALID – GLD not on file (Documents sheet)",IF(AND(AS107=2,Documents!$O$8&lt;&gt;"ON FILE"),"INVALID – menu checklist not on file (Documents sheet)",IF(AND(AS107=3,NOT(ISNUMBER(Flights!$AX$8))),"INVALID – enter carrying flight KUL departure (Flights AX)",IF(AG107&gt;AsOfUTC,"INVALID – completion time is in the future",IF(AND(ISNUMBER(S107),AG107&lt;S107),IF(H107="Physical uplift","INVALID – before uplift window (cannot confirm loading)","INVALID – before valid window"),IF(AG107&gt;Flights!$AA$8,"INVALID – completed after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f>
        <v>OPEN</v>
      </c>
      <c r="AI107" s="61" t="n">
        <f aca="false">IF(OR(AH107="N/A – RULE",AH107="N/A – JUSTIFIED"),0,1)</f>
        <v>1</v>
      </c>
      <c r="AJ107" s="61" t="n">
        <f aca="false">IF(LEFT(AH107,8)="COMPLETE",1,0)</f>
        <v>0</v>
      </c>
      <c r="AK107" s="61" t="n">
        <f aca="false">IF(AND(AI107=1,AJ107=0,AsOfUTC&gt;Q107),1,0)</f>
        <v>0</v>
      </c>
      <c r="AL107" s="61" t="n">
        <f aca="false">IF(AND(AI107=1,OR(TRIM(U107)="Fail",AB107="Open",AND(ISNUMBER(AF107),AF107&lt;&gt;0,TRIM(U107)&lt;&gt;"Pass after CA"))),1,0)</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1</v>
      </c>
    </row>
    <row r="108" customFormat="false" ht="39.75" hidden="false" customHeight="true" outlineLevel="0" collapsed="false">
      <c r="A108" s="57" t="s">
        <v>565</v>
      </c>
      <c r="B108" s="57" t="s">
        <v>208</v>
      </c>
      <c r="C108" s="57" t="str">
        <f aca="false">Flights!$F$8</f>
        <v>MH0088</v>
      </c>
      <c r="D108" s="58" t="n">
        <f aca="false">Flights!$D$8</f>
        <v>46305</v>
      </c>
      <c r="E108" s="57" t="str">
        <f aca="false">Flights!$G$8&amp;"-"&amp;Flights!$H$8</f>
        <v>KUL-NRT</v>
      </c>
      <c r="F108" s="57" t="str">
        <f aca="false">Flights!$K$8</f>
        <v>BC</v>
      </c>
      <c r="G108" s="57" t="s">
        <v>383</v>
      </c>
      <c r="H108" s="57" t="s">
        <v>341</v>
      </c>
      <c r="I108" s="57" t="s">
        <v>403</v>
      </c>
      <c r="J108" s="57" t="s">
        <v>566</v>
      </c>
      <c r="K108" s="67" t="s">
        <v>464</v>
      </c>
      <c r="L108" s="67" t="s">
        <v>567</v>
      </c>
      <c r="M108" s="67" t="s">
        <v>177</v>
      </c>
      <c r="N108" s="67" t="s">
        <v>346</v>
      </c>
      <c r="O108" s="67"/>
      <c r="P108" s="57" t="s">
        <v>177</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IF(N108="N/A – rule","N/A – RULE",IF(TRIM(U108)="N/A",IF(AT108=0,"INVALID – N/A not permitted for this mandatory check",IF(AND(TRIM(AC108)&lt;&gt;"",TRIM(AE108)&lt;&gt;"",TRIM(T108)&lt;&gt;""),"N/A – JUSTIFIED","INVALID – N/A needs justification, PIC and verifier")),IF(OR(TRIM(U108)="Pass",TRIM(U108)="Pass after CA"),IF(NOT(ISNUMBER(AD108)),"INVALID – completion time missing",IF(TRIM(T108)="","INVALID – PIC missing",IF(TRIM(Z108)="","INVALID – evidence missing",IF(TRIM(AE108)="","INVALID – verifier missing",IF(AND(AQ108=1,TRIM(W108)=""),"INVALID – batch ID missing",IF(AND(AR108=1,OR(NOT(ISNUMBER(X108)),NOT(ISNUMBER(Y108)))),"INVALID – expected/actual qty missing",IF(IF(AND(TRIM(U108)="Pass",ISNUMBER(AF108)),IF(AF108&lt;&gt;0,"INVALID – qty variance: use Fail or Pass after CA",""),"")&amp;IF(AND(TRIM(U108)="Pass",AB108="Open"),"INVALID – corrective action still open: use Fail, then Pass after CA","")&amp;IF(AND(TRIM(U108)="Pass after CA",OR(TRIM(AA108)="",AB108&lt;&gt;"Closed")),"INVALID – corrective action not recorded/closed","")&lt;&gt;"",IF(AND(TRIM(U108)="Pass",ISNUMBER(AF108)),IF(AF108&lt;&gt;0,"INVALID – qty variance: use Fail or Pass after CA",""),"")&amp;IF(AND(TRIM(U108)="Pass",AB108="Open"),"INVALID – corrective action still open: use Fail, then Pass after CA","")&amp;IF(AND(TRIM(U108)="Pass after CA",OR(TRIM(AA108)="",AB108&lt;&gt;"Closed")),"INVALID – corrective action not recorded/closed",""),IF(AND(AS108=1,Documents!$J$8&lt;&gt;"ON FILE"),"INVALID – GLD not on file (Documents sheet)",IF(AND(AS108=2,Documents!$O$8&lt;&gt;"ON FILE"),"INVALID – menu checklist not on file (Documents sheet)",IF(AND(AS108=3,NOT(ISNUMBER(Flights!$AX$8))),"INVALID – enter carrying flight KUL departure (Flights AX)",IF(AG108&gt;AsOfUTC,"INVALID – completion time is in the future",IF(AND(ISNUMBER(S108),AG108&lt;S108),IF(H108="Physical uplift","INVALID – before uplift window (cannot confirm loading)","INVALID – before valid window"),IF(AG108&gt;Flights!$AA$8,"INVALID – completed after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f>
        <v>OPEN</v>
      </c>
      <c r="AI108" s="61" t="n">
        <f aca="false">IF(OR(AH108="N/A – RULE",AH108="N/A – JUSTIFIED"),0,1)</f>
        <v>1</v>
      </c>
      <c r="AJ108" s="61" t="n">
        <f aca="false">IF(LEFT(AH108,8)="COMPLETE",1,0)</f>
        <v>0</v>
      </c>
      <c r="AK108" s="61" t="n">
        <f aca="false">IF(AND(AI108=1,AJ108=0,AsOfUTC&gt;Q108),1,0)</f>
        <v>0</v>
      </c>
      <c r="AL108" s="61" t="n">
        <f aca="false">IF(AND(AI108=1,OR(TRIM(U108)="Fail",AB108="Open",AND(ISNUMBER(AF108),AF108&lt;&gt;0,TRIM(U108)&lt;&gt;"Pass after CA"))),1,0)</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1</v>
      </c>
    </row>
    <row r="109" customFormat="false" ht="41.25" hidden="false" customHeight="true" outlineLevel="0" collapsed="false">
      <c r="A109" s="57" t="s">
        <v>568</v>
      </c>
      <c r="B109" s="57" t="s">
        <v>208</v>
      </c>
      <c r="C109" s="57" t="str">
        <f aca="false">Flights!$F$8</f>
        <v>MH0088</v>
      </c>
      <c r="D109" s="58" t="n">
        <f aca="false">Flights!$D$8</f>
        <v>46305</v>
      </c>
      <c r="E109" s="57" t="str">
        <f aca="false">Flights!$G$8&amp;"-"&amp;Flights!$H$8</f>
        <v>KUL-NRT</v>
      </c>
      <c r="F109" s="57" t="str">
        <f aca="false">Flights!$K$8</f>
        <v>BC</v>
      </c>
      <c r="G109" s="57" t="s">
        <v>383</v>
      </c>
      <c r="H109" s="57" t="s">
        <v>341</v>
      </c>
      <c r="I109" s="57" t="s">
        <v>462</v>
      </c>
      <c r="J109" s="57" t="s">
        <v>463</v>
      </c>
      <c r="K109" s="67" t="s">
        <v>464</v>
      </c>
      <c r="L109" s="67" t="s">
        <v>569</v>
      </c>
      <c r="M109" s="67" t="s">
        <v>414</v>
      </c>
      <c r="N109" s="67" t="s">
        <v>346</v>
      </c>
      <c r="O109" s="67" t="s">
        <v>466</v>
      </c>
      <c r="P109" s="57" t="s">
        <v>177</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IF(N109="N/A – rule","N/A – RULE",IF(TRIM(U109)="N/A",IF(AT109=0,"INVALID – N/A not permitted for this mandatory check",IF(AND(TRIM(AC109)&lt;&gt;"",TRIM(AE109)&lt;&gt;"",TRIM(T109)&lt;&gt;""),"N/A – JUSTIFIED","INVALID – N/A needs justification, PIC and verifier")),IF(OR(TRIM(U109)="Pass",TRIM(U109)="Pass after CA"),IF(NOT(ISNUMBER(AD109)),"INVALID – completion time missing",IF(TRIM(T109)="","INVALID – PIC missing",IF(TRIM(Z109)="","INVALID – evidence missing",IF(TRIM(AE109)="","INVALID – verifier missing",IF(AND(AQ109=1,TRIM(W109)=""),"INVALID – batch ID missing",IF(AND(AR109=1,OR(NOT(ISNUMBER(X109)),NOT(ISNUMBER(Y109)))),"INVALID – expected/actual qty missing",IF(IF(AND(TRIM(U109)="Pass",ISNUMBER(AF109)),IF(AF109&lt;&gt;0,"INVALID – qty variance: use Fail or Pass after CA",""),"")&amp;IF(AND(TRIM(U109)="Pass",AB109="Open"),"INVALID – corrective action still open: use Fail, then Pass after CA","")&amp;IF(AND(TRIM(U109)="Pass after CA",OR(TRIM(AA109)="",AB109&lt;&gt;"Closed")),"INVALID – corrective action not recorded/closed","")&lt;&gt;"",IF(AND(TRIM(U109)="Pass",ISNUMBER(AF109)),IF(AF109&lt;&gt;0,"INVALID – qty variance: use Fail or Pass after CA",""),"")&amp;IF(AND(TRIM(U109)="Pass",AB109="Open"),"INVALID – corrective action still open: use Fail, then Pass after CA","")&amp;IF(AND(TRIM(U109)="Pass after CA",OR(TRIM(AA109)="",AB109&lt;&gt;"Closed")),"INVALID – corrective action not recorded/closed",""),IF(AND(AS109=1,Documents!$J$8&lt;&gt;"ON FILE"),"INVALID – GLD not on file (Documents sheet)",IF(AND(AS109=2,Documents!$O$8&lt;&gt;"ON FILE"),"INVALID – menu checklist not on file (Documents sheet)",IF(AND(AS109=3,NOT(ISNUMBER(Flights!$AX$8))),"INVALID – enter carrying flight KUL departure (Flights AX)",IF(AG109&gt;AsOfUTC,"INVALID – completion time is in the future",IF(AND(ISNUMBER(S109),AG109&lt;S109),IF(H109="Physical uplift","INVALID – before uplift window (cannot confirm loading)","INVALID – before valid window"),IF(AG109&gt;Flights!$AA$8,"INVALID – completed after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f>
        <v>OPEN</v>
      </c>
      <c r="AI109" s="61" t="n">
        <f aca="false">IF(OR(AH109="N/A – RULE",AH109="N/A – JUSTIFIED"),0,1)</f>
        <v>1</v>
      </c>
      <c r="AJ109" s="61" t="n">
        <f aca="false">IF(LEFT(AH109,8)="COMPLETE",1,0)</f>
        <v>0</v>
      </c>
      <c r="AK109" s="61" t="n">
        <f aca="false">IF(AND(AI109=1,AJ109=0,AsOfUTC&gt;Q109),1,0)</f>
        <v>0</v>
      </c>
      <c r="AL109" s="61" t="n">
        <f aca="false">IF(AND(AI109=1,OR(TRIM(U109)="Fail",AB109="Open",AND(ISNUMBER(AF109),AF109&lt;&gt;0,TRIM(U109)&lt;&gt;"Pass after CA"))),1,0)</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1</v>
      </c>
    </row>
    <row r="110" customFormat="false" ht="41.25" hidden="false" customHeight="true" outlineLevel="0" collapsed="false">
      <c r="A110" s="57" t="s">
        <v>570</v>
      </c>
      <c r="B110" s="57" t="s">
        <v>208</v>
      </c>
      <c r="C110" s="57" t="str">
        <f aca="false">Flights!$F$8</f>
        <v>MH0088</v>
      </c>
      <c r="D110" s="58" t="n">
        <f aca="false">Flights!$D$8</f>
        <v>46305</v>
      </c>
      <c r="E110" s="57" t="str">
        <f aca="false">Flights!$G$8&amp;"-"&amp;Flights!$H$8</f>
        <v>KUL-NRT</v>
      </c>
      <c r="F110" s="57" t="str">
        <f aca="false">Flights!$K$8</f>
        <v>BC</v>
      </c>
      <c r="G110" s="57" t="s">
        <v>383</v>
      </c>
      <c r="H110" s="57" t="s">
        <v>341</v>
      </c>
      <c r="I110" s="57" t="s">
        <v>462</v>
      </c>
      <c r="J110" s="57" t="s">
        <v>468</v>
      </c>
      <c r="K110" s="67" t="s">
        <v>464</v>
      </c>
      <c r="L110" s="67" t="s">
        <v>571</v>
      </c>
      <c r="M110" s="67" t="s">
        <v>414</v>
      </c>
      <c r="N110" s="67" t="s">
        <v>346</v>
      </c>
      <c r="O110" s="67" t="s">
        <v>466</v>
      </c>
      <c r="P110" s="57" t="s">
        <v>177</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IF(N110="N/A – rule","N/A – RULE",IF(TRIM(U110)="N/A",IF(AT110=0,"INVALID – N/A not permitted for this mandatory check",IF(AND(TRIM(AC110)&lt;&gt;"",TRIM(AE110)&lt;&gt;"",TRIM(T110)&lt;&gt;""),"N/A – JUSTIFIED","INVALID – N/A needs justification, PIC and verifier")),IF(OR(TRIM(U110)="Pass",TRIM(U110)="Pass after CA"),IF(NOT(ISNUMBER(AD110)),"INVALID – completion time missing",IF(TRIM(T110)="","INVALID – PIC missing",IF(TRIM(Z110)="","INVALID – evidence missing",IF(TRIM(AE110)="","INVALID – verifier missing",IF(AND(AQ110=1,TRIM(W110)=""),"INVALID – batch ID missing",IF(AND(AR110=1,OR(NOT(ISNUMBER(X110)),NOT(ISNUMBER(Y110)))),"INVALID – expected/actual qty missing",IF(IF(AND(TRIM(U110)="Pass",ISNUMBER(AF110)),IF(AF110&lt;&gt;0,"INVALID – qty variance: use Fail or Pass after CA",""),"")&amp;IF(AND(TRIM(U110)="Pass",AB110="Open"),"INVALID – corrective action still open: use Fail, then Pass after CA","")&amp;IF(AND(TRIM(U110)="Pass after CA",OR(TRIM(AA110)="",AB110&lt;&gt;"Closed")),"INVALID – corrective action not recorded/closed","")&lt;&gt;"",IF(AND(TRIM(U110)="Pass",ISNUMBER(AF110)),IF(AF110&lt;&gt;0,"INVALID – qty variance: use Fail or Pass after CA",""),"")&amp;IF(AND(TRIM(U110)="Pass",AB110="Open"),"INVALID – corrective action still open: use Fail, then Pass after CA","")&amp;IF(AND(TRIM(U110)="Pass after CA",OR(TRIM(AA110)="",AB110&lt;&gt;"Closed")),"INVALID – corrective action not recorded/closed",""),IF(AND(AS110=1,Documents!$J$8&lt;&gt;"ON FILE"),"INVALID – GLD not on file (Documents sheet)",IF(AND(AS110=2,Documents!$O$8&lt;&gt;"ON FILE"),"INVALID – menu checklist not on file (Documents sheet)",IF(AND(AS110=3,NOT(ISNUMBER(Flights!$AX$8))),"INVALID – enter carrying flight KUL departure (Flights AX)",IF(AG110&gt;AsOfUTC,"INVALID – completion time is in the future",IF(AND(ISNUMBER(S110),AG110&lt;S110),IF(H110="Physical uplift","INVALID – before uplift window (cannot confirm loading)","INVALID – before valid window"),IF(AG110&gt;Flights!$AA$8,"INVALID – completed after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f>
        <v>OPEN</v>
      </c>
      <c r="AI110" s="61" t="n">
        <f aca="false">IF(OR(AH110="N/A – RULE",AH110="N/A – JUSTIFIED"),0,1)</f>
        <v>1</v>
      </c>
      <c r="AJ110" s="61" t="n">
        <f aca="false">IF(LEFT(AH110,8)="COMPLETE",1,0)</f>
        <v>0</v>
      </c>
      <c r="AK110" s="61" t="n">
        <f aca="false">IF(AND(AI110=1,AJ110=0,AsOfUTC&gt;Q110),1,0)</f>
        <v>0</v>
      </c>
      <c r="AL110" s="61" t="n">
        <f aca="false">IF(AND(AI110=1,OR(TRIM(U110)="Fail",AB110="Open",AND(ISNUMBER(AF110),AF110&lt;&gt;0,TRIM(U110)&lt;&gt;"Pass after CA"))),1,0)</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1</v>
      </c>
    </row>
    <row r="111" customFormat="false" ht="41.25" hidden="false" customHeight="true" outlineLevel="0" collapsed="false">
      <c r="A111" s="57" t="s">
        <v>572</v>
      </c>
      <c r="B111" s="57" t="s">
        <v>208</v>
      </c>
      <c r="C111" s="57" t="str">
        <f aca="false">Flights!$F$8</f>
        <v>MH0088</v>
      </c>
      <c r="D111" s="58" t="n">
        <f aca="false">Flights!$D$8</f>
        <v>46305</v>
      </c>
      <c r="E111" s="57" t="str">
        <f aca="false">Flights!$G$8&amp;"-"&amp;Flights!$H$8</f>
        <v>KUL-NRT</v>
      </c>
      <c r="F111" s="57" t="str">
        <f aca="false">Flights!$K$8</f>
        <v>BC</v>
      </c>
      <c r="G111" s="57" t="s">
        <v>383</v>
      </c>
      <c r="H111" s="57" t="s">
        <v>341</v>
      </c>
      <c r="I111" s="57" t="s">
        <v>462</v>
      </c>
      <c r="J111" s="57" t="s">
        <v>471</v>
      </c>
      <c r="K111" s="67" t="s">
        <v>464</v>
      </c>
      <c r="L111" s="67" t="s">
        <v>573</v>
      </c>
      <c r="M111" s="67" t="s">
        <v>414</v>
      </c>
      <c r="N111" s="67" t="s">
        <v>346</v>
      </c>
      <c r="O111" s="67" t="s">
        <v>466</v>
      </c>
      <c r="P111" s="57" t="s">
        <v>177</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IF(N111="N/A – rule","N/A – RULE",IF(TRIM(U111)="N/A",IF(AT111=0,"INVALID – N/A not permitted for this mandatory check",IF(AND(TRIM(AC111)&lt;&gt;"",TRIM(AE111)&lt;&gt;"",TRIM(T111)&lt;&gt;""),"N/A – JUSTIFIED","INVALID – N/A needs justification, PIC and verifier")),IF(OR(TRIM(U111)="Pass",TRIM(U111)="Pass after CA"),IF(NOT(ISNUMBER(AD111)),"INVALID – completion time missing",IF(TRIM(T111)="","INVALID – PIC missing",IF(TRIM(Z111)="","INVALID – evidence missing",IF(TRIM(AE111)="","INVALID – verifier missing",IF(AND(AQ111=1,TRIM(W111)=""),"INVALID – batch ID missing",IF(AND(AR111=1,OR(NOT(ISNUMBER(X111)),NOT(ISNUMBER(Y111)))),"INVALID – expected/actual qty missing",IF(IF(AND(TRIM(U111)="Pass",ISNUMBER(AF111)),IF(AF111&lt;&gt;0,"INVALID – qty variance: use Fail or Pass after CA",""),"")&amp;IF(AND(TRIM(U111)="Pass",AB111="Open"),"INVALID – corrective action still open: use Fail, then Pass after CA","")&amp;IF(AND(TRIM(U111)="Pass after CA",OR(TRIM(AA111)="",AB111&lt;&gt;"Closed")),"INVALID – corrective action not recorded/closed","")&lt;&gt;"",IF(AND(TRIM(U111)="Pass",ISNUMBER(AF111)),IF(AF111&lt;&gt;0,"INVALID – qty variance: use Fail or Pass after CA",""),"")&amp;IF(AND(TRIM(U111)="Pass",AB111="Open"),"INVALID – corrective action still open: use Fail, then Pass after CA","")&amp;IF(AND(TRIM(U111)="Pass after CA",OR(TRIM(AA111)="",AB111&lt;&gt;"Closed")),"INVALID – corrective action not recorded/closed",""),IF(AND(AS111=1,Documents!$J$8&lt;&gt;"ON FILE"),"INVALID – GLD not on file (Documents sheet)",IF(AND(AS111=2,Documents!$O$8&lt;&gt;"ON FILE"),"INVALID – menu checklist not on file (Documents sheet)",IF(AND(AS111=3,NOT(ISNUMBER(Flights!$AX$8))),"INVALID – enter carrying flight KUL departure (Flights AX)",IF(AG111&gt;AsOfUTC,"INVALID – completion time is in the future",IF(AND(ISNUMBER(S111),AG111&lt;S111),IF(H111="Physical uplift","INVALID – before uplift window (cannot confirm loading)","INVALID – before valid window"),IF(AG111&gt;Flights!$AA$8,"INVALID – completed after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f>
        <v>OPEN</v>
      </c>
      <c r="AI111" s="61" t="n">
        <f aca="false">IF(OR(AH111="N/A – RULE",AH111="N/A – JUSTIFIED"),0,1)</f>
        <v>1</v>
      </c>
      <c r="AJ111" s="61" t="n">
        <f aca="false">IF(LEFT(AH111,8)="COMPLETE",1,0)</f>
        <v>0</v>
      </c>
      <c r="AK111" s="61" t="n">
        <f aca="false">IF(AND(AI111=1,AJ111=0,AsOfUTC&gt;Q111),1,0)</f>
        <v>0</v>
      </c>
      <c r="AL111" s="61" t="n">
        <f aca="false">IF(AND(AI111=1,OR(TRIM(U111)="Fail",AB111="Open",AND(ISNUMBER(AF111),AF111&lt;&gt;0,TRIM(U111)&lt;&gt;"Pass after CA"))),1,0)</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1</v>
      </c>
    </row>
    <row r="112" customFormat="false" ht="41.25" hidden="false" customHeight="true" outlineLevel="0" collapsed="false">
      <c r="A112" s="57" t="s">
        <v>574</v>
      </c>
      <c r="B112" s="57" t="s">
        <v>208</v>
      </c>
      <c r="C112" s="57" t="str">
        <f aca="false">Flights!$F$8</f>
        <v>MH0088</v>
      </c>
      <c r="D112" s="58" t="n">
        <f aca="false">Flights!$D$8</f>
        <v>46305</v>
      </c>
      <c r="E112" s="57" t="str">
        <f aca="false">Flights!$G$8&amp;"-"&amp;Flights!$H$8</f>
        <v>KUL-NRT</v>
      </c>
      <c r="F112" s="57" t="str">
        <f aca="false">Flights!$K$8</f>
        <v>BC</v>
      </c>
      <c r="G112" s="57" t="s">
        <v>383</v>
      </c>
      <c r="H112" s="57" t="s">
        <v>341</v>
      </c>
      <c r="I112" s="57" t="s">
        <v>462</v>
      </c>
      <c r="J112" s="57" t="s">
        <v>474</v>
      </c>
      <c r="K112" s="67" t="s">
        <v>464</v>
      </c>
      <c r="L112" s="67" t="s">
        <v>575</v>
      </c>
      <c r="M112" s="67" t="s">
        <v>414</v>
      </c>
      <c r="N112" s="67" t="s">
        <v>346</v>
      </c>
      <c r="O112" s="67" t="s">
        <v>466</v>
      </c>
      <c r="P112" s="57" t="s">
        <v>177</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IF(N112="N/A – rule","N/A – RULE",IF(TRIM(U112)="N/A",IF(AT112=0,"INVALID – N/A not permitted for this mandatory check",IF(AND(TRIM(AC112)&lt;&gt;"",TRIM(AE112)&lt;&gt;"",TRIM(T112)&lt;&gt;""),"N/A – JUSTIFIED","INVALID – N/A needs justification, PIC and verifier")),IF(OR(TRIM(U112)="Pass",TRIM(U112)="Pass after CA"),IF(NOT(ISNUMBER(AD112)),"INVALID – completion time missing",IF(TRIM(T112)="","INVALID – PIC missing",IF(TRIM(Z112)="","INVALID – evidence missing",IF(TRIM(AE112)="","INVALID – verifier missing",IF(AND(AQ112=1,TRIM(W112)=""),"INVALID – batch ID missing",IF(AND(AR112=1,OR(NOT(ISNUMBER(X112)),NOT(ISNUMBER(Y112)))),"INVALID – expected/actual qty missing",IF(IF(AND(TRIM(U112)="Pass",ISNUMBER(AF112)),IF(AF112&lt;&gt;0,"INVALID – qty variance: use Fail or Pass after CA",""),"")&amp;IF(AND(TRIM(U112)="Pass",AB112="Open"),"INVALID – corrective action still open: use Fail, then Pass after CA","")&amp;IF(AND(TRIM(U112)="Pass after CA",OR(TRIM(AA112)="",AB112&lt;&gt;"Closed")),"INVALID – corrective action not recorded/closed","")&lt;&gt;"",IF(AND(TRIM(U112)="Pass",ISNUMBER(AF112)),IF(AF112&lt;&gt;0,"INVALID – qty variance: use Fail or Pass after CA",""),"")&amp;IF(AND(TRIM(U112)="Pass",AB112="Open"),"INVALID – corrective action still open: use Fail, then Pass after CA","")&amp;IF(AND(TRIM(U112)="Pass after CA",OR(TRIM(AA112)="",AB112&lt;&gt;"Closed")),"INVALID – corrective action not recorded/closed",""),IF(AND(AS112=1,Documents!$J$8&lt;&gt;"ON FILE"),"INVALID – GLD not on file (Documents sheet)",IF(AND(AS112=2,Documents!$O$8&lt;&gt;"ON FILE"),"INVALID – menu checklist not on file (Documents sheet)",IF(AND(AS112=3,NOT(ISNUMBER(Flights!$AX$8))),"INVALID – enter carrying flight KUL departure (Flights AX)",IF(AG112&gt;AsOfUTC,"INVALID – completion time is in the future",IF(AND(ISNUMBER(S112),AG112&lt;S112),IF(H112="Physical uplift","INVALID – before uplift window (cannot confirm loading)","INVALID – before valid window"),IF(AG112&gt;Flights!$AA$8,"INVALID – completed after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f>
        <v>OPEN</v>
      </c>
      <c r="AI112" s="61" t="n">
        <f aca="false">IF(OR(AH112="N/A – RULE",AH112="N/A – JUSTIFIED"),0,1)</f>
        <v>1</v>
      </c>
      <c r="AJ112" s="61" t="n">
        <f aca="false">IF(LEFT(AH112,8)="COMPLETE",1,0)</f>
        <v>0</v>
      </c>
      <c r="AK112" s="61" t="n">
        <f aca="false">IF(AND(AI112=1,AJ112=0,AsOfUTC&gt;Q112),1,0)</f>
        <v>0</v>
      </c>
      <c r="AL112" s="61" t="n">
        <f aca="false">IF(AND(AI112=1,OR(TRIM(U112)="Fail",AB112="Open",AND(ISNUMBER(AF112),AF112&lt;&gt;0,TRIM(U112)&lt;&gt;"Pass after CA"))),1,0)</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1</v>
      </c>
    </row>
    <row r="113" customFormat="false" ht="41.25" hidden="false" customHeight="true" outlineLevel="0" collapsed="false">
      <c r="A113" s="57" t="s">
        <v>576</v>
      </c>
      <c r="B113" s="57" t="s">
        <v>208</v>
      </c>
      <c r="C113" s="57" t="str">
        <f aca="false">Flights!$F$8</f>
        <v>MH0088</v>
      </c>
      <c r="D113" s="58" t="n">
        <f aca="false">Flights!$D$8</f>
        <v>46305</v>
      </c>
      <c r="E113" s="57" t="str">
        <f aca="false">Flights!$G$8&amp;"-"&amp;Flights!$H$8</f>
        <v>KUL-NRT</v>
      </c>
      <c r="F113" s="57" t="str">
        <f aca="false">Flights!$K$8</f>
        <v>BC</v>
      </c>
      <c r="G113" s="57" t="s">
        <v>383</v>
      </c>
      <c r="H113" s="57" t="s">
        <v>341</v>
      </c>
      <c r="I113" s="57" t="s">
        <v>462</v>
      </c>
      <c r="J113" s="57" t="s">
        <v>478</v>
      </c>
      <c r="K113" s="67" t="s">
        <v>464</v>
      </c>
      <c r="L113" s="67" t="s">
        <v>577</v>
      </c>
      <c r="M113" s="67" t="s">
        <v>414</v>
      </c>
      <c r="N113" s="67" t="s">
        <v>346</v>
      </c>
      <c r="O113" s="67" t="s">
        <v>466</v>
      </c>
      <c r="P113" s="57" t="s">
        <v>177</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IF(N113="N/A – rule","N/A – RULE",IF(TRIM(U113)="N/A",IF(AT113=0,"INVALID – N/A not permitted for this mandatory check",IF(AND(TRIM(AC113)&lt;&gt;"",TRIM(AE113)&lt;&gt;"",TRIM(T113)&lt;&gt;""),"N/A – JUSTIFIED","INVALID – N/A needs justification, PIC and verifier")),IF(OR(TRIM(U113)="Pass",TRIM(U113)="Pass after CA"),IF(NOT(ISNUMBER(AD113)),"INVALID – completion time missing",IF(TRIM(T113)="","INVALID – PIC missing",IF(TRIM(Z113)="","INVALID – evidence missing",IF(TRIM(AE113)="","INVALID – verifier missing",IF(AND(AQ113=1,TRIM(W113)=""),"INVALID – batch ID missing",IF(AND(AR113=1,OR(NOT(ISNUMBER(X113)),NOT(ISNUMBER(Y113)))),"INVALID – expected/actual qty missing",IF(IF(AND(TRIM(U113)="Pass",ISNUMBER(AF113)),IF(AF113&lt;&gt;0,"INVALID – qty variance: use Fail or Pass after CA",""),"")&amp;IF(AND(TRIM(U113)="Pass",AB113="Open"),"INVALID – corrective action still open: use Fail, then Pass after CA","")&amp;IF(AND(TRIM(U113)="Pass after CA",OR(TRIM(AA113)="",AB113&lt;&gt;"Closed")),"INVALID – corrective action not recorded/closed","")&lt;&gt;"",IF(AND(TRIM(U113)="Pass",ISNUMBER(AF113)),IF(AF113&lt;&gt;0,"INVALID – qty variance: use Fail or Pass after CA",""),"")&amp;IF(AND(TRIM(U113)="Pass",AB113="Open"),"INVALID – corrective action still open: use Fail, then Pass after CA","")&amp;IF(AND(TRIM(U113)="Pass after CA",OR(TRIM(AA113)="",AB113&lt;&gt;"Closed")),"INVALID – corrective action not recorded/closed",""),IF(AND(AS113=1,Documents!$J$8&lt;&gt;"ON FILE"),"INVALID – GLD not on file (Documents sheet)",IF(AND(AS113=2,Documents!$O$8&lt;&gt;"ON FILE"),"INVALID – menu checklist not on file (Documents sheet)",IF(AND(AS113=3,NOT(ISNUMBER(Flights!$AX$8))),"INVALID – enter carrying flight KUL departure (Flights AX)",IF(AG113&gt;AsOfUTC,"INVALID – completion time is in the future",IF(AND(ISNUMBER(S113),AG113&lt;S113),IF(H113="Physical uplift","INVALID – before uplift window (cannot confirm loading)","INVALID – before valid window"),IF(AG113&gt;Flights!$AA$8,"INVALID – completed after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f>
        <v>OPEN</v>
      </c>
      <c r="AI113" s="61" t="n">
        <f aca="false">IF(OR(AH113="N/A – RULE",AH113="N/A – JUSTIFIED"),0,1)</f>
        <v>1</v>
      </c>
      <c r="AJ113" s="61" t="n">
        <f aca="false">IF(LEFT(AH113,8)="COMPLETE",1,0)</f>
        <v>0</v>
      </c>
      <c r="AK113" s="61" t="n">
        <f aca="false">IF(AND(AI113=1,AJ113=0,AsOfUTC&gt;Q113),1,0)</f>
        <v>0</v>
      </c>
      <c r="AL113" s="61" t="n">
        <f aca="false">IF(AND(AI113=1,OR(TRIM(U113)="Fail",AB113="Open",AND(ISNUMBER(AF113),AF113&lt;&gt;0,TRIM(U113)&lt;&gt;"Pass after CA"))),1,0)</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1</v>
      </c>
    </row>
    <row r="114" customFormat="false" ht="54" hidden="false" customHeight="true" outlineLevel="0" collapsed="false">
      <c r="A114" s="57" t="s">
        <v>578</v>
      </c>
      <c r="B114" s="57" t="s">
        <v>208</v>
      </c>
      <c r="C114" s="57" t="str">
        <f aca="false">Flights!$F$8</f>
        <v>MH0088</v>
      </c>
      <c r="D114" s="58" t="n">
        <f aca="false">Flights!$D$8</f>
        <v>46305</v>
      </c>
      <c r="E114" s="57" t="str">
        <f aca="false">Flights!$G$8&amp;"-"&amp;Flights!$H$8</f>
        <v>KUL-NRT</v>
      </c>
      <c r="F114" s="57" t="str">
        <f aca="false">Flights!$K$8</f>
        <v>BC</v>
      </c>
      <c r="G114" s="57" t="s">
        <v>383</v>
      </c>
      <c r="H114" s="57" t="s">
        <v>341</v>
      </c>
      <c r="I114" s="57" t="s">
        <v>462</v>
      </c>
      <c r="J114" s="57" t="s">
        <v>481</v>
      </c>
      <c r="K114" s="67" t="s">
        <v>579</v>
      </c>
      <c r="L114" s="67" t="s">
        <v>580</v>
      </c>
      <c r="M114" s="67" t="s">
        <v>414</v>
      </c>
      <c r="N114" s="67" t="s">
        <v>346</v>
      </c>
      <c r="O114" s="67" t="s">
        <v>484</v>
      </c>
      <c r="P114" s="57" t="s">
        <v>177</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IF(N114="N/A – rule","N/A – RULE",IF(TRIM(U114)="N/A",IF(AT114=0,"INVALID – N/A not permitted for this mandatory check",IF(AND(TRIM(AC114)&lt;&gt;"",TRIM(AE114)&lt;&gt;"",TRIM(T114)&lt;&gt;""),"N/A – JUSTIFIED","INVALID – N/A needs justification, PIC and verifier")),IF(OR(TRIM(U114)="Pass",TRIM(U114)="Pass after CA"),IF(NOT(ISNUMBER(AD114)),"INVALID – completion time missing",IF(TRIM(T114)="","INVALID – PIC missing",IF(TRIM(Z114)="","INVALID – evidence missing",IF(TRIM(AE114)="","INVALID – verifier missing",IF(AND(AQ114=1,TRIM(W114)=""),"INVALID – batch ID missing",IF(AND(AR114=1,OR(NOT(ISNUMBER(X114)),NOT(ISNUMBER(Y114)))),"INVALID – expected/actual qty missing",IF(IF(AND(TRIM(U114)="Pass",ISNUMBER(AF114)),IF(AF114&lt;&gt;0,"INVALID – qty variance: use Fail or Pass after CA",""),"")&amp;IF(AND(TRIM(U114)="Pass",AB114="Open"),"INVALID – corrective action still open: use Fail, then Pass after CA","")&amp;IF(AND(TRIM(U114)="Pass after CA",OR(TRIM(AA114)="",AB114&lt;&gt;"Closed")),"INVALID – corrective action not recorded/closed","")&lt;&gt;"",IF(AND(TRIM(U114)="Pass",ISNUMBER(AF114)),IF(AF114&lt;&gt;0,"INVALID – qty variance: use Fail or Pass after CA",""),"")&amp;IF(AND(TRIM(U114)="Pass",AB114="Open"),"INVALID – corrective action still open: use Fail, then Pass after CA","")&amp;IF(AND(TRIM(U114)="Pass after CA",OR(TRIM(AA114)="",AB114&lt;&gt;"Closed")),"INVALID – corrective action not recorded/closed",""),IF(AND(AS114=1,Documents!$J$8&lt;&gt;"ON FILE"),"INVALID – GLD not on file (Documents sheet)",IF(AND(AS114=2,Documents!$O$8&lt;&gt;"ON FILE"),"INVALID – menu checklist not on file (Documents sheet)",IF(AND(AS114=3,NOT(ISNUMBER(Flights!$AX$8))),"INVALID – enter carrying flight KUL departure (Flights AX)",IF(AG114&gt;AsOfUTC,"INVALID – completion time is in the future",IF(AND(ISNUMBER(S114),AG114&lt;S114),IF(H114="Physical uplift","INVALID – before uplift window (cannot confirm loading)","INVALID – before valid window"),IF(AG114&gt;Flights!$AA$8,"INVALID – completed after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f>
        <v>OPEN</v>
      </c>
      <c r="AI114" s="61" t="n">
        <f aca="false">IF(OR(AH114="N/A – RULE",AH114="N/A – JUSTIFIED"),0,1)</f>
        <v>1</v>
      </c>
      <c r="AJ114" s="61" t="n">
        <f aca="false">IF(LEFT(AH114,8)="COMPLETE",1,0)</f>
        <v>0</v>
      </c>
      <c r="AK114" s="61" t="n">
        <f aca="false">IF(AND(AI114=1,AJ114=0,AsOfUTC&gt;Q114),1,0)</f>
        <v>0</v>
      </c>
      <c r="AL114" s="61" t="n">
        <f aca="false">IF(AND(AI114=1,OR(TRIM(U114)="Fail",AB114="Open",AND(ISNUMBER(AF114),AF114&lt;&gt;0,TRIM(U114)&lt;&gt;"Pass after CA"))),1,0)</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1</v>
      </c>
    </row>
    <row r="115" customFormat="false" ht="41.25" hidden="false" customHeight="true" outlineLevel="0" collapsed="false">
      <c r="A115" s="57" t="s">
        <v>581</v>
      </c>
      <c r="B115" s="57" t="s">
        <v>208</v>
      </c>
      <c r="C115" s="57" t="str">
        <f aca="false">Flights!$F$8</f>
        <v>MH0088</v>
      </c>
      <c r="D115" s="58" t="n">
        <f aca="false">Flights!$D$8</f>
        <v>46305</v>
      </c>
      <c r="E115" s="57" t="str">
        <f aca="false">Flights!$G$8&amp;"-"&amp;Flights!$H$8</f>
        <v>KUL-NRT</v>
      </c>
      <c r="F115" s="57" t="str">
        <f aca="false">Flights!$K$8</f>
        <v>BC</v>
      </c>
      <c r="G115" s="57" t="s">
        <v>383</v>
      </c>
      <c r="H115" s="57" t="s">
        <v>341</v>
      </c>
      <c r="I115" s="57" t="s">
        <v>462</v>
      </c>
      <c r="J115" s="57" t="s">
        <v>486</v>
      </c>
      <c r="K115" s="67" t="s">
        <v>464</v>
      </c>
      <c r="L115" s="67" t="s">
        <v>582</v>
      </c>
      <c r="M115" s="67" t="s">
        <v>414</v>
      </c>
      <c r="N115" s="67" t="s">
        <v>346</v>
      </c>
      <c r="O115" s="67" t="s">
        <v>466</v>
      </c>
      <c r="P115" s="57" t="s">
        <v>177</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IF(N115="N/A – rule","N/A – RULE",IF(TRIM(U115)="N/A",IF(AT115=0,"INVALID – N/A not permitted for this mandatory check",IF(AND(TRIM(AC115)&lt;&gt;"",TRIM(AE115)&lt;&gt;"",TRIM(T115)&lt;&gt;""),"N/A – JUSTIFIED","INVALID – N/A needs justification, PIC and verifier")),IF(OR(TRIM(U115)="Pass",TRIM(U115)="Pass after CA"),IF(NOT(ISNUMBER(AD115)),"INVALID – completion time missing",IF(TRIM(T115)="","INVALID – PIC missing",IF(TRIM(Z115)="","INVALID – evidence missing",IF(TRIM(AE115)="","INVALID – verifier missing",IF(AND(AQ115=1,TRIM(W115)=""),"INVALID – batch ID missing",IF(AND(AR115=1,OR(NOT(ISNUMBER(X115)),NOT(ISNUMBER(Y115)))),"INVALID – expected/actual qty missing",IF(IF(AND(TRIM(U115)="Pass",ISNUMBER(AF115)),IF(AF115&lt;&gt;0,"INVALID – qty variance: use Fail or Pass after CA",""),"")&amp;IF(AND(TRIM(U115)="Pass",AB115="Open"),"INVALID – corrective action still open: use Fail, then Pass after CA","")&amp;IF(AND(TRIM(U115)="Pass after CA",OR(TRIM(AA115)="",AB115&lt;&gt;"Closed")),"INVALID – corrective action not recorded/closed","")&lt;&gt;"",IF(AND(TRIM(U115)="Pass",ISNUMBER(AF115)),IF(AF115&lt;&gt;0,"INVALID – qty variance: use Fail or Pass after CA",""),"")&amp;IF(AND(TRIM(U115)="Pass",AB115="Open"),"INVALID – corrective action still open: use Fail, then Pass after CA","")&amp;IF(AND(TRIM(U115)="Pass after CA",OR(TRIM(AA115)="",AB115&lt;&gt;"Closed")),"INVALID – corrective action not recorded/closed",""),IF(AND(AS115=1,Documents!$J$8&lt;&gt;"ON FILE"),"INVALID – GLD not on file (Documents sheet)",IF(AND(AS115=2,Documents!$O$8&lt;&gt;"ON FILE"),"INVALID – menu checklist not on file (Documents sheet)",IF(AND(AS115=3,NOT(ISNUMBER(Flights!$AX$8))),"INVALID – enter carrying flight KUL departure (Flights AX)",IF(AG115&gt;AsOfUTC,"INVALID – completion time is in the future",IF(AND(ISNUMBER(S115),AG115&lt;S115),IF(H115="Physical uplift","INVALID – before uplift window (cannot confirm loading)","INVALID – before valid window"),IF(AG115&gt;Flights!$AA$8,"INVALID – completed after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f>
        <v>OPEN</v>
      </c>
      <c r="AI115" s="61" t="n">
        <f aca="false">IF(OR(AH115="N/A – RULE",AH115="N/A – JUSTIFIED"),0,1)</f>
        <v>1</v>
      </c>
      <c r="AJ115" s="61" t="n">
        <f aca="false">IF(LEFT(AH115,8)="COMPLETE",1,0)</f>
        <v>0</v>
      </c>
      <c r="AK115" s="61" t="n">
        <f aca="false">IF(AND(AI115=1,AJ115=0,AsOfUTC&gt;Q115),1,0)</f>
        <v>0</v>
      </c>
      <c r="AL115" s="61" t="n">
        <f aca="false">IF(AND(AI115=1,OR(TRIM(U115)="Fail",AB115="Open",AND(ISNUMBER(AF115),AF115&lt;&gt;0,TRIM(U115)&lt;&gt;"Pass after CA"))),1,0)</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1</v>
      </c>
    </row>
    <row r="116" customFormat="false" ht="41.25" hidden="false" customHeight="true" outlineLevel="0" collapsed="false">
      <c r="A116" s="57" t="s">
        <v>583</v>
      </c>
      <c r="B116" s="57" t="s">
        <v>208</v>
      </c>
      <c r="C116" s="57" t="str">
        <f aca="false">Flights!$F$8</f>
        <v>MH0088</v>
      </c>
      <c r="D116" s="58" t="n">
        <f aca="false">Flights!$D$8</f>
        <v>46305</v>
      </c>
      <c r="E116" s="57" t="str">
        <f aca="false">Flights!$G$8&amp;"-"&amp;Flights!$H$8</f>
        <v>KUL-NRT</v>
      </c>
      <c r="F116" s="57" t="str">
        <f aca="false">Flights!$K$8</f>
        <v>BC</v>
      </c>
      <c r="G116" s="57" t="s">
        <v>383</v>
      </c>
      <c r="H116" s="57" t="s">
        <v>341</v>
      </c>
      <c r="I116" s="57" t="s">
        <v>410</v>
      </c>
      <c r="J116" s="57" t="s">
        <v>489</v>
      </c>
      <c r="K116" s="67" t="s">
        <v>412</v>
      </c>
      <c r="L116" s="67" t="s">
        <v>584</v>
      </c>
      <c r="M116" s="67" t="s">
        <v>414</v>
      </c>
      <c r="N116" s="67" t="s">
        <v>346</v>
      </c>
      <c r="O116" s="67" t="s">
        <v>466</v>
      </c>
      <c r="P116" s="57" t="s">
        <v>177</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IF(N116="N/A – rule","N/A – RULE",IF(TRIM(U116)="N/A",IF(AT116=0,"INVALID – N/A not permitted for this mandatory check",IF(AND(TRIM(AC116)&lt;&gt;"",TRIM(AE116)&lt;&gt;"",TRIM(T116)&lt;&gt;""),"N/A – JUSTIFIED","INVALID – N/A needs justification, PIC and verifier")),IF(OR(TRIM(U116)="Pass",TRIM(U116)="Pass after CA"),IF(NOT(ISNUMBER(AD116)),"INVALID – completion time missing",IF(TRIM(T116)="","INVALID – PIC missing",IF(TRIM(Z116)="","INVALID – evidence missing",IF(TRIM(AE116)="","INVALID – verifier missing",IF(AND(AQ116=1,TRIM(W116)=""),"INVALID – batch ID missing",IF(AND(AR116=1,OR(NOT(ISNUMBER(X116)),NOT(ISNUMBER(Y116)))),"INVALID – expected/actual qty missing",IF(IF(AND(TRIM(U116)="Pass",ISNUMBER(AF116)),IF(AF116&lt;&gt;0,"INVALID – qty variance: use Fail or Pass after CA",""),"")&amp;IF(AND(TRIM(U116)="Pass",AB116="Open"),"INVALID – corrective action still open: use Fail, then Pass after CA","")&amp;IF(AND(TRIM(U116)="Pass after CA",OR(TRIM(AA116)="",AB116&lt;&gt;"Closed")),"INVALID – corrective action not recorded/closed","")&lt;&gt;"",IF(AND(TRIM(U116)="Pass",ISNUMBER(AF116)),IF(AF116&lt;&gt;0,"INVALID – qty variance: use Fail or Pass after CA",""),"")&amp;IF(AND(TRIM(U116)="Pass",AB116="Open"),"INVALID – corrective action still open: use Fail, then Pass after CA","")&amp;IF(AND(TRIM(U116)="Pass after CA",OR(TRIM(AA116)="",AB116&lt;&gt;"Closed")),"INVALID – corrective action not recorded/closed",""),IF(AND(AS116=1,Documents!$J$8&lt;&gt;"ON FILE"),"INVALID – GLD not on file (Documents sheet)",IF(AND(AS116=2,Documents!$O$8&lt;&gt;"ON FILE"),"INVALID – menu checklist not on file (Documents sheet)",IF(AND(AS116=3,NOT(ISNUMBER(Flights!$AX$8))),"INVALID – enter carrying flight KUL departure (Flights AX)",IF(AG116&gt;AsOfUTC,"INVALID – completion time is in the future",IF(AND(ISNUMBER(S116),AG116&lt;S116),IF(H116="Physical uplift","INVALID – before uplift window (cannot confirm loading)","INVALID – before valid window"),IF(AG116&gt;Flights!$AA$8,"INVALID – completed after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f>
        <v>OPEN</v>
      </c>
      <c r="AI116" s="61" t="n">
        <f aca="false">IF(OR(AH116="N/A – RULE",AH116="N/A – JUSTIFIED"),0,1)</f>
        <v>1</v>
      </c>
      <c r="AJ116" s="61" t="n">
        <f aca="false">IF(LEFT(AH116,8)="COMPLETE",1,0)</f>
        <v>0</v>
      </c>
      <c r="AK116" s="61" t="n">
        <f aca="false">IF(AND(AI116=1,AJ116=0,AsOfUTC&gt;Q116),1,0)</f>
        <v>0</v>
      </c>
      <c r="AL116" s="61" t="n">
        <f aca="false">IF(AND(AI116=1,OR(TRIM(U116)="Fail",AB116="Open",AND(ISNUMBER(AF116),AF116&lt;&gt;0,TRIM(U116)&lt;&gt;"Pass after CA"))),1,0)</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1</v>
      </c>
    </row>
    <row r="117" customFormat="false" ht="41.25" hidden="false" customHeight="true" outlineLevel="0" collapsed="false">
      <c r="A117" s="57" t="s">
        <v>585</v>
      </c>
      <c r="B117" s="57" t="s">
        <v>208</v>
      </c>
      <c r="C117" s="57" t="str">
        <f aca="false">Flights!$F$8</f>
        <v>MH0088</v>
      </c>
      <c r="D117" s="58" t="n">
        <f aca="false">Flights!$D$8</f>
        <v>46305</v>
      </c>
      <c r="E117" s="57" t="str">
        <f aca="false">Flights!$G$8&amp;"-"&amp;Flights!$H$8</f>
        <v>KUL-NRT</v>
      </c>
      <c r="F117" s="57" t="str">
        <f aca="false">Flights!$K$8</f>
        <v>BC</v>
      </c>
      <c r="G117" s="57" t="s">
        <v>383</v>
      </c>
      <c r="H117" s="57" t="s">
        <v>341</v>
      </c>
      <c r="I117" s="57" t="s">
        <v>410</v>
      </c>
      <c r="J117" s="57" t="s">
        <v>586</v>
      </c>
      <c r="K117" s="67" t="s">
        <v>412</v>
      </c>
      <c r="L117" s="67" t="s">
        <v>587</v>
      </c>
      <c r="M117" s="67" t="s">
        <v>414</v>
      </c>
      <c r="N117" s="67" t="s">
        <v>346</v>
      </c>
      <c r="O117" s="67" t="s">
        <v>466</v>
      </c>
      <c r="P117" s="57" t="s">
        <v>177</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IF(N117="N/A – rule","N/A – RULE",IF(TRIM(U117)="N/A",IF(AT117=0,"INVALID – N/A not permitted for this mandatory check",IF(AND(TRIM(AC117)&lt;&gt;"",TRIM(AE117)&lt;&gt;"",TRIM(T117)&lt;&gt;""),"N/A – JUSTIFIED","INVALID – N/A needs justification, PIC and verifier")),IF(OR(TRIM(U117)="Pass",TRIM(U117)="Pass after CA"),IF(NOT(ISNUMBER(AD117)),"INVALID – completion time missing",IF(TRIM(T117)="","INVALID – PIC missing",IF(TRIM(Z117)="","INVALID – evidence missing",IF(TRIM(AE117)="","INVALID – verifier missing",IF(AND(AQ117=1,TRIM(W117)=""),"INVALID – batch ID missing",IF(AND(AR117=1,OR(NOT(ISNUMBER(X117)),NOT(ISNUMBER(Y117)))),"INVALID – expected/actual qty missing",IF(IF(AND(TRIM(U117)="Pass",ISNUMBER(AF117)),IF(AF117&lt;&gt;0,"INVALID – qty variance: use Fail or Pass after CA",""),"")&amp;IF(AND(TRIM(U117)="Pass",AB117="Open"),"INVALID – corrective action still open: use Fail, then Pass after CA","")&amp;IF(AND(TRIM(U117)="Pass after CA",OR(TRIM(AA117)="",AB117&lt;&gt;"Closed")),"INVALID – corrective action not recorded/closed","")&lt;&gt;"",IF(AND(TRIM(U117)="Pass",ISNUMBER(AF117)),IF(AF117&lt;&gt;0,"INVALID – qty variance: use Fail or Pass after CA",""),"")&amp;IF(AND(TRIM(U117)="Pass",AB117="Open"),"INVALID – corrective action still open: use Fail, then Pass after CA","")&amp;IF(AND(TRIM(U117)="Pass after CA",OR(TRIM(AA117)="",AB117&lt;&gt;"Closed")),"INVALID – corrective action not recorded/closed",""),IF(AND(AS117=1,Documents!$J$8&lt;&gt;"ON FILE"),"INVALID – GLD not on file (Documents sheet)",IF(AND(AS117=2,Documents!$O$8&lt;&gt;"ON FILE"),"INVALID – menu checklist not on file (Documents sheet)",IF(AND(AS117=3,NOT(ISNUMBER(Flights!$AX$8))),"INVALID – enter carrying flight KUL departure (Flights AX)",IF(AG117&gt;AsOfUTC,"INVALID – completion time is in the future",IF(AND(ISNUMBER(S117),AG117&lt;S117),IF(H117="Physical uplift","INVALID – before uplift window (cannot confirm loading)","INVALID – before valid window"),IF(AG117&gt;Flights!$AA$8,"INVALID – completed after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f>
        <v>OPEN</v>
      </c>
      <c r="AI117" s="61" t="n">
        <f aca="false">IF(OR(AH117="N/A – RULE",AH117="N/A – JUSTIFIED"),0,1)</f>
        <v>1</v>
      </c>
      <c r="AJ117" s="61" t="n">
        <f aca="false">IF(LEFT(AH117,8)="COMPLETE",1,0)</f>
        <v>0</v>
      </c>
      <c r="AK117" s="61" t="n">
        <f aca="false">IF(AND(AI117=1,AJ117=0,AsOfUTC&gt;Q117),1,0)</f>
        <v>0</v>
      </c>
      <c r="AL117" s="61" t="n">
        <f aca="false">IF(AND(AI117=1,OR(TRIM(U117)="Fail",AB117="Open",AND(ISNUMBER(AF117),AF117&lt;&gt;0,TRIM(U117)&lt;&gt;"Pass after CA"))),1,0)</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1</v>
      </c>
    </row>
    <row r="118" customFormat="false" ht="41.25" hidden="false" customHeight="true" outlineLevel="0" collapsed="false">
      <c r="A118" s="57" t="s">
        <v>588</v>
      </c>
      <c r="B118" s="57" t="s">
        <v>208</v>
      </c>
      <c r="C118" s="57" t="str">
        <f aca="false">Flights!$F$8</f>
        <v>MH0088</v>
      </c>
      <c r="D118" s="58" t="n">
        <f aca="false">Flights!$D$8</f>
        <v>46305</v>
      </c>
      <c r="E118" s="57" t="str">
        <f aca="false">Flights!$G$8&amp;"-"&amp;Flights!$H$8</f>
        <v>KUL-NRT</v>
      </c>
      <c r="F118" s="57" t="str">
        <f aca="false">Flights!$K$8</f>
        <v>BC</v>
      </c>
      <c r="G118" s="57" t="s">
        <v>383</v>
      </c>
      <c r="H118" s="57" t="s">
        <v>341</v>
      </c>
      <c r="I118" s="57" t="s">
        <v>410</v>
      </c>
      <c r="J118" s="57" t="s">
        <v>589</v>
      </c>
      <c r="K118" s="67" t="s">
        <v>412</v>
      </c>
      <c r="L118" s="67" t="s">
        <v>590</v>
      </c>
      <c r="M118" s="67" t="s">
        <v>414</v>
      </c>
      <c r="N118" s="67" t="s">
        <v>346</v>
      </c>
      <c r="O118" s="67" t="s">
        <v>466</v>
      </c>
      <c r="P118" s="57" t="s">
        <v>177</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IF(N118="N/A – rule","N/A – RULE",IF(TRIM(U118)="N/A",IF(AT118=0,"INVALID – N/A not permitted for this mandatory check",IF(AND(TRIM(AC118)&lt;&gt;"",TRIM(AE118)&lt;&gt;"",TRIM(T118)&lt;&gt;""),"N/A – JUSTIFIED","INVALID – N/A needs justification, PIC and verifier")),IF(OR(TRIM(U118)="Pass",TRIM(U118)="Pass after CA"),IF(NOT(ISNUMBER(AD118)),"INVALID – completion time missing",IF(TRIM(T118)="","INVALID – PIC missing",IF(TRIM(Z118)="","INVALID – evidence missing",IF(TRIM(AE118)="","INVALID – verifier missing",IF(AND(AQ118=1,TRIM(W118)=""),"INVALID – batch ID missing",IF(AND(AR118=1,OR(NOT(ISNUMBER(X118)),NOT(ISNUMBER(Y118)))),"INVALID – expected/actual qty missing",IF(IF(AND(TRIM(U118)="Pass",ISNUMBER(AF118)),IF(AF118&lt;&gt;0,"INVALID – qty variance: use Fail or Pass after CA",""),"")&amp;IF(AND(TRIM(U118)="Pass",AB118="Open"),"INVALID – corrective action still open: use Fail, then Pass after CA","")&amp;IF(AND(TRIM(U118)="Pass after CA",OR(TRIM(AA118)="",AB118&lt;&gt;"Closed")),"INVALID – corrective action not recorded/closed","")&lt;&gt;"",IF(AND(TRIM(U118)="Pass",ISNUMBER(AF118)),IF(AF118&lt;&gt;0,"INVALID – qty variance: use Fail or Pass after CA",""),"")&amp;IF(AND(TRIM(U118)="Pass",AB118="Open"),"INVALID – corrective action still open: use Fail, then Pass after CA","")&amp;IF(AND(TRIM(U118)="Pass after CA",OR(TRIM(AA118)="",AB118&lt;&gt;"Closed")),"INVALID – corrective action not recorded/closed",""),IF(AND(AS118=1,Documents!$J$8&lt;&gt;"ON FILE"),"INVALID – GLD not on file (Documents sheet)",IF(AND(AS118=2,Documents!$O$8&lt;&gt;"ON FILE"),"INVALID – menu checklist not on file (Documents sheet)",IF(AND(AS118=3,NOT(ISNUMBER(Flights!$AX$8))),"INVALID – enter carrying flight KUL departure (Flights AX)",IF(AG118&gt;AsOfUTC,"INVALID – completion time is in the future",IF(AND(ISNUMBER(S118),AG118&lt;S118),IF(H118="Physical uplift","INVALID – before uplift window (cannot confirm loading)","INVALID – before valid window"),IF(AG118&gt;Flights!$AA$8,"INVALID – completed after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f>
        <v>OPEN</v>
      </c>
      <c r="AI118" s="61" t="n">
        <f aca="false">IF(OR(AH118="N/A – RULE",AH118="N/A – JUSTIFIED"),0,1)</f>
        <v>1</v>
      </c>
      <c r="AJ118" s="61" t="n">
        <f aca="false">IF(LEFT(AH118,8)="COMPLETE",1,0)</f>
        <v>0</v>
      </c>
      <c r="AK118" s="61" t="n">
        <f aca="false">IF(AND(AI118=1,AJ118=0,AsOfUTC&gt;Q118),1,0)</f>
        <v>0</v>
      </c>
      <c r="AL118" s="61" t="n">
        <f aca="false">IF(AND(AI118=1,OR(TRIM(U118)="Fail",AB118="Open",AND(ISNUMBER(AF118),AF118&lt;&gt;0,TRIM(U118)&lt;&gt;"Pass after CA"))),1,0)</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1</v>
      </c>
    </row>
    <row r="119" customFormat="false" ht="39.75" hidden="false" customHeight="true" outlineLevel="0" collapsed="false">
      <c r="A119" s="57" t="s">
        <v>591</v>
      </c>
      <c r="B119" s="57" t="s">
        <v>208</v>
      </c>
      <c r="C119" s="57" t="str">
        <f aca="false">Flights!$F$8</f>
        <v>MH0088</v>
      </c>
      <c r="D119" s="58" t="n">
        <f aca="false">Flights!$D$8</f>
        <v>46305</v>
      </c>
      <c r="E119" s="57" t="str">
        <f aca="false">Flights!$G$8&amp;"-"&amp;Flights!$H$8</f>
        <v>KUL-NRT</v>
      </c>
      <c r="F119" s="57" t="str">
        <f aca="false">Flights!$K$8</f>
        <v>BC</v>
      </c>
      <c r="G119" s="57" t="s">
        <v>383</v>
      </c>
      <c r="H119" s="57" t="s">
        <v>341</v>
      </c>
      <c r="I119" s="57" t="s">
        <v>592</v>
      </c>
      <c r="J119" s="57" t="s">
        <v>593</v>
      </c>
      <c r="K119" s="67" t="s">
        <v>464</v>
      </c>
      <c r="L119" s="67" t="s">
        <v>594</v>
      </c>
      <c r="M119" s="67" t="s">
        <v>177</v>
      </c>
      <c r="N119" s="67" t="s">
        <v>346</v>
      </c>
      <c r="O119" s="67" t="s">
        <v>595</v>
      </c>
      <c r="P119" s="57" t="s">
        <v>177</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IF(N119="N/A – rule","N/A – RULE",IF(TRIM(U119)="N/A",IF(AT119=0,"INVALID – N/A not permitted for this mandatory check",IF(AND(TRIM(AC119)&lt;&gt;"",TRIM(AE119)&lt;&gt;"",TRIM(T119)&lt;&gt;""),"N/A – JUSTIFIED","INVALID – N/A needs justification, PIC and verifier")),IF(OR(TRIM(U119)="Pass",TRIM(U119)="Pass after CA"),IF(NOT(ISNUMBER(AD119)),"INVALID – completion time missing",IF(TRIM(T119)="","INVALID – PIC missing",IF(TRIM(Z119)="","INVALID – evidence missing",IF(TRIM(AE119)="","INVALID – verifier missing",IF(AND(AQ119=1,TRIM(W119)=""),"INVALID – batch ID missing",IF(AND(AR119=1,OR(NOT(ISNUMBER(X119)),NOT(ISNUMBER(Y119)))),"INVALID – expected/actual qty missing",IF(IF(AND(TRIM(U119)="Pass",ISNUMBER(AF119)),IF(AF119&lt;&gt;0,"INVALID – qty variance: use Fail or Pass after CA",""),"")&amp;IF(AND(TRIM(U119)="Pass",AB119="Open"),"INVALID – corrective action still open: use Fail, then Pass after CA","")&amp;IF(AND(TRIM(U119)="Pass after CA",OR(TRIM(AA119)="",AB119&lt;&gt;"Closed")),"INVALID – corrective action not recorded/closed","")&lt;&gt;"",IF(AND(TRIM(U119)="Pass",ISNUMBER(AF119)),IF(AF119&lt;&gt;0,"INVALID – qty variance: use Fail or Pass after CA",""),"")&amp;IF(AND(TRIM(U119)="Pass",AB119="Open"),"INVALID – corrective action still open: use Fail, then Pass after CA","")&amp;IF(AND(TRIM(U119)="Pass after CA",OR(TRIM(AA119)="",AB119&lt;&gt;"Closed")),"INVALID – corrective action not recorded/closed",""),IF(AND(AS119=1,Documents!$J$8&lt;&gt;"ON FILE"),"INVALID – GLD not on file (Documents sheet)",IF(AND(AS119=2,Documents!$O$8&lt;&gt;"ON FILE"),"INVALID – menu checklist not on file (Documents sheet)",IF(AND(AS119=3,NOT(ISNUMBER(Flights!$AX$8))),"INVALID – enter carrying flight KUL departure (Flights AX)",IF(AG119&gt;AsOfUTC,"INVALID – completion time is in the future",IF(AND(ISNUMBER(S119),AG119&lt;S119),IF(H119="Physical uplift","INVALID – before uplift window (cannot confirm loading)","INVALID – before valid window"),IF(AG119&gt;Flights!$AA$8,"INVALID – completed after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f>
        <v>OPEN</v>
      </c>
      <c r="AI119" s="61" t="n">
        <f aca="false">IF(OR(AH119="N/A – RULE",AH119="N/A – JUSTIFIED"),0,1)</f>
        <v>1</v>
      </c>
      <c r="AJ119" s="61" t="n">
        <f aca="false">IF(LEFT(AH119,8)="COMPLETE",1,0)</f>
        <v>0</v>
      </c>
      <c r="AK119" s="61" t="n">
        <f aca="false">IF(AND(AI119=1,AJ119=0,AsOfUTC&gt;Q119),1,0)</f>
        <v>0</v>
      </c>
      <c r="AL119" s="61" t="n">
        <f aca="false">IF(AND(AI119=1,OR(TRIM(U119)="Fail",AB119="Open",AND(ISNUMBER(AF119),AF119&lt;&gt;0,TRIM(U119)&lt;&gt;"Pass after CA"))),1,0)</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1</v>
      </c>
    </row>
    <row r="120" customFormat="false" ht="54" hidden="false" customHeight="true" outlineLevel="0" collapsed="false">
      <c r="A120" s="57" t="s">
        <v>596</v>
      </c>
      <c r="B120" s="57" t="s">
        <v>208</v>
      </c>
      <c r="C120" s="57" t="str">
        <f aca="false">Flights!$F$8</f>
        <v>MH0088</v>
      </c>
      <c r="D120" s="58" t="n">
        <f aca="false">Flights!$D$8</f>
        <v>46305</v>
      </c>
      <c r="E120" s="57" t="str">
        <f aca="false">Flights!$G$8&amp;"-"&amp;Flights!$H$8</f>
        <v>KUL-NRT</v>
      </c>
      <c r="F120" s="57" t="str">
        <f aca="false">Flights!$K$8</f>
        <v>BC</v>
      </c>
      <c r="G120" s="57" t="s">
        <v>383</v>
      </c>
      <c r="H120" s="57" t="s">
        <v>341</v>
      </c>
      <c r="I120" s="57" t="s">
        <v>597</v>
      </c>
      <c r="J120" s="57" t="s">
        <v>598</v>
      </c>
      <c r="K120" s="67" t="s">
        <v>599</v>
      </c>
      <c r="L120" s="67" t="s">
        <v>600</v>
      </c>
      <c r="M120" s="67" t="s">
        <v>414</v>
      </c>
      <c r="N120" s="67" t="s">
        <v>346</v>
      </c>
      <c r="O120" s="67" t="s">
        <v>601</v>
      </c>
      <c r="P120" s="57" t="s">
        <v>177</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IF(N120="N/A – rule","N/A – RULE",IF(TRIM(U120)="N/A",IF(AT120=0,"INVALID – N/A not permitted for this mandatory check",IF(AND(TRIM(AC120)&lt;&gt;"",TRIM(AE120)&lt;&gt;"",TRIM(T120)&lt;&gt;""),"N/A – JUSTIFIED","INVALID – N/A needs justification, PIC and verifier")),IF(OR(TRIM(U120)="Pass",TRIM(U120)="Pass after CA"),IF(NOT(ISNUMBER(AD120)),"INVALID – completion time missing",IF(TRIM(T120)="","INVALID – PIC missing",IF(TRIM(Z120)="","INVALID – evidence missing",IF(TRIM(AE120)="","INVALID – verifier missing",IF(AND(AQ120=1,TRIM(W120)=""),"INVALID – batch ID missing",IF(AND(AR120=1,OR(NOT(ISNUMBER(X120)),NOT(ISNUMBER(Y120)))),"INVALID – expected/actual qty missing",IF(IF(AND(TRIM(U120)="Pass",ISNUMBER(AF120)),IF(AF120&lt;&gt;0,"INVALID – qty variance: use Fail or Pass after CA",""),"")&amp;IF(AND(TRIM(U120)="Pass",AB120="Open"),"INVALID – corrective action still open: use Fail, then Pass after CA","")&amp;IF(AND(TRIM(U120)="Pass after CA",OR(TRIM(AA120)="",AB120&lt;&gt;"Closed")),"INVALID – corrective action not recorded/closed","")&lt;&gt;"",IF(AND(TRIM(U120)="Pass",ISNUMBER(AF120)),IF(AF120&lt;&gt;0,"INVALID – qty variance: use Fail or Pass after CA",""),"")&amp;IF(AND(TRIM(U120)="Pass",AB120="Open"),"INVALID – corrective action still open: use Fail, then Pass after CA","")&amp;IF(AND(TRIM(U120)="Pass after CA",OR(TRIM(AA120)="",AB120&lt;&gt;"Closed")),"INVALID – corrective action not recorded/closed",""),IF(AND(AS120=1,Documents!$J$8&lt;&gt;"ON FILE"),"INVALID – GLD not on file (Documents sheet)",IF(AND(AS120=2,Documents!$O$8&lt;&gt;"ON FILE"),"INVALID – menu checklist not on file (Documents sheet)",IF(AND(AS120=3,NOT(ISNUMBER(Flights!$AX$8))),"INVALID – enter carrying flight KUL departure (Flights AX)",IF(AG120&gt;AsOfUTC,"INVALID – completion time is in the future",IF(AND(ISNUMBER(S120),AG120&lt;S120),IF(H120="Physical uplift","INVALID – before uplift window (cannot confirm loading)","INVALID – before valid window"),IF(AG120&gt;Flights!$AA$8,"INVALID – completed after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f>
        <v>OPEN</v>
      </c>
      <c r="AI120" s="61" t="n">
        <f aca="false">IF(OR(AH120="N/A – RULE",AH120="N/A – JUSTIFIED"),0,1)</f>
        <v>1</v>
      </c>
      <c r="AJ120" s="61" t="n">
        <f aca="false">IF(LEFT(AH120,8)="COMPLETE",1,0)</f>
        <v>0</v>
      </c>
      <c r="AK120" s="61" t="n">
        <f aca="false">IF(AND(AI120=1,AJ120=0,AsOfUTC&gt;Q120),1,0)</f>
        <v>0</v>
      </c>
      <c r="AL120" s="61" t="n">
        <f aca="false">IF(AND(AI120=1,OR(TRIM(U120)="Fail",AB120="Open",AND(ISNUMBER(AF120),AF120&lt;&gt;0,TRIM(U120)&lt;&gt;"Pass after CA"))),1,0)</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1</v>
      </c>
    </row>
    <row r="121" customFormat="false" ht="39.75" hidden="false" customHeight="true" outlineLevel="0" collapsed="false">
      <c r="A121" s="57" t="s">
        <v>602</v>
      </c>
      <c r="B121" s="57" t="s">
        <v>208</v>
      </c>
      <c r="C121" s="57" t="str">
        <f aca="false">Flights!$F$8</f>
        <v>MH0088</v>
      </c>
      <c r="D121" s="58" t="n">
        <f aca="false">Flights!$D$8</f>
        <v>46305</v>
      </c>
      <c r="E121" s="57" t="str">
        <f aca="false">Flights!$G$8&amp;"-"&amp;Flights!$H$8</f>
        <v>KUL-NRT</v>
      </c>
      <c r="F121" s="57" t="str">
        <f aca="false">Flights!$K$8</f>
        <v>BC</v>
      </c>
      <c r="G121" s="57" t="s">
        <v>422</v>
      </c>
      <c r="H121" s="57" t="s">
        <v>423</v>
      </c>
      <c r="I121" s="57" t="s">
        <v>342</v>
      </c>
      <c r="J121" s="57" t="s">
        <v>424</v>
      </c>
      <c r="K121" s="67" t="s">
        <v>389</v>
      </c>
      <c r="L121" s="67" t="s">
        <v>425</v>
      </c>
      <c r="M121" s="67"/>
      <c r="N121" s="67" t="s">
        <v>346</v>
      </c>
      <c r="O121" s="67" t="s">
        <v>426</v>
      </c>
      <c r="P121" s="57" t="s">
        <v>177</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IF(N121="N/A – rule","N/A – RULE",IF(TRIM(U121)="N/A",IF(AT121=0,"INVALID – N/A not permitted for this mandatory check",IF(AND(TRIM(AC121)&lt;&gt;"",TRIM(AE121)&lt;&gt;"",TRIM(T121)&lt;&gt;""),"N/A – JUSTIFIED","INVALID – N/A needs justification, PIC and verifier")),IF(OR(TRIM(U121)="Pass",TRIM(U121)="Pass after CA"),IF(NOT(ISNUMBER(AD121)),"INVALID – completion time missing",IF(TRIM(T121)="","INVALID – PIC missing",IF(TRIM(Z121)="","INVALID – evidence missing",IF(TRIM(AE121)="","INVALID – verifier missing",IF(AND(AQ121=1,TRIM(W121)=""),"INVALID – batch ID missing",IF(AND(AR121=1,OR(NOT(ISNUMBER(X121)),NOT(ISNUMBER(Y121)))),"INVALID – expected/actual qty missing",IF(IF(AND(TRIM(U121)="Pass",ISNUMBER(AF121)),IF(AF121&lt;&gt;0,"INVALID – qty variance: use Fail or Pass after CA",""),"")&amp;IF(AND(TRIM(U121)="Pass",AB121="Open"),"INVALID – corrective action still open: use Fail, then Pass after CA","")&amp;IF(AND(TRIM(U121)="Pass after CA",OR(TRIM(AA121)="",AB121&lt;&gt;"Closed")),"INVALID – corrective action not recorded/closed","")&lt;&gt;"",IF(AND(TRIM(U121)="Pass",ISNUMBER(AF121)),IF(AF121&lt;&gt;0,"INVALID – qty variance: use Fail or Pass after CA",""),"")&amp;IF(AND(TRIM(U121)="Pass",AB121="Open"),"INVALID – corrective action still open: use Fail, then Pass after CA","")&amp;IF(AND(TRIM(U121)="Pass after CA",OR(TRIM(AA121)="",AB121&lt;&gt;"Closed")),"INVALID – corrective action not recorded/closed",""),IF(AND(AS121=1,Documents!$J$8&lt;&gt;"ON FILE"),"INVALID – GLD not on file (Documents sheet)",IF(AND(AS121=2,Documents!$O$8&lt;&gt;"ON FILE"),"INVALID – menu checklist not on file (Documents sheet)",IF(AND(AS121=3,NOT(ISNUMBER(Flights!$AX$8))),"INVALID – enter carrying flight KUL departure (Flights AX)",IF(AG121&gt;AsOfUTC,"INVALID – completion time is in the future",IF(AND(ISNUMBER(S121),AG121&lt;S121),IF(H121="Physical uplift","INVALID – before uplift window (cannot confirm loading)","INVALID – before valid window"),IF(AG121&gt;Flights!$AA$8,"INVALID – completed after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f>
        <v>OPEN</v>
      </c>
      <c r="AI121" s="61" t="n">
        <f aca="false">IF(OR(AH121="N/A – RULE",AH121="N/A – JUSTIFIED"),0,1)</f>
        <v>1</v>
      </c>
      <c r="AJ121" s="61" t="n">
        <f aca="false">IF(LEFT(AH121,8)="COMPLETE",1,0)</f>
        <v>0</v>
      </c>
      <c r="AK121" s="61" t="n">
        <f aca="false">IF(AND(AI121=1,AJ121=0,AsOfUTC&gt;Q121),1,0)</f>
        <v>0</v>
      </c>
      <c r="AL121" s="61" t="n">
        <f aca="false">IF(AND(AI121=1,OR(TRIM(U121)="Fail",AB121="Open",AND(ISNUMBER(AF121),AF121&lt;&gt;0,TRIM(U121)&lt;&gt;"Pass after CA"))),1,0)</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row>
    <row r="122" customFormat="false" ht="39.75" hidden="false" customHeight="true" outlineLevel="0" collapsed="false">
      <c r="A122" s="57" t="s">
        <v>603</v>
      </c>
      <c r="B122" s="57" t="s">
        <v>208</v>
      </c>
      <c r="C122" s="57" t="str">
        <f aca="false">Flights!$F$8</f>
        <v>MH0088</v>
      </c>
      <c r="D122" s="58" t="n">
        <f aca="false">Flights!$D$8</f>
        <v>46305</v>
      </c>
      <c r="E122" s="57" t="str">
        <f aca="false">Flights!$G$8&amp;"-"&amp;Flights!$H$8</f>
        <v>KUL-NRT</v>
      </c>
      <c r="F122" s="57" t="str">
        <f aca="false">Flights!$K$8</f>
        <v>BC</v>
      </c>
      <c r="G122" s="57" t="s">
        <v>422</v>
      </c>
      <c r="H122" s="57" t="s">
        <v>423</v>
      </c>
      <c r="I122" s="57" t="s">
        <v>391</v>
      </c>
      <c r="J122" s="57" t="s">
        <v>428</v>
      </c>
      <c r="K122" s="67" t="s">
        <v>389</v>
      </c>
      <c r="L122" s="67" t="s">
        <v>425</v>
      </c>
      <c r="M122" s="67"/>
      <c r="N122" s="67" t="s">
        <v>346</v>
      </c>
      <c r="O122" s="67" t="s">
        <v>426</v>
      </c>
      <c r="P122" s="57" t="s">
        <v>177</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IF(N122="N/A – rule","N/A – RULE",IF(TRIM(U122)="N/A",IF(AT122=0,"INVALID – N/A not permitted for this mandatory check",IF(AND(TRIM(AC122)&lt;&gt;"",TRIM(AE122)&lt;&gt;"",TRIM(T122)&lt;&gt;""),"N/A – JUSTIFIED","INVALID – N/A needs justification, PIC and verifier")),IF(OR(TRIM(U122)="Pass",TRIM(U122)="Pass after CA"),IF(NOT(ISNUMBER(AD122)),"INVALID – completion time missing",IF(TRIM(T122)="","INVALID – PIC missing",IF(TRIM(Z122)="","INVALID – evidence missing",IF(TRIM(AE122)="","INVALID – verifier missing",IF(AND(AQ122=1,TRIM(W122)=""),"INVALID – batch ID missing",IF(AND(AR122=1,OR(NOT(ISNUMBER(X122)),NOT(ISNUMBER(Y122)))),"INVALID – expected/actual qty missing",IF(IF(AND(TRIM(U122)="Pass",ISNUMBER(AF122)),IF(AF122&lt;&gt;0,"INVALID – qty variance: use Fail or Pass after CA",""),"")&amp;IF(AND(TRIM(U122)="Pass",AB122="Open"),"INVALID – corrective action still open: use Fail, then Pass after CA","")&amp;IF(AND(TRIM(U122)="Pass after CA",OR(TRIM(AA122)="",AB122&lt;&gt;"Closed")),"INVALID – corrective action not recorded/closed","")&lt;&gt;"",IF(AND(TRIM(U122)="Pass",ISNUMBER(AF122)),IF(AF122&lt;&gt;0,"INVALID – qty variance: use Fail or Pass after CA",""),"")&amp;IF(AND(TRIM(U122)="Pass",AB122="Open"),"INVALID – corrective action still open: use Fail, then Pass after CA","")&amp;IF(AND(TRIM(U122)="Pass after CA",OR(TRIM(AA122)="",AB122&lt;&gt;"Closed")),"INVALID – corrective action not recorded/closed",""),IF(AND(AS122=1,Documents!$J$8&lt;&gt;"ON FILE"),"INVALID – GLD not on file (Documents sheet)",IF(AND(AS122=2,Documents!$O$8&lt;&gt;"ON FILE"),"INVALID – menu checklist not on file (Documents sheet)",IF(AND(AS122=3,NOT(ISNUMBER(Flights!$AX$8))),"INVALID – enter carrying flight KUL departure (Flights AX)",IF(AG122&gt;AsOfUTC,"INVALID – completion time is in the future",IF(AND(ISNUMBER(S122),AG122&lt;S122),IF(H122="Physical uplift","INVALID – before uplift window (cannot confirm loading)","INVALID – before valid window"),IF(AG122&gt;Flights!$AA$8,"INVALID – completed after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f>
        <v>OPEN</v>
      </c>
      <c r="AI122" s="61" t="n">
        <f aca="false">IF(OR(AH122="N/A – RULE",AH122="N/A – JUSTIFIED"),0,1)</f>
        <v>1</v>
      </c>
      <c r="AJ122" s="61" t="n">
        <f aca="false">IF(LEFT(AH122,8)="COMPLETE",1,0)</f>
        <v>0</v>
      </c>
      <c r="AK122" s="61" t="n">
        <f aca="false">IF(AND(AI122=1,AJ122=0,AsOfUTC&gt;Q122),1,0)</f>
        <v>0</v>
      </c>
      <c r="AL122" s="61" t="n">
        <f aca="false">IF(AND(AI122=1,OR(TRIM(U122)="Fail",AB122="Open",AND(ISNUMBER(AF122),AF122&lt;&gt;0,TRIM(U122)&lt;&gt;"Pass after CA"))),1,0)</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row>
    <row r="123" customFormat="false" ht="39.75" hidden="false" customHeight="true" outlineLevel="0" collapsed="false">
      <c r="A123" s="57" t="s">
        <v>604</v>
      </c>
      <c r="B123" s="57" t="s">
        <v>208</v>
      </c>
      <c r="C123" s="57" t="str">
        <f aca="false">Flights!$F$8</f>
        <v>MH0088</v>
      </c>
      <c r="D123" s="58" t="n">
        <f aca="false">Flights!$D$8</f>
        <v>46305</v>
      </c>
      <c r="E123" s="57" t="str">
        <f aca="false">Flights!$G$8&amp;"-"&amp;Flights!$H$8</f>
        <v>KUL-NRT</v>
      </c>
      <c r="F123" s="57" t="str">
        <f aca="false">Flights!$K$8</f>
        <v>BC</v>
      </c>
      <c r="G123" s="57" t="s">
        <v>422</v>
      </c>
      <c r="H123" s="57" t="s">
        <v>423</v>
      </c>
      <c r="I123" s="57" t="s">
        <v>403</v>
      </c>
      <c r="J123" s="57" t="s">
        <v>430</v>
      </c>
      <c r="K123" s="67" t="s">
        <v>464</v>
      </c>
      <c r="L123" s="67" t="s">
        <v>564</v>
      </c>
      <c r="M123" s="67" t="s">
        <v>177</v>
      </c>
      <c r="N123" s="67" t="s">
        <v>346</v>
      </c>
      <c r="O123" s="67"/>
      <c r="P123" s="57" t="s">
        <v>177</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IF(N123="N/A – rule","N/A – RULE",IF(TRIM(U123)="N/A",IF(AT123=0,"INVALID – N/A not permitted for this mandatory check",IF(AND(TRIM(AC123)&lt;&gt;"",TRIM(AE123)&lt;&gt;"",TRIM(T123)&lt;&gt;""),"N/A – JUSTIFIED","INVALID – N/A needs justification, PIC and verifier")),IF(OR(TRIM(U123)="Pass",TRIM(U123)="Pass after CA"),IF(NOT(ISNUMBER(AD123)),"INVALID – completion time missing",IF(TRIM(T123)="","INVALID – PIC missing",IF(TRIM(Z123)="","INVALID – evidence missing",IF(TRIM(AE123)="","INVALID – verifier missing",IF(AND(AQ123=1,TRIM(W123)=""),"INVALID – batch ID missing",IF(AND(AR123=1,OR(NOT(ISNUMBER(X123)),NOT(ISNUMBER(Y123)))),"INVALID – expected/actual qty missing",IF(IF(AND(TRIM(U123)="Pass",ISNUMBER(AF123)),IF(AF123&lt;&gt;0,"INVALID – qty variance: use Fail or Pass after CA",""),"")&amp;IF(AND(TRIM(U123)="Pass",AB123="Open"),"INVALID – corrective action still open: use Fail, then Pass after CA","")&amp;IF(AND(TRIM(U123)="Pass after CA",OR(TRIM(AA123)="",AB123&lt;&gt;"Closed")),"INVALID – corrective action not recorded/closed","")&lt;&gt;"",IF(AND(TRIM(U123)="Pass",ISNUMBER(AF123)),IF(AF123&lt;&gt;0,"INVALID – qty variance: use Fail or Pass after CA",""),"")&amp;IF(AND(TRIM(U123)="Pass",AB123="Open"),"INVALID – corrective action still open: use Fail, then Pass after CA","")&amp;IF(AND(TRIM(U123)="Pass after CA",OR(TRIM(AA123)="",AB123&lt;&gt;"Closed")),"INVALID – corrective action not recorded/closed",""),IF(AND(AS123=1,Documents!$J$8&lt;&gt;"ON FILE"),"INVALID – GLD not on file (Documents sheet)",IF(AND(AS123=2,Documents!$O$8&lt;&gt;"ON FILE"),"INVALID – menu checklist not on file (Documents sheet)",IF(AND(AS123=3,NOT(ISNUMBER(Flights!$AX$8))),"INVALID – enter carrying flight KUL departure (Flights AX)",IF(AG123&gt;AsOfUTC,"INVALID – completion time is in the future",IF(AND(ISNUMBER(S123),AG123&lt;S123),IF(H123="Physical uplift","INVALID – before uplift window (cannot confirm loading)","INVALID – before valid window"),IF(AG123&gt;Flights!$AA$8,"INVALID – completed after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f>
        <v>OPEN</v>
      </c>
      <c r="AI123" s="61" t="n">
        <f aca="false">IF(OR(AH123="N/A – RULE",AH123="N/A – JUSTIFIED"),0,1)</f>
        <v>1</v>
      </c>
      <c r="AJ123" s="61" t="n">
        <f aca="false">IF(LEFT(AH123,8)="COMPLETE",1,0)</f>
        <v>0</v>
      </c>
      <c r="AK123" s="61" t="n">
        <f aca="false">IF(AND(AI123=1,AJ123=0,AsOfUTC&gt;Q123),1,0)</f>
        <v>0</v>
      </c>
      <c r="AL123" s="61" t="n">
        <f aca="false">IF(AND(AI123=1,OR(TRIM(U123)="Fail",AB123="Open",AND(ISNUMBER(AF123),AF123&lt;&gt;0,TRIM(U123)&lt;&gt;"Pass after CA"))),1,0)</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1</v>
      </c>
    </row>
    <row r="124" customFormat="false" ht="39.75" hidden="false" customHeight="true" outlineLevel="0" collapsed="false">
      <c r="A124" s="57" t="s">
        <v>605</v>
      </c>
      <c r="B124" s="57" t="s">
        <v>208</v>
      </c>
      <c r="C124" s="57" t="str">
        <f aca="false">Flights!$F$8</f>
        <v>MH0088</v>
      </c>
      <c r="D124" s="58" t="n">
        <f aca="false">Flights!$D$8</f>
        <v>46305</v>
      </c>
      <c r="E124" s="57" t="str">
        <f aca="false">Flights!$G$8&amp;"-"&amp;Flights!$H$8</f>
        <v>KUL-NRT</v>
      </c>
      <c r="F124" s="57" t="str">
        <f aca="false">Flights!$K$8</f>
        <v>BC</v>
      </c>
      <c r="G124" s="57" t="s">
        <v>422</v>
      </c>
      <c r="H124" s="57" t="s">
        <v>423</v>
      </c>
      <c r="I124" s="57" t="s">
        <v>403</v>
      </c>
      <c r="J124" s="57" t="s">
        <v>606</v>
      </c>
      <c r="K124" s="67" t="s">
        <v>464</v>
      </c>
      <c r="L124" s="67" t="s">
        <v>567</v>
      </c>
      <c r="M124" s="67" t="s">
        <v>177</v>
      </c>
      <c r="N124" s="67" t="s">
        <v>346</v>
      </c>
      <c r="O124" s="67"/>
      <c r="P124" s="57" t="s">
        <v>177</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IF(N124="N/A – rule","N/A – RULE",IF(TRIM(U124)="N/A",IF(AT124=0,"INVALID – N/A not permitted for this mandatory check",IF(AND(TRIM(AC124)&lt;&gt;"",TRIM(AE124)&lt;&gt;"",TRIM(T124)&lt;&gt;""),"N/A – JUSTIFIED","INVALID – N/A needs justification, PIC and verifier")),IF(OR(TRIM(U124)="Pass",TRIM(U124)="Pass after CA"),IF(NOT(ISNUMBER(AD124)),"INVALID – completion time missing",IF(TRIM(T124)="","INVALID – PIC missing",IF(TRIM(Z124)="","INVALID – evidence missing",IF(TRIM(AE124)="","INVALID – verifier missing",IF(AND(AQ124=1,TRIM(W124)=""),"INVALID – batch ID missing",IF(AND(AR124=1,OR(NOT(ISNUMBER(X124)),NOT(ISNUMBER(Y124)))),"INVALID – expected/actual qty missing",IF(IF(AND(TRIM(U124)="Pass",ISNUMBER(AF124)),IF(AF124&lt;&gt;0,"INVALID – qty variance: use Fail or Pass after CA",""),"")&amp;IF(AND(TRIM(U124)="Pass",AB124="Open"),"INVALID – corrective action still open: use Fail, then Pass after CA","")&amp;IF(AND(TRIM(U124)="Pass after CA",OR(TRIM(AA124)="",AB124&lt;&gt;"Closed")),"INVALID – corrective action not recorded/closed","")&lt;&gt;"",IF(AND(TRIM(U124)="Pass",ISNUMBER(AF124)),IF(AF124&lt;&gt;0,"INVALID – qty variance: use Fail or Pass after CA",""),"")&amp;IF(AND(TRIM(U124)="Pass",AB124="Open"),"INVALID – corrective action still open: use Fail, then Pass after CA","")&amp;IF(AND(TRIM(U124)="Pass after CA",OR(TRIM(AA124)="",AB124&lt;&gt;"Closed")),"INVALID – corrective action not recorded/closed",""),IF(AND(AS124=1,Documents!$J$8&lt;&gt;"ON FILE"),"INVALID – GLD not on file (Documents sheet)",IF(AND(AS124=2,Documents!$O$8&lt;&gt;"ON FILE"),"INVALID – menu checklist not on file (Documents sheet)",IF(AND(AS124=3,NOT(ISNUMBER(Flights!$AX$8))),"INVALID – enter carrying flight KUL departure (Flights AX)",IF(AG124&gt;AsOfUTC,"INVALID – completion time is in the future",IF(AND(ISNUMBER(S124),AG124&lt;S124),IF(H124="Physical uplift","INVALID – before uplift window (cannot confirm loading)","INVALID – before valid window"),IF(AG124&gt;Flights!$AA$8,"INVALID – completed after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f>
        <v>OPEN</v>
      </c>
      <c r="AI124" s="61" t="n">
        <f aca="false">IF(OR(AH124="N/A – RULE",AH124="N/A – JUSTIFIED"),0,1)</f>
        <v>1</v>
      </c>
      <c r="AJ124" s="61" t="n">
        <f aca="false">IF(LEFT(AH124,8)="COMPLETE",1,0)</f>
        <v>0</v>
      </c>
      <c r="AK124" s="61" t="n">
        <f aca="false">IF(AND(AI124=1,AJ124=0,AsOfUTC&gt;Q124),1,0)</f>
        <v>0</v>
      </c>
      <c r="AL124" s="61" t="n">
        <f aca="false">IF(AND(AI124=1,OR(TRIM(U124)="Fail",AB124="Open",AND(ISNUMBER(AF124),AF124&lt;&gt;0,TRIM(U124)&lt;&gt;"Pass after CA"))),1,0)</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1</v>
      </c>
    </row>
    <row r="125" customFormat="false" ht="39.75" hidden="false" customHeight="true" outlineLevel="0" collapsed="false">
      <c r="A125" s="57" t="s">
        <v>607</v>
      </c>
      <c r="B125" s="57" t="s">
        <v>208</v>
      </c>
      <c r="C125" s="57" t="str">
        <f aca="false">Flights!$F$8</f>
        <v>MH0088</v>
      </c>
      <c r="D125" s="58" t="n">
        <f aca="false">Flights!$D$8</f>
        <v>46305</v>
      </c>
      <c r="E125" s="57" t="str">
        <f aca="false">Flights!$G$8&amp;"-"&amp;Flights!$H$8</f>
        <v>KUL-NRT</v>
      </c>
      <c r="F125" s="57" t="str">
        <f aca="false">Flights!$K$8</f>
        <v>BC</v>
      </c>
      <c r="G125" s="57" t="s">
        <v>422</v>
      </c>
      <c r="H125" s="57" t="s">
        <v>423</v>
      </c>
      <c r="I125" s="57" t="s">
        <v>462</v>
      </c>
      <c r="J125" s="57" t="s">
        <v>500</v>
      </c>
      <c r="K125" s="67" t="s">
        <v>464</v>
      </c>
      <c r="L125" s="67" t="s">
        <v>569</v>
      </c>
      <c r="M125" s="67" t="s">
        <v>414</v>
      </c>
      <c r="N125" s="67" t="s">
        <v>346</v>
      </c>
      <c r="O125" s="67"/>
      <c r="P125" s="57" t="s">
        <v>177</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IF(N125="N/A – rule","N/A – RULE",IF(TRIM(U125)="N/A",IF(AT125=0,"INVALID – N/A not permitted for this mandatory check",IF(AND(TRIM(AC125)&lt;&gt;"",TRIM(AE125)&lt;&gt;"",TRIM(T125)&lt;&gt;""),"N/A – JUSTIFIED","INVALID – N/A needs justification, PIC and verifier")),IF(OR(TRIM(U125)="Pass",TRIM(U125)="Pass after CA"),IF(NOT(ISNUMBER(AD125)),"INVALID – completion time missing",IF(TRIM(T125)="","INVALID – PIC missing",IF(TRIM(Z125)="","INVALID – evidence missing",IF(TRIM(AE125)="","INVALID – verifier missing",IF(AND(AQ125=1,TRIM(W125)=""),"INVALID – batch ID missing",IF(AND(AR125=1,OR(NOT(ISNUMBER(X125)),NOT(ISNUMBER(Y125)))),"INVALID – expected/actual qty missing",IF(IF(AND(TRIM(U125)="Pass",ISNUMBER(AF125)),IF(AF125&lt;&gt;0,"INVALID – qty variance: use Fail or Pass after CA",""),"")&amp;IF(AND(TRIM(U125)="Pass",AB125="Open"),"INVALID – corrective action still open: use Fail, then Pass after CA","")&amp;IF(AND(TRIM(U125)="Pass after CA",OR(TRIM(AA125)="",AB125&lt;&gt;"Closed")),"INVALID – corrective action not recorded/closed","")&lt;&gt;"",IF(AND(TRIM(U125)="Pass",ISNUMBER(AF125)),IF(AF125&lt;&gt;0,"INVALID – qty variance: use Fail or Pass after CA",""),"")&amp;IF(AND(TRIM(U125)="Pass",AB125="Open"),"INVALID – corrective action still open: use Fail, then Pass after CA","")&amp;IF(AND(TRIM(U125)="Pass after CA",OR(TRIM(AA125)="",AB125&lt;&gt;"Closed")),"INVALID – corrective action not recorded/closed",""),IF(AND(AS125=1,Documents!$J$8&lt;&gt;"ON FILE"),"INVALID – GLD not on file (Documents sheet)",IF(AND(AS125=2,Documents!$O$8&lt;&gt;"ON FILE"),"INVALID – menu checklist not on file (Documents sheet)",IF(AND(AS125=3,NOT(ISNUMBER(Flights!$AX$8))),"INVALID – enter carrying flight KUL departure (Flights AX)",IF(AG125&gt;AsOfUTC,"INVALID – completion time is in the future",IF(AND(ISNUMBER(S125),AG125&lt;S125),IF(H125="Physical uplift","INVALID – before uplift window (cannot confirm loading)","INVALID – before valid window"),IF(AG125&gt;Flights!$AA$8,"INVALID – completed after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f>
        <v>OPEN</v>
      </c>
      <c r="AI125" s="61" t="n">
        <f aca="false">IF(OR(AH125="N/A – RULE",AH125="N/A – JUSTIFIED"),0,1)</f>
        <v>1</v>
      </c>
      <c r="AJ125" s="61" t="n">
        <f aca="false">IF(LEFT(AH125,8)="COMPLETE",1,0)</f>
        <v>0</v>
      </c>
      <c r="AK125" s="61" t="n">
        <f aca="false">IF(AND(AI125=1,AJ125=0,AsOfUTC&gt;Q125),1,0)</f>
        <v>0</v>
      </c>
      <c r="AL125" s="61" t="n">
        <f aca="false">IF(AND(AI125=1,OR(TRIM(U125)="Fail",AB125="Open",AND(ISNUMBER(AF125),AF125&lt;&gt;0,TRIM(U125)&lt;&gt;"Pass after CA"))),1,0)</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1</v>
      </c>
    </row>
    <row r="126" customFormat="false" ht="39.75" hidden="false" customHeight="true" outlineLevel="0" collapsed="false">
      <c r="A126" s="57" t="s">
        <v>608</v>
      </c>
      <c r="B126" s="57" t="s">
        <v>208</v>
      </c>
      <c r="C126" s="57" t="str">
        <f aca="false">Flights!$F$8</f>
        <v>MH0088</v>
      </c>
      <c r="D126" s="58" t="n">
        <f aca="false">Flights!$D$8</f>
        <v>46305</v>
      </c>
      <c r="E126" s="57" t="str">
        <f aca="false">Flights!$G$8&amp;"-"&amp;Flights!$H$8</f>
        <v>KUL-NRT</v>
      </c>
      <c r="F126" s="57" t="str">
        <f aca="false">Flights!$K$8</f>
        <v>BC</v>
      </c>
      <c r="G126" s="57" t="s">
        <v>422</v>
      </c>
      <c r="H126" s="57" t="s">
        <v>423</v>
      </c>
      <c r="I126" s="57" t="s">
        <v>462</v>
      </c>
      <c r="J126" s="57" t="s">
        <v>502</v>
      </c>
      <c r="K126" s="67" t="s">
        <v>464</v>
      </c>
      <c r="L126" s="67" t="s">
        <v>571</v>
      </c>
      <c r="M126" s="67" t="s">
        <v>414</v>
      </c>
      <c r="N126" s="67" t="s">
        <v>346</v>
      </c>
      <c r="O126" s="67"/>
      <c r="P126" s="57" t="s">
        <v>177</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IF(N126="N/A – rule","N/A – RULE",IF(TRIM(U126)="N/A",IF(AT126=0,"INVALID – N/A not permitted for this mandatory check",IF(AND(TRIM(AC126)&lt;&gt;"",TRIM(AE126)&lt;&gt;"",TRIM(T126)&lt;&gt;""),"N/A – JUSTIFIED","INVALID – N/A needs justification, PIC and verifier")),IF(OR(TRIM(U126)="Pass",TRIM(U126)="Pass after CA"),IF(NOT(ISNUMBER(AD126)),"INVALID – completion time missing",IF(TRIM(T126)="","INVALID – PIC missing",IF(TRIM(Z126)="","INVALID – evidence missing",IF(TRIM(AE126)="","INVALID – verifier missing",IF(AND(AQ126=1,TRIM(W126)=""),"INVALID – batch ID missing",IF(AND(AR126=1,OR(NOT(ISNUMBER(X126)),NOT(ISNUMBER(Y126)))),"INVALID – expected/actual qty missing",IF(IF(AND(TRIM(U126)="Pass",ISNUMBER(AF126)),IF(AF126&lt;&gt;0,"INVALID – qty variance: use Fail or Pass after CA",""),"")&amp;IF(AND(TRIM(U126)="Pass",AB126="Open"),"INVALID – corrective action still open: use Fail, then Pass after CA","")&amp;IF(AND(TRIM(U126)="Pass after CA",OR(TRIM(AA126)="",AB126&lt;&gt;"Closed")),"INVALID – corrective action not recorded/closed","")&lt;&gt;"",IF(AND(TRIM(U126)="Pass",ISNUMBER(AF126)),IF(AF126&lt;&gt;0,"INVALID – qty variance: use Fail or Pass after CA",""),"")&amp;IF(AND(TRIM(U126)="Pass",AB126="Open"),"INVALID – corrective action still open: use Fail, then Pass after CA","")&amp;IF(AND(TRIM(U126)="Pass after CA",OR(TRIM(AA126)="",AB126&lt;&gt;"Closed")),"INVALID – corrective action not recorded/closed",""),IF(AND(AS126=1,Documents!$J$8&lt;&gt;"ON FILE"),"INVALID – GLD not on file (Documents sheet)",IF(AND(AS126=2,Documents!$O$8&lt;&gt;"ON FILE"),"INVALID – menu checklist not on file (Documents sheet)",IF(AND(AS126=3,NOT(ISNUMBER(Flights!$AX$8))),"INVALID – enter carrying flight KUL departure (Flights AX)",IF(AG126&gt;AsOfUTC,"INVALID – completion time is in the future",IF(AND(ISNUMBER(S126),AG126&lt;S126),IF(H126="Physical uplift","INVALID – before uplift window (cannot confirm loading)","INVALID – before valid window"),IF(AG126&gt;Flights!$AA$8,"INVALID – completed after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f>
        <v>OPEN</v>
      </c>
      <c r="AI126" s="61" t="n">
        <f aca="false">IF(OR(AH126="N/A – RULE",AH126="N/A – JUSTIFIED"),0,1)</f>
        <v>1</v>
      </c>
      <c r="AJ126" s="61" t="n">
        <f aca="false">IF(LEFT(AH126,8)="COMPLETE",1,0)</f>
        <v>0</v>
      </c>
      <c r="AK126" s="61" t="n">
        <f aca="false">IF(AND(AI126=1,AJ126=0,AsOfUTC&gt;Q126),1,0)</f>
        <v>0</v>
      </c>
      <c r="AL126" s="61" t="n">
        <f aca="false">IF(AND(AI126=1,OR(TRIM(U126)="Fail",AB126="Open",AND(ISNUMBER(AF126),AF126&lt;&gt;0,TRIM(U126)&lt;&gt;"Pass after CA"))),1,0)</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1</v>
      </c>
    </row>
    <row r="127" customFormat="false" ht="39.75" hidden="false" customHeight="true" outlineLevel="0" collapsed="false">
      <c r="A127" s="57" t="s">
        <v>609</v>
      </c>
      <c r="B127" s="57" t="s">
        <v>208</v>
      </c>
      <c r="C127" s="57" t="str">
        <f aca="false">Flights!$F$8</f>
        <v>MH0088</v>
      </c>
      <c r="D127" s="58" t="n">
        <f aca="false">Flights!$D$8</f>
        <v>46305</v>
      </c>
      <c r="E127" s="57" t="str">
        <f aca="false">Flights!$G$8&amp;"-"&amp;Flights!$H$8</f>
        <v>KUL-NRT</v>
      </c>
      <c r="F127" s="57" t="str">
        <f aca="false">Flights!$K$8</f>
        <v>BC</v>
      </c>
      <c r="G127" s="57" t="s">
        <v>422</v>
      </c>
      <c r="H127" s="57" t="s">
        <v>423</v>
      </c>
      <c r="I127" s="57" t="s">
        <v>462</v>
      </c>
      <c r="J127" s="57" t="s">
        <v>504</v>
      </c>
      <c r="K127" s="67" t="s">
        <v>464</v>
      </c>
      <c r="L127" s="67" t="s">
        <v>573</v>
      </c>
      <c r="M127" s="67" t="s">
        <v>414</v>
      </c>
      <c r="N127" s="67" t="s">
        <v>346</v>
      </c>
      <c r="O127" s="67"/>
      <c r="P127" s="57" t="s">
        <v>177</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IF(N127="N/A – rule","N/A – RULE",IF(TRIM(U127)="N/A",IF(AT127=0,"INVALID – N/A not permitted for this mandatory check",IF(AND(TRIM(AC127)&lt;&gt;"",TRIM(AE127)&lt;&gt;"",TRIM(T127)&lt;&gt;""),"N/A – JUSTIFIED","INVALID – N/A needs justification, PIC and verifier")),IF(OR(TRIM(U127)="Pass",TRIM(U127)="Pass after CA"),IF(NOT(ISNUMBER(AD127)),"INVALID – completion time missing",IF(TRIM(T127)="","INVALID – PIC missing",IF(TRIM(Z127)="","INVALID – evidence missing",IF(TRIM(AE127)="","INVALID – verifier missing",IF(AND(AQ127=1,TRIM(W127)=""),"INVALID – batch ID missing",IF(AND(AR127=1,OR(NOT(ISNUMBER(X127)),NOT(ISNUMBER(Y127)))),"INVALID – expected/actual qty missing",IF(IF(AND(TRIM(U127)="Pass",ISNUMBER(AF127)),IF(AF127&lt;&gt;0,"INVALID – qty variance: use Fail or Pass after CA",""),"")&amp;IF(AND(TRIM(U127)="Pass",AB127="Open"),"INVALID – corrective action still open: use Fail, then Pass after CA","")&amp;IF(AND(TRIM(U127)="Pass after CA",OR(TRIM(AA127)="",AB127&lt;&gt;"Closed")),"INVALID – corrective action not recorded/closed","")&lt;&gt;"",IF(AND(TRIM(U127)="Pass",ISNUMBER(AF127)),IF(AF127&lt;&gt;0,"INVALID – qty variance: use Fail or Pass after CA",""),"")&amp;IF(AND(TRIM(U127)="Pass",AB127="Open"),"INVALID – corrective action still open: use Fail, then Pass after CA","")&amp;IF(AND(TRIM(U127)="Pass after CA",OR(TRIM(AA127)="",AB127&lt;&gt;"Closed")),"INVALID – corrective action not recorded/closed",""),IF(AND(AS127=1,Documents!$J$8&lt;&gt;"ON FILE"),"INVALID – GLD not on file (Documents sheet)",IF(AND(AS127=2,Documents!$O$8&lt;&gt;"ON FILE"),"INVALID – menu checklist not on file (Documents sheet)",IF(AND(AS127=3,NOT(ISNUMBER(Flights!$AX$8))),"INVALID – enter carrying flight KUL departure (Flights AX)",IF(AG127&gt;AsOfUTC,"INVALID – completion time is in the future",IF(AND(ISNUMBER(S127),AG127&lt;S127),IF(H127="Physical uplift","INVALID – before uplift window (cannot confirm loading)","INVALID – before valid window"),IF(AG127&gt;Flights!$AA$8,"INVALID – completed after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f>
        <v>OPEN</v>
      </c>
      <c r="AI127" s="61" t="n">
        <f aca="false">IF(OR(AH127="N/A – RULE",AH127="N/A – JUSTIFIED"),0,1)</f>
        <v>1</v>
      </c>
      <c r="AJ127" s="61" t="n">
        <f aca="false">IF(LEFT(AH127,8)="COMPLETE",1,0)</f>
        <v>0</v>
      </c>
      <c r="AK127" s="61" t="n">
        <f aca="false">IF(AND(AI127=1,AJ127=0,AsOfUTC&gt;Q127),1,0)</f>
        <v>0</v>
      </c>
      <c r="AL127" s="61" t="n">
        <f aca="false">IF(AND(AI127=1,OR(TRIM(U127)="Fail",AB127="Open",AND(ISNUMBER(AF127),AF127&lt;&gt;0,TRIM(U127)&lt;&gt;"Pass after CA"))),1,0)</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1</v>
      </c>
    </row>
    <row r="128" customFormat="false" ht="39.75" hidden="false" customHeight="true" outlineLevel="0" collapsed="false">
      <c r="A128" s="57" t="s">
        <v>610</v>
      </c>
      <c r="B128" s="57" t="s">
        <v>208</v>
      </c>
      <c r="C128" s="57" t="str">
        <f aca="false">Flights!$F$8</f>
        <v>MH0088</v>
      </c>
      <c r="D128" s="58" t="n">
        <f aca="false">Flights!$D$8</f>
        <v>46305</v>
      </c>
      <c r="E128" s="57" t="str">
        <f aca="false">Flights!$G$8&amp;"-"&amp;Flights!$H$8</f>
        <v>KUL-NRT</v>
      </c>
      <c r="F128" s="57" t="str">
        <f aca="false">Flights!$K$8</f>
        <v>BC</v>
      </c>
      <c r="G128" s="57" t="s">
        <v>422</v>
      </c>
      <c r="H128" s="57" t="s">
        <v>423</v>
      </c>
      <c r="I128" s="57" t="s">
        <v>462</v>
      </c>
      <c r="J128" s="57" t="s">
        <v>506</v>
      </c>
      <c r="K128" s="67" t="s">
        <v>464</v>
      </c>
      <c r="L128" s="67" t="s">
        <v>575</v>
      </c>
      <c r="M128" s="67" t="s">
        <v>414</v>
      </c>
      <c r="N128" s="67" t="s">
        <v>346</v>
      </c>
      <c r="O128" s="67"/>
      <c r="P128" s="57" t="s">
        <v>177</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IF(N128="N/A – rule","N/A – RULE",IF(TRIM(U128)="N/A",IF(AT128=0,"INVALID – N/A not permitted for this mandatory check",IF(AND(TRIM(AC128)&lt;&gt;"",TRIM(AE128)&lt;&gt;"",TRIM(T128)&lt;&gt;""),"N/A – JUSTIFIED","INVALID – N/A needs justification, PIC and verifier")),IF(OR(TRIM(U128)="Pass",TRIM(U128)="Pass after CA"),IF(NOT(ISNUMBER(AD128)),"INVALID – completion time missing",IF(TRIM(T128)="","INVALID – PIC missing",IF(TRIM(Z128)="","INVALID – evidence missing",IF(TRIM(AE128)="","INVALID – verifier missing",IF(AND(AQ128=1,TRIM(W128)=""),"INVALID – batch ID missing",IF(AND(AR128=1,OR(NOT(ISNUMBER(X128)),NOT(ISNUMBER(Y128)))),"INVALID – expected/actual qty missing",IF(IF(AND(TRIM(U128)="Pass",ISNUMBER(AF128)),IF(AF128&lt;&gt;0,"INVALID – qty variance: use Fail or Pass after CA",""),"")&amp;IF(AND(TRIM(U128)="Pass",AB128="Open"),"INVALID – corrective action still open: use Fail, then Pass after CA","")&amp;IF(AND(TRIM(U128)="Pass after CA",OR(TRIM(AA128)="",AB128&lt;&gt;"Closed")),"INVALID – corrective action not recorded/closed","")&lt;&gt;"",IF(AND(TRIM(U128)="Pass",ISNUMBER(AF128)),IF(AF128&lt;&gt;0,"INVALID – qty variance: use Fail or Pass after CA",""),"")&amp;IF(AND(TRIM(U128)="Pass",AB128="Open"),"INVALID – corrective action still open: use Fail, then Pass after CA","")&amp;IF(AND(TRIM(U128)="Pass after CA",OR(TRIM(AA128)="",AB128&lt;&gt;"Closed")),"INVALID – corrective action not recorded/closed",""),IF(AND(AS128=1,Documents!$J$8&lt;&gt;"ON FILE"),"INVALID – GLD not on file (Documents sheet)",IF(AND(AS128=2,Documents!$O$8&lt;&gt;"ON FILE"),"INVALID – menu checklist not on file (Documents sheet)",IF(AND(AS128=3,NOT(ISNUMBER(Flights!$AX$8))),"INVALID – enter carrying flight KUL departure (Flights AX)",IF(AG128&gt;AsOfUTC,"INVALID – completion time is in the future",IF(AND(ISNUMBER(S128),AG128&lt;S128),IF(H128="Physical uplift","INVALID – before uplift window (cannot confirm loading)","INVALID – before valid window"),IF(AG128&gt;Flights!$AA$8,"INVALID – completed after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f>
        <v>OPEN</v>
      </c>
      <c r="AI128" s="61" t="n">
        <f aca="false">IF(OR(AH128="N/A – RULE",AH128="N/A – JUSTIFIED"),0,1)</f>
        <v>1</v>
      </c>
      <c r="AJ128" s="61" t="n">
        <f aca="false">IF(LEFT(AH128,8)="COMPLETE",1,0)</f>
        <v>0</v>
      </c>
      <c r="AK128" s="61" t="n">
        <f aca="false">IF(AND(AI128=1,AJ128=0,AsOfUTC&gt;Q128),1,0)</f>
        <v>0</v>
      </c>
      <c r="AL128" s="61" t="n">
        <f aca="false">IF(AND(AI128=1,OR(TRIM(U128)="Fail",AB128="Open",AND(ISNUMBER(AF128),AF128&lt;&gt;0,TRIM(U128)&lt;&gt;"Pass after CA"))),1,0)</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1</v>
      </c>
    </row>
    <row r="129" customFormat="false" ht="39.75" hidden="false" customHeight="true" outlineLevel="0" collapsed="false">
      <c r="A129" s="57" t="s">
        <v>611</v>
      </c>
      <c r="B129" s="57" t="s">
        <v>208</v>
      </c>
      <c r="C129" s="57" t="str">
        <f aca="false">Flights!$F$8</f>
        <v>MH0088</v>
      </c>
      <c r="D129" s="58" t="n">
        <f aca="false">Flights!$D$8</f>
        <v>46305</v>
      </c>
      <c r="E129" s="57" t="str">
        <f aca="false">Flights!$G$8&amp;"-"&amp;Flights!$H$8</f>
        <v>KUL-NRT</v>
      </c>
      <c r="F129" s="57" t="str">
        <f aca="false">Flights!$K$8</f>
        <v>BC</v>
      </c>
      <c r="G129" s="57" t="s">
        <v>422</v>
      </c>
      <c r="H129" s="57" t="s">
        <v>423</v>
      </c>
      <c r="I129" s="57" t="s">
        <v>462</v>
      </c>
      <c r="J129" s="57" t="s">
        <v>509</v>
      </c>
      <c r="K129" s="67" t="s">
        <v>464</v>
      </c>
      <c r="L129" s="67" t="s">
        <v>577</v>
      </c>
      <c r="M129" s="67" t="s">
        <v>414</v>
      </c>
      <c r="N129" s="67" t="s">
        <v>346</v>
      </c>
      <c r="O129" s="67"/>
      <c r="P129" s="57" t="s">
        <v>177</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IF(N129="N/A – rule","N/A – RULE",IF(TRIM(U129)="N/A",IF(AT129=0,"INVALID – N/A not permitted for this mandatory check",IF(AND(TRIM(AC129)&lt;&gt;"",TRIM(AE129)&lt;&gt;"",TRIM(T129)&lt;&gt;""),"N/A – JUSTIFIED","INVALID – N/A needs justification, PIC and verifier")),IF(OR(TRIM(U129)="Pass",TRIM(U129)="Pass after CA"),IF(NOT(ISNUMBER(AD129)),"INVALID – completion time missing",IF(TRIM(T129)="","INVALID – PIC missing",IF(TRIM(Z129)="","INVALID – evidence missing",IF(TRIM(AE129)="","INVALID – verifier missing",IF(AND(AQ129=1,TRIM(W129)=""),"INVALID – batch ID missing",IF(AND(AR129=1,OR(NOT(ISNUMBER(X129)),NOT(ISNUMBER(Y129)))),"INVALID – expected/actual qty missing",IF(IF(AND(TRIM(U129)="Pass",ISNUMBER(AF129)),IF(AF129&lt;&gt;0,"INVALID – qty variance: use Fail or Pass after CA",""),"")&amp;IF(AND(TRIM(U129)="Pass",AB129="Open"),"INVALID – corrective action still open: use Fail, then Pass after CA","")&amp;IF(AND(TRIM(U129)="Pass after CA",OR(TRIM(AA129)="",AB129&lt;&gt;"Closed")),"INVALID – corrective action not recorded/closed","")&lt;&gt;"",IF(AND(TRIM(U129)="Pass",ISNUMBER(AF129)),IF(AF129&lt;&gt;0,"INVALID – qty variance: use Fail or Pass after CA",""),"")&amp;IF(AND(TRIM(U129)="Pass",AB129="Open"),"INVALID – corrective action still open: use Fail, then Pass after CA","")&amp;IF(AND(TRIM(U129)="Pass after CA",OR(TRIM(AA129)="",AB129&lt;&gt;"Closed")),"INVALID – corrective action not recorded/closed",""),IF(AND(AS129=1,Documents!$J$8&lt;&gt;"ON FILE"),"INVALID – GLD not on file (Documents sheet)",IF(AND(AS129=2,Documents!$O$8&lt;&gt;"ON FILE"),"INVALID – menu checklist not on file (Documents sheet)",IF(AND(AS129=3,NOT(ISNUMBER(Flights!$AX$8))),"INVALID – enter carrying flight KUL departure (Flights AX)",IF(AG129&gt;AsOfUTC,"INVALID – completion time is in the future",IF(AND(ISNUMBER(S129),AG129&lt;S129),IF(H129="Physical uplift","INVALID – before uplift window (cannot confirm loading)","INVALID – before valid window"),IF(AG129&gt;Flights!$AA$8,"INVALID – completed after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f>
        <v>OPEN</v>
      </c>
      <c r="AI129" s="61" t="n">
        <f aca="false">IF(OR(AH129="N/A – RULE",AH129="N/A – JUSTIFIED"),0,1)</f>
        <v>1</v>
      </c>
      <c r="AJ129" s="61" t="n">
        <f aca="false">IF(LEFT(AH129,8)="COMPLETE",1,0)</f>
        <v>0</v>
      </c>
      <c r="AK129" s="61" t="n">
        <f aca="false">IF(AND(AI129=1,AJ129=0,AsOfUTC&gt;Q129),1,0)</f>
        <v>0</v>
      </c>
      <c r="AL129" s="61" t="n">
        <f aca="false">IF(AND(AI129=1,OR(TRIM(U129)="Fail",AB129="Open",AND(ISNUMBER(AF129),AF129&lt;&gt;0,TRIM(U129)&lt;&gt;"Pass after CA"))),1,0)</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1</v>
      </c>
    </row>
    <row r="130" customFormat="false" ht="39.75" hidden="false" customHeight="true" outlineLevel="0" collapsed="false">
      <c r="A130" s="57" t="s">
        <v>612</v>
      </c>
      <c r="B130" s="57" t="s">
        <v>208</v>
      </c>
      <c r="C130" s="57" t="str">
        <f aca="false">Flights!$F$8</f>
        <v>MH0088</v>
      </c>
      <c r="D130" s="58" t="n">
        <f aca="false">Flights!$D$8</f>
        <v>46305</v>
      </c>
      <c r="E130" s="57" t="str">
        <f aca="false">Flights!$G$8&amp;"-"&amp;Flights!$H$8</f>
        <v>KUL-NRT</v>
      </c>
      <c r="F130" s="57" t="str">
        <f aca="false">Flights!$K$8</f>
        <v>BC</v>
      </c>
      <c r="G130" s="57" t="s">
        <v>422</v>
      </c>
      <c r="H130" s="57" t="s">
        <v>423</v>
      </c>
      <c r="I130" s="57" t="s">
        <v>462</v>
      </c>
      <c r="J130" s="57" t="s">
        <v>511</v>
      </c>
      <c r="K130" s="67" t="s">
        <v>579</v>
      </c>
      <c r="L130" s="67" t="s">
        <v>580</v>
      </c>
      <c r="M130" s="67" t="s">
        <v>414</v>
      </c>
      <c r="N130" s="67" t="s">
        <v>346</v>
      </c>
      <c r="O130" s="67" t="s">
        <v>512</v>
      </c>
      <c r="P130" s="57" t="s">
        <v>177</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IF(N130="N/A – rule","N/A – RULE",IF(TRIM(U130)="N/A",IF(AT130=0,"INVALID – N/A not permitted for this mandatory check",IF(AND(TRIM(AC130)&lt;&gt;"",TRIM(AE130)&lt;&gt;"",TRIM(T130)&lt;&gt;""),"N/A – JUSTIFIED","INVALID – N/A needs justification, PIC and verifier")),IF(OR(TRIM(U130)="Pass",TRIM(U130)="Pass after CA"),IF(NOT(ISNUMBER(AD130)),"INVALID – completion time missing",IF(TRIM(T130)="","INVALID – PIC missing",IF(TRIM(Z130)="","INVALID – evidence missing",IF(TRIM(AE130)="","INVALID – verifier missing",IF(AND(AQ130=1,TRIM(W130)=""),"INVALID – batch ID missing",IF(AND(AR130=1,OR(NOT(ISNUMBER(X130)),NOT(ISNUMBER(Y130)))),"INVALID – expected/actual qty missing",IF(IF(AND(TRIM(U130)="Pass",ISNUMBER(AF130)),IF(AF130&lt;&gt;0,"INVALID – qty variance: use Fail or Pass after CA",""),"")&amp;IF(AND(TRIM(U130)="Pass",AB130="Open"),"INVALID – corrective action still open: use Fail, then Pass after CA","")&amp;IF(AND(TRIM(U130)="Pass after CA",OR(TRIM(AA130)="",AB130&lt;&gt;"Closed")),"INVALID – corrective action not recorded/closed","")&lt;&gt;"",IF(AND(TRIM(U130)="Pass",ISNUMBER(AF130)),IF(AF130&lt;&gt;0,"INVALID – qty variance: use Fail or Pass after CA",""),"")&amp;IF(AND(TRIM(U130)="Pass",AB130="Open"),"INVALID – corrective action still open: use Fail, then Pass after CA","")&amp;IF(AND(TRIM(U130)="Pass after CA",OR(TRIM(AA130)="",AB130&lt;&gt;"Closed")),"INVALID – corrective action not recorded/closed",""),IF(AND(AS130=1,Documents!$J$8&lt;&gt;"ON FILE"),"INVALID – GLD not on file (Documents sheet)",IF(AND(AS130=2,Documents!$O$8&lt;&gt;"ON FILE"),"INVALID – menu checklist not on file (Documents sheet)",IF(AND(AS130=3,NOT(ISNUMBER(Flights!$AX$8))),"INVALID – enter carrying flight KUL departure (Flights AX)",IF(AG130&gt;AsOfUTC,"INVALID – completion time is in the future",IF(AND(ISNUMBER(S130),AG130&lt;S130),IF(H130="Physical uplift","INVALID – before uplift window (cannot confirm loading)","INVALID – before valid window"),IF(AG130&gt;Flights!$AA$8,"INVALID – completed after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f>
        <v>OPEN</v>
      </c>
      <c r="AI130" s="61" t="n">
        <f aca="false">IF(OR(AH130="N/A – RULE",AH130="N/A – JUSTIFIED"),0,1)</f>
        <v>1</v>
      </c>
      <c r="AJ130" s="61" t="n">
        <f aca="false">IF(LEFT(AH130,8)="COMPLETE",1,0)</f>
        <v>0</v>
      </c>
      <c r="AK130" s="61" t="n">
        <f aca="false">IF(AND(AI130=1,AJ130=0,AsOfUTC&gt;Q130),1,0)</f>
        <v>0</v>
      </c>
      <c r="AL130" s="61" t="n">
        <f aca="false">IF(AND(AI130=1,OR(TRIM(U130)="Fail",AB130="Open",AND(ISNUMBER(AF130),AF130&lt;&gt;0,TRIM(U130)&lt;&gt;"Pass after CA"))),1,0)</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1</v>
      </c>
    </row>
    <row r="131" customFormat="false" ht="39.75" hidden="false" customHeight="true" outlineLevel="0" collapsed="false">
      <c r="A131" s="57" t="s">
        <v>613</v>
      </c>
      <c r="B131" s="57" t="s">
        <v>208</v>
      </c>
      <c r="C131" s="57" t="str">
        <f aca="false">Flights!$F$8</f>
        <v>MH0088</v>
      </c>
      <c r="D131" s="58" t="n">
        <f aca="false">Flights!$D$8</f>
        <v>46305</v>
      </c>
      <c r="E131" s="57" t="str">
        <f aca="false">Flights!$G$8&amp;"-"&amp;Flights!$H$8</f>
        <v>KUL-NRT</v>
      </c>
      <c r="F131" s="57" t="str">
        <f aca="false">Flights!$K$8</f>
        <v>BC</v>
      </c>
      <c r="G131" s="57" t="s">
        <v>422</v>
      </c>
      <c r="H131" s="57" t="s">
        <v>423</v>
      </c>
      <c r="I131" s="57" t="s">
        <v>462</v>
      </c>
      <c r="J131" s="57" t="s">
        <v>514</v>
      </c>
      <c r="K131" s="67" t="s">
        <v>464</v>
      </c>
      <c r="L131" s="67" t="s">
        <v>582</v>
      </c>
      <c r="M131" s="67" t="s">
        <v>414</v>
      </c>
      <c r="N131" s="67" t="s">
        <v>346</v>
      </c>
      <c r="O131" s="67"/>
      <c r="P131" s="57" t="s">
        <v>177</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IF(N131="N/A – rule","N/A – RULE",IF(TRIM(U131)="N/A",IF(AT131=0,"INVALID – N/A not permitted for this mandatory check",IF(AND(TRIM(AC131)&lt;&gt;"",TRIM(AE131)&lt;&gt;"",TRIM(T131)&lt;&gt;""),"N/A – JUSTIFIED","INVALID – N/A needs justification, PIC and verifier")),IF(OR(TRIM(U131)="Pass",TRIM(U131)="Pass after CA"),IF(NOT(ISNUMBER(AD131)),"INVALID – completion time missing",IF(TRIM(T131)="","INVALID – PIC missing",IF(TRIM(Z131)="","INVALID – evidence missing",IF(TRIM(AE131)="","INVALID – verifier missing",IF(AND(AQ131=1,TRIM(W131)=""),"INVALID – batch ID missing",IF(AND(AR131=1,OR(NOT(ISNUMBER(X131)),NOT(ISNUMBER(Y131)))),"INVALID – expected/actual qty missing",IF(IF(AND(TRIM(U131)="Pass",ISNUMBER(AF131)),IF(AF131&lt;&gt;0,"INVALID – qty variance: use Fail or Pass after CA",""),"")&amp;IF(AND(TRIM(U131)="Pass",AB131="Open"),"INVALID – corrective action still open: use Fail, then Pass after CA","")&amp;IF(AND(TRIM(U131)="Pass after CA",OR(TRIM(AA131)="",AB131&lt;&gt;"Closed")),"INVALID – corrective action not recorded/closed","")&lt;&gt;"",IF(AND(TRIM(U131)="Pass",ISNUMBER(AF131)),IF(AF131&lt;&gt;0,"INVALID – qty variance: use Fail or Pass after CA",""),"")&amp;IF(AND(TRIM(U131)="Pass",AB131="Open"),"INVALID – corrective action still open: use Fail, then Pass after CA","")&amp;IF(AND(TRIM(U131)="Pass after CA",OR(TRIM(AA131)="",AB131&lt;&gt;"Closed")),"INVALID – corrective action not recorded/closed",""),IF(AND(AS131=1,Documents!$J$8&lt;&gt;"ON FILE"),"INVALID – GLD not on file (Documents sheet)",IF(AND(AS131=2,Documents!$O$8&lt;&gt;"ON FILE"),"INVALID – menu checklist not on file (Documents sheet)",IF(AND(AS131=3,NOT(ISNUMBER(Flights!$AX$8))),"INVALID – enter carrying flight KUL departure (Flights AX)",IF(AG131&gt;AsOfUTC,"INVALID – completion time is in the future",IF(AND(ISNUMBER(S131),AG131&lt;S131),IF(H131="Physical uplift","INVALID – before uplift window (cannot confirm loading)","INVALID – before valid window"),IF(AG131&gt;Flights!$AA$8,"INVALID – completed after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f>
        <v>OPEN</v>
      </c>
      <c r="AI131" s="61" t="n">
        <f aca="false">IF(OR(AH131="N/A – RULE",AH131="N/A – JUSTIFIED"),0,1)</f>
        <v>1</v>
      </c>
      <c r="AJ131" s="61" t="n">
        <f aca="false">IF(LEFT(AH131,8)="COMPLETE",1,0)</f>
        <v>0</v>
      </c>
      <c r="AK131" s="61" t="n">
        <f aca="false">IF(AND(AI131=1,AJ131=0,AsOfUTC&gt;Q131),1,0)</f>
        <v>0</v>
      </c>
      <c r="AL131" s="61" t="n">
        <f aca="false">IF(AND(AI131=1,OR(TRIM(U131)="Fail",AB131="Open",AND(ISNUMBER(AF131),AF131&lt;&gt;0,TRIM(U131)&lt;&gt;"Pass after CA"))),1,0)</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1</v>
      </c>
    </row>
    <row r="132" customFormat="false" ht="39.75" hidden="false" customHeight="true" outlineLevel="0" collapsed="false">
      <c r="A132" s="57" t="s">
        <v>614</v>
      </c>
      <c r="B132" s="57" t="s">
        <v>208</v>
      </c>
      <c r="C132" s="57" t="str">
        <f aca="false">Flights!$F$8</f>
        <v>MH0088</v>
      </c>
      <c r="D132" s="58" t="n">
        <f aca="false">Flights!$D$8</f>
        <v>46305</v>
      </c>
      <c r="E132" s="57" t="str">
        <f aca="false">Flights!$G$8&amp;"-"&amp;Flights!$H$8</f>
        <v>KUL-NRT</v>
      </c>
      <c r="F132" s="57" t="str">
        <f aca="false">Flights!$K$8</f>
        <v>BC</v>
      </c>
      <c r="G132" s="57" t="s">
        <v>422</v>
      </c>
      <c r="H132" s="57" t="s">
        <v>423</v>
      </c>
      <c r="I132" s="57" t="s">
        <v>410</v>
      </c>
      <c r="J132" s="57" t="s">
        <v>516</v>
      </c>
      <c r="K132" s="67" t="s">
        <v>412</v>
      </c>
      <c r="L132" s="67" t="s">
        <v>584</v>
      </c>
      <c r="M132" s="67" t="s">
        <v>414</v>
      </c>
      <c r="N132" s="67" t="s">
        <v>346</v>
      </c>
      <c r="O132" s="67"/>
      <c r="P132" s="57" t="s">
        <v>177</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IF(N132="N/A – rule","N/A – RULE",IF(TRIM(U132)="N/A",IF(AT132=0,"INVALID – N/A not permitted for this mandatory check",IF(AND(TRIM(AC132)&lt;&gt;"",TRIM(AE132)&lt;&gt;"",TRIM(T132)&lt;&gt;""),"N/A – JUSTIFIED","INVALID – N/A needs justification, PIC and verifier")),IF(OR(TRIM(U132)="Pass",TRIM(U132)="Pass after CA"),IF(NOT(ISNUMBER(AD132)),"INVALID – completion time missing",IF(TRIM(T132)="","INVALID – PIC missing",IF(TRIM(Z132)="","INVALID – evidence missing",IF(TRIM(AE132)="","INVALID – verifier missing",IF(AND(AQ132=1,TRIM(W132)=""),"INVALID – batch ID missing",IF(AND(AR132=1,OR(NOT(ISNUMBER(X132)),NOT(ISNUMBER(Y132)))),"INVALID – expected/actual qty missing",IF(IF(AND(TRIM(U132)="Pass",ISNUMBER(AF132)),IF(AF132&lt;&gt;0,"INVALID – qty variance: use Fail or Pass after CA",""),"")&amp;IF(AND(TRIM(U132)="Pass",AB132="Open"),"INVALID – corrective action still open: use Fail, then Pass after CA","")&amp;IF(AND(TRIM(U132)="Pass after CA",OR(TRIM(AA132)="",AB132&lt;&gt;"Closed")),"INVALID – corrective action not recorded/closed","")&lt;&gt;"",IF(AND(TRIM(U132)="Pass",ISNUMBER(AF132)),IF(AF132&lt;&gt;0,"INVALID – qty variance: use Fail or Pass after CA",""),"")&amp;IF(AND(TRIM(U132)="Pass",AB132="Open"),"INVALID – corrective action still open: use Fail, then Pass after CA","")&amp;IF(AND(TRIM(U132)="Pass after CA",OR(TRIM(AA132)="",AB132&lt;&gt;"Closed")),"INVALID – corrective action not recorded/closed",""),IF(AND(AS132=1,Documents!$J$8&lt;&gt;"ON FILE"),"INVALID – GLD not on file (Documents sheet)",IF(AND(AS132=2,Documents!$O$8&lt;&gt;"ON FILE"),"INVALID – menu checklist not on file (Documents sheet)",IF(AND(AS132=3,NOT(ISNUMBER(Flights!$AX$8))),"INVALID – enter carrying flight KUL departure (Flights AX)",IF(AG132&gt;AsOfUTC,"INVALID – completion time is in the future",IF(AND(ISNUMBER(S132),AG132&lt;S132),IF(H132="Physical uplift","INVALID – before uplift window (cannot confirm loading)","INVALID – before valid window"),IF(AG132&gt;Flights!$AA$8,"INVALID – completed after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f>
        <v>OPEN</v>
      </c>
      <c r="AI132" s="61" t="n">
        <f aca="false">IF(OR(AH132="N/A – RULE",AH132="N/A – JUSTIFIED"),0,1)</f>
        <v>1</v>
      </c>
      <c r="AJ132" s="61" t="n">
        <f aca="false">IF(LEFT(AH132,8)="COMPLETE",1,0)</f>
        <v>0</v>
      </c>
      <c r="AK132" s="61" t="n">
        <f aca="false">IF(AND(AI132=1,AJ132=0,AsOfUTC&gt;Q132),1,0)</f>
        <v>0</v>
      </c>
      <c r="AL132" s="61" t="n">
        <f aca="false">IF(AND(AI132=1,OR(TRIM(U132)="Fail",AB132="Open",AND(ISNUMBER(AF132),AF132&lt;&gt;0,TRIM(U132)&lt;&gt;"Pass after CA"))),1,0)</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1</v>
      </c>
    </row>
    <row r="133" customFormat="false" ht="39.75" hidden="false" customHeight="true" outlineLevel="0" collapsed="false">
      <c r="A133" s="57" t="s">
        <v>615</v>
      </c>
      <c r="B133" s="57" t="s">
        <v>208</v>
      </c>
      <c r="C133" s="57" t="str">
        <f aca="false">Flights!$F$8</f>
        <v>MH0088</v>
      </c>
      <c r="D133" s="58" t="n">
        <f aca="false">Flights!$D$8</f>
        <v>46305</v>
      </c>
      <c r="E133" s="57" t="str">
        <f aca="false">Flights!$G$8&amp;"-"&amp;Flights!$H$8</f>
        <v>KUL-NRT</v>
      </c>
      <c r="F133" s="57" t="str">
        <f aca="false">Flights!$K$8</f>
        <v>BC</v>
      </c>
      <c r="G133" s="57" t="s">
        <v>422</v>
      </c>
      <c r="H133" s="57" t="s">
        <v>423</v>
      </c>
      <c r="I133" s="57" t="s">
        <v>410</v>
      </c>
      <c r="J133" s="57" t="s">
        <v>616</v>
      </c>
      <c r="K133" s="67" t="s">
        <v>412</v>
      </c>
      <c r="L133" s="67" t="s">
        <v>587</v>
      </c>
      <c r="M133" s="67" t="s">
        <v>414</v>
      </c>
      <c r="N133" s="67" t="s">
        <v>346</v>
      </c>
      <c r="O133" s="67"/>
      <c r="P133" s="57" t="s">
        <v>177</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IF(N133="N/A – rule","N/A – RULE",IF(TRIM(U133)="N/A",IF(AT133=0,"INVALID – N/A not permitted for this mandatory check",IF(AND(TRIM(AC133)&lt;&gt;"",TRIM(AE133)&lt;&gt;"",TRIM(T133)&lt;&gt;""),"N/A – JUSTIFIED","INVALID – N/A needs justification, PIC and verifier")),IF(OR(TRIM(U133)="Pass",TRIM(U133)="Pass after CA"),IF(NOT(ISNUMBER(AD133)),"INVALID – completion time missing",IF(TRIM(T133)="","INVALID – PIC missing",IF(TRIM(Z133)="","INVALID – evidence missing",IF(TRIM(AE133)="","INVALID – verifier missing",IF(AND(AQ133=1,TRIM(W133)=""),"INVALID – batch ID missing",IF(AND(AR133=1,OR(NOT(ISNUMBER(X133)),NOT(ISNUMBER(Y133)))),"INVALID – expected/actual qty missing",IF(IF(AND(TRIM(U133)="Pass",ISNUMBER(AF133)),IF(AF133&lt;&gt;0,"INVALID – qty variance: use Fail or Pass after CA",""),"")&amp;IF(AND(TRIM(U133)="Pass",AB133="Open"),"INVALID – corrective action still open: use Fail, then Pass after CA","")&amp;IF(AND(TRIM(U133)="Pass after CA",OR(TRIM(AA133)="",AB133&lt;&gt;"Closed")),"INVALID – corrective action not recorded/closed","")&lt;&gt;"",IF(AND(TRIM(U133)="Pass",ISNUMBER(AF133)),IF(AF133&lt;&gt;0,"INVALID – qty variance: use Fail or Pass after CA",""),"")&amp;IF(AND(TRIM(U133)="Pass",AB133="Open"),"INVALID – corrective action still open: use Fail, then Pass after CA","")&amp;IF(AND(TRIM(U133)="Pass after CA",OR(TRIM(AA133)="",AB133&lt;&gt;"Closed")),"INVALID – corrective action not recorded/closed",""),IF(AND(AS133=1,Documents!$J$8&lt;&gt;"ON FILE"),"INVALID – GLD not on file (Documents sheet)",IF(AND(AS133=2,Documents!$O$8&lt;&gt;"ON FILE"),"INVALID – menu checklist not on file (Documents sheet)",IF(AND(AS133=3,NOT(ISNUMBER(Flights!$AX$8))),"INVALID – enter carrying flight KUL departure (Flights AX)",IF(AG133&gt;AsOfUTC,"INVALID – completion time is in the future",IF(AND(ISNUMBER(S133),AG133&lt;S133),IF(H133="Physical uplift","INVALID – before uplift window (cannot confirm loading)","INVALID – before valid window"),IF(AG133&gt;Flights!$AA$8,"INVALID – completed after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f>
        <v>OPEN</v>
      </c>
      <c r="AI133" s="61" t="n">
        <f aca="false">IF(OR(AH133="N/A – RULE",AH133="N/A – JUSTIFIED"),0,1)</f>
        <v>1</v>
      </c>
      <c r="AJ133" s="61" t="n">
        <f aca="false">IF(LEFT(AH133,8)="COMPLETE",1,0)</f>
        <v>0</v>
      </c>
      <c r="AK133" s="61" t="n">
        <f aca="false">IF(AND(AI133=1,AJ133=0,AsOfUTC&gt;Q133),1,0)</f>
        <v>0</v>
      </c>
      <c r="AL133" s="61" t="n">
        <f aca="false">IF(AND(AI133=1,OR(TRIM(U133)="Fail",AB133="Open",AND(ISNUMBER(AF133),AF133&lt;&gt;0,TRIM(U133)&lt;&gt;"Pass after CA"))),1,0)</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1</v>
      </c>
    </row>
    <row r="134" customFormat="false" ht="39.75" hidden="false" customHeight="true" outlineLevel="0" collapsed="false">
      <c r="A134" s="57" t="s">
        <v>617</v>
      </c>
      <c r="B134" s="57" t="s">
        <v>208</v>
      </c>
      <c r="C134" s="57" t="str">
        <f aca="false">Flights!$F$8</f>
        <v>MH0088</v>
      </c>
      <c r="D134" s="58" t="n">
        <f aca="false">Flights!$D$8</f>
        <v>46305</v>
      </c>
      <c r="E134" s="57" t="str">
        <f aca="false">Flights!$G$8&amp;"-"&amp;Flights!$H$8</f>
        <v>KUL-NRT</v>
      </c>
      <c r="F134" s="57" t="str">
        <f aca="false">Flights!$K$8</f>
        <v>BC</v>
      </c>
      <c r="G134" s="57" t="s">
        <v>422</v>
      </c>
      <c r="H134" s="57" t="s">
        <v>423</v>
      </c>
      <c r="I134" s="57" t="s">
        <v>410</v>
      </c>
      <c r="J134" s="57" t="s">
        <v>618</v>
      </c>
      <c r="K134" s="67" t="s">
        <v>412</v>
      </c>
      <c r="L134" s="67" t="s">
        <v>590</v>
      </c>
      <c r="M134" s="67" t="s">
        <v>414</v>
      </c>
      <c r="N134" s="67" t="s">
        <v>346</v>
      </c>
      <c r="O134" s="67"/>
      <c r="P134" s="57" t="s">
        <v>177</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IF(N134="N/A – rule","N/A – RULE",IF(TRIM(U134)="N/A",IF(AT134=0,"INVALID – N/A not permitted for this mandatory check",IF(AND(TRIM(AC134)&lt;&gt;"",TRIM(AE134)&lt;&gt;"",TRIM(T134)&lt;&gt;""),"N/A – JUSTIFIED","INVALID – N/A needs justification, PIC and verifier")),IF(OR(TRIM(U134)="Pass",TRIM(U134)="Pass after CA"),IF(NOT(ISNUMBER(AD134)),"INVALID – completion time missing",IF(TRIM(T134)="","INVALID – PIC missing",IF(TRIM(Z134)="","INVALID – evidence missing",IF(TRIM(AE134)="","INVALID – verifier missing",IF(AND(AQ134=1,TRIM(W134)=""),"INVALID – batch ID missing",IF(AND(AR134=1,OR(NOT(ISNUMBER(X134)),NOT(ISNUMBER(Y134)))),"INVALID – expected/actual qty missing",IF(IF(AND(TRIM(U134)="Pass",ISNUMBER(AF134)),IF(AF134&lt;&gt;0,"INVALID – qty variance: use Fail or Pass after CA",""),"")&amp;IF(AND(TRIM(U134)="Pass",AB134="Open"),"INVALID – corrective action still open: use Fail, then Pass after CA","")&amp;IF(AND(TRIM(U134)="Pass after CA",OR(TRIM(AA134)="",AB134&lt;&gt;"Closed")),"INVALID – corrective action not recorded/closed","")&lt;&gt;"",IF(AND(TRIM(U134)="Pass",ISNUMBER(AF134)),IF(AF134&lt;&gt;0,"INVALID – qty variance: use Fail or Pass after CA",""),"")&amp;IF(AND(TRIM(U134)="Pass",AB134="Open"),"INVALID – corrective action still open: use Fail, then Pass after CA","")&amp;IF(AND(TRIM(U134)="Pass after CA",OR(TRIM(AA134)="",AB134&lt;&gt;"Closed")),"INVALID – corrective action not recorded/closed",""),IF(AND(AS134=1,Documents!$J$8&lt;&gt;"ON FILE"),"INVALID – GLD not on file (Documents sheet)",IF(AND(AS134=2,Documents!$O$8&lt;&gt;"ON FILE"),"INVALID – menu checklist not on file (Documents sheet)",IF(AND(AS134=3,NOT(ISNUMBER(Flights!$AX$8))),"INVALID – enter carrying flight KUL departure (Flights AX)",IF(AG134&gt;AsOfUTC,"INVALID – completion time is in the future",IF(AND(ISNUMBER(S134),AG134&lt;S134),IF(H134="Physical uplift","INVALID – before uplift window (cannot confirm loading)","INVALID – before valid window"),IF(AG134&gt;Flights!$AA$8,"INVALID – completed after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f>
        <v>OPEN</v>
      </c>
      <c r="AI134" s="61" t="n">
        <f aca="false">IF(OR(AH134="N/A – RULE",AH134="N/A – JUSTIFIED"),0,1)</f>
        <v>1</v>
      </c>
      <c r="AJ134" s="61" t="n">
        <f aca="false">IF(LEFT(AH134,8)="COMPLETE",1,0)</f>
        <v>0</v>
      </c>
      <c r="AK134" s="61" t="n">
        <f aca="false">IF(AND(AI134=1,AJ134=0,AsOfUTC&gt;Q134),1,0)</f>
        <v>0</v>
      </c>
      <c r="AL134" s="61" t="n">
        <f aca="false">IF(AND(AI134=1,OR(TRIM(U134)="Fail",AB134="Open",AND(ISNUMBER(AF134),AF134&lt;&gt;0,TRIM(U134)&lt;&gt;"Pass after CA"))),1,0)</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1</v>
      </c>
    </row>
    <row r="135" customFormat="false" ht="39.75" hidden="false" customHeight="true" outlineLevel="0" collapsed="false">
      <c r="A135" s="57" t="s">
        <v>619</v>
      </c>
      <c r="B135" s="57" t="s">
        <v>208</v>
      </c>
      <c r="C135" s="57" t="str">
        <f aca="false">Flights!$F$8</f>
        <v>MH0088</v>
      </c>
      <c r="D135" s="58" t="n">
        <f aca="false">Flights!$D$8</f>
        <v>46305</v>
      </c>
      <c r="E135" s="57" t="str">
        <f aca="false">Flights!$G$8&amp;"-"&amp;Flights!$H$8</f>
        <v>KUL-NRT</v>
      </c>
      <c r="F135" s="57" t="str">
        <f aca="false">Flights!$K$8</f>
        <v>BC</v>
      </c>
      <c r="G135" s="57" t="s">
        <v>422</v>
      </c>
      <c r="H135" s="57" t="s">
        <v>423</v>
      </c>
      <c r="I135" s="57" t="s">
        <v>592</v>
      </c>
      <c r="J135" s="57" t="s">
        <v>620</v>
      </c>
      <c r="K135" s="67" t="s">
        <v>464</v>
      </c>
      <c r="L135" s="67" t="s">
        <v>594</v>
      </c>
      <c r="M135" s="67" t="s">
        <v>177</v>
      </c>
      <c r="N135" s="67" t="s">
        <v>346</v>
      </c>
      <c r="O135" s="67" t="s">
        <v>595</v>
      </c>
      <c r="P135" s="57" t="s">
        <v>177</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IF(N135="N/A – rule","N/A – RULE",IF(TRIM(U135)="N/A",IF(AT135=0,"INVALID – N/A not permitted for this mandatory check",IF(AND(TRIM(AC135)&lt;&gt;"",TRIM(AE135)&lt;&gt;"",TRIM(T135)&lt;&gt;""),"N/A – JUSTIFIED","INVALID – N/A needs justification, PIC and verifier")),IF(OR(TRIM(U135)="Pass",TRIM(U135)="Pass after CA"),IF(NOT(ISNUMBER(AD135)),"INVALID – completion time missing",IF(TRIM(T135)="","INVALID – PIC missing",IF(TRIM(Z135)="","INVALID – evidence missing",IF(TRIM(AE135)="","INVALID – verifier missing",IF(AND(AQ135=1,TRIM(W135)=""),"INVALID – batch ID missing",IF(AND(AR135=1,OR(NOT(ISNUMBER(X135)),NOT(ISNUMBER(Y135)))),"INVALID – expected/actual qty missing",IF(IF(AND(TRIM(U135)="Pass",ISNUMBER(AF135)),IF(AF135&lt;&gt;0,"INVALID – qty variance: use Fail or Pass after CA",""),"")&amp;IF(AND(TRIM(U135)="Pass",AB135="Open"),"INVALID – corrective action still open: use Fail, then Pass after CA","")&amp;IF(AND(TRIM(U135)="Pass after CA",OR(TRIM(AA135)="",AB135&lt;&gt;"Closed")),"INVALID – corrective action not recorded/closed","")&lt;&gt;"",IF(AND(TRIM(U135)="Pass",ISNUMBER(AF135)),IF(AF135&lt;&gt;0,"INVALID – qty variance: use Fail or Pass after CA",""),"")&amp;IF(AND(TRIM(U135)="Pass",AB135="Open"),"INVALID – corrective action still open: use Fail, then Pass after CA","")&amp;IF(AND(TRIM(U135)="Pass after CA",OR(TRIM(AA135)="",AB135&lt;&gt;"Closed")),"INVALID – corrective action not recorded/closed",""),IF(AND(AS135=1,Documents!$J$8&lt;&gt;"ON FILE"),"INVALID – GLD not on file (Documents sheet)",IF(AND(AS135=2,Documents!$O$8&lt;&gt;"ON FILE"),"INVALID – menu checklist not on file (Documents sheet)",IF(AND(AS135=3,NOT(ISNUMBER(Flights!$AX$8))),"INVALID – enter carrying flight KUL departure (Flights AX)",IF(AG135&gt;AsOfUTC,"INVALID – completion time is in the future",IF(AND(ISNUMBER(S135),AG135&lt;S135),IF(H135="Physical uplift","INVALID – before uplift window (cannot confirm loading)","INVALID – before valid window"),IF(AG135&gt;Flights!$AA$8,"INVALID – completed after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f>
        <v>OPEN</v>
      </c>
      <c r="AI135" s="61" t="n">
        <f aca="false">IF(OR(AH135="N/A – RULE",AH135="N/A – JUSTIFIED"),0,1)</f>
        <v>1</v>
      </c>
      <c r="AJ135" s="61" t="n">
        <f aca="false">IF(LEFT(AH135,8)="COMPLETE",1,0)</f>
        <v>0</v>
      </c>
      <c r="AK135" s="61" t="n">
        <f aca="false">IF(AND(AI135=1,AJ135=0,AsOfUTC&gt;Q135),1,0)</f>
        <v>0</v>
      </c>
      <c r="AL135" s="61" t="n">
        <f aca="false">IF(AND(AI135=1,OR(TRIM(U135)="Fail",AB135="Open",AND(ISNUMBER(AF135),AF135&lt;&gt;0,TRIM(U135)&lt;&gt;"Pass after CA"))),1,0)</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1</v>
      </c>
    </row>
    <row r="136" customFormat="false" ht="41.25" hidden="false" customHeight="true" outlineLevel="0" collapsed="false">
      <c r="A136" s="57" t="s">
        <v>621</v>
      </c>
      <c r="B136" s="57" t="s">
        <v>208</v>
      </c>
      <c r="C136" s="57" t="str">
        <f aca="false">Flights!$F$8</f>
        <v>MH0088</v>
      </c>
      <c r="D136" s="58" t="n">
        <f aca="false">Flights!$D$8</f>
        <v>46305</v>
      </c>
      <c r="E136" s="57" t="str">
        <f aca="false">Flights!$G$8&amp;"-"&amp;Flights!$H$8</f>
        <v>KUL-NRT</v>
      </c>
      <c r="F136" s="57" t="str">
        <f aca="false">Flights!$K$8</f>
        <v>BC</v>
      </c>
      <c r="G136" s="57" t="s">
        <v>422</v>
      </c>
      <c r="H136" s="57" t="s">
        <v>423</v>
      </c>
      <c r="I136" s="57" t="s">
        <v>597</v>
      </c>
      <c r="J136" s="57" t="s">
        <v>622</v>
      </c>
      <c r="K136" s="67" t="s">
        <v>599</v>
      </c>
      <c r="L136" s="67" t="s">
        <v>600</v>
      </c>
      <c r="M136" s="67" t="s">
        <v>414</v>
      </c>
      <c r="N136" s="67" t="s">
        <v>346</v>
      </c>
      <c r="O136" s="67" t="s">
        <v>623</v>
      </c>
      <c r="P136" s="57" t="s">
        <v>177</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IF(N136="N/A – rule","N/A – RULE",IF(TRIM(U136)="N/A",IF(AT136=0,"INVALID – N/A not permitted for this mandatory check",IF(AND(TRIM(AC136)&lt;&gt;"",TRIM(AE136)&lt;&gt;"",TRIM(T136)&lt;&gt;""),"N/A – JUSTIFIED","INVALID – N/A needs justification, PIC and verifier")),IF(OR(TRIM(U136)="Pass",TRIM(U136)="Pass after CA"),IF(NOT(ISNUMBER(AD136)),"INVALID – completion time missing",IF(TRIM(T136)="","INVALID – PIC missing",IF(TRIM(Z136)="","INVALID – evidence missing",IF(TRIM(AE136)="","INVALID – verifier missing",IF(AND(AQ136=1,TRIM(W136)=""),"INVALID – batch ID missing",IF(AND(AR136=1,OR(NOT(ISNUMBER(X136)),NOT(ISNUMBER(Y136)))),"INVALID – expected/actual qty missing",IF(IF(AND(TRIM(U136)="Pass",ISNUMBER(AF136)),IF(AF136&lt;&gt;0,"INVALID – qty variance: use Fail or Pass after CA",""),"")&amp;IF(AND(TRIM(U136)="Pass",AB136="Open"),"INVALID – corrective action still open: use Fail, then Pass after CA","")&amp;IF(AND(TRIM(U136)="Pass after CA",OR(TRIM(AA136)="",AB136&lt;&gt;"Closed")),"INVALID – corrective action not recorded/closed","")&lt;&gt;"",IF(AND(TRIM(U136)="Pass",ISNUMBER(AF136)),IF(AF136&lt;&gt;0,"INVALID – qty variance: use Fail or Pass after CA",""),"")&amp;IF(AND(TRIM(U136)="Pass",AB136="Open"),"INVALID – corrective action still open: use Fail, then Pass after CA","")&amp;IF(AND(TRIM(U136)="Pass after CA",OR(TRIM(AA136)="",AB136&lt;&gt;"Closed")),"INVALID – corrective action not recorded/closed",""),IF(AND(AS136=1,Documents!$J$8&lt;&gt;"ON FILE"),"INVALID – GLD not on file (Documents sheet)",IF(AND(AS136=2,Documents!$O$8&lt;&gt;"ON FILE"),"INVALID – menu checklist not on file (Documents sheet)",IF(AND(AS136=3,NOT(ISNUMBER(Flights!$AX$8))),"INVALID – enter carrying flight KUL departure (Flights AX)",IF(AG136&gt;AsOfUTC,"INVALID – completion time is in the future",IF(AND(ISNUMBER(S136),AG136&lt;S136),IF(H136="Physical uplift","INVALID – before uplift window (cannot confirm loading)","INVALID – before valid window"),IF(AG136&gt;Flights!$AA$8,"INVALID – completed after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f>
        <v>OPEN</v>
      </c>
      <c r="AI136" s="61" t="n">
        <f aca="false">IF(OR(AH136="N/A – RULE",AH136="N/A – JUSTIFIED"),0,1)</f>
        <v>1</v>
      </c>
      <c r="AJ136" s="61" t="n">
        <f aca="false">IF(LEFT(AH136,8)="COMPLETE",1,0)</f>
        <v>0</v>
      </c>
      <c r="AK136" s="61" t="n">
        <f aca="false">IF(AND(AI136=1,AJ136=0,AsOfUTC&gt;Q136),1,0)</f>
        <v>0</v>
      </c>
      <c r="AL136" s="61" t="n">
        <f aca="false">IF(AND(AI136=1,OR(TRIM(U136)="Fail",AB136="Open",AND(ISNUMBER(AF136),AF136&lt;&gt;0,TRIM(U136)&lt;&gt;"Pass after CA"))),1,0)</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1</v>
      </c>
    </row>
    <row r="137" customFormat="false" ht="39.75" hidden="false" customHeight="true" outlineLevel="0" collapsed="false">
      <c r="A137" s="57" t="s">
        <v>624</v>
      </c>
      <c r="B137" s="57" t="s">
        <v>218</v>
      </c>
      <c r="C137" s="57" t="str">
        <f aca="false">Flights!$F$9</f>
        <v>MH0089</v>
      </c>
      <c r="D137" s="58" t="n">
        <f aca="false">Flights!$D$9</f>
        <v>46310</v>
      </c>
      <c r="E137" s="57" t="str">
        <f aca="false">Flights!$G$9&amp;"-"&amp;Flights!$H$9</f>
        <v>NRT-KUL</v>
      </c>
      <c r="F137" s="57" t="str">
        <f aca="false">Flights!$K$9</f>
        <v>EY</v>
      </c>
      <c r="G137" s="57" t="s">
        <v>74</v>
      </c>
      <c r="H137" s="57" t="s">
        <v>341</v>
      </c>
      <c r="I137" s="57" t="s">
        <v>342</v>
      </c>
      <c r="J137" s="57" t="s">
        <v>343</v>
      </c>
      <c r="K137" s="67" t="s">
        <v>344</v>
      </c>
      <c r="L137" s="67" t="s">
        <v>345</v>
      </c>
      <c r="M137" s="67"/>
      <c r="N137" s="67" t="s">
        <v>346</v>
      </c>
      <c r="O137" s="67"/>
      <c r="P137" s="57" t="s">
        <v>210</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IF(N137="N/A – rule","N/A – RULE",IF(TRIM(U137)="N/A",IF(AT137=0,"INVALID – N/A not permitted for this mandatory check",IF(AND(TRIM(AC137)&lt;&gt;"",TRIM(AE137)&lt;&gt;"",TRIM(T137)&lt;&gt;""),"N/A – JUSTIFIED","INVALID – N/A needs justification, PIC and verifier")),IF(OR(TRIM(U137)="Pass",TRIM(U137)="Pass after CA"),IF(NOT(ISNUMBER(AD137)),"INVALID – completion time missing",IF(TRIM(T137)="","INVALID – PIC missing",IF(TRIM(Z137)="","INVALID – evidence missing",IF(TRIM(AE137)="","INVALID – verifier missing",IF(AND(AQ137=1,TRIM(W137)=""),"INVALID – batch ID missing",IF(AND(AR137=1,OR(NOT(ISNUMBER(X137)),NOT(ISNUMBER(Y137)))),"INVALID – expected/actual qty missing",IF(IF(AND(TRIM(U137)="Pass",ISNUMBER(AF137)),IF(AF137&lt;&gt;0,"INVALID – qty variance: use Fail or Pass after CA",""),"")&amp;IF(AND(TRIM(U137)="Pass",AB137="Open"),"INVALID – corrective action still open: use Fail, then Pass after CA","")&amp;IF(AND(TRIM(U137)="Pass after CA",OR(TRIM(AA137)="",AB137&lt;&gt;"Closed")),"INVALID – corrective action not recorded/closed","")&lt;&gt;"",IF(AND(TRIM(U137)="Pass",ISNUMBER(AF137)),IF(AF137&lt;&gt;0,"INVALID – qty variance: use Fail or Pass after CA",""),"")&amp;IF(AND(TRIM(U137)="Pass",AB137="Open"),"INVALID – corrective action still open: use Fail, then Pass after CA","")&amp;IF(AND(TRIM(U137)="Pass after CA",OR(TRIM(AA137)="",AB137&lt;&gt;"Closed")),"INVALID – corrective action not recorded/closed",""),IF(AND(AS137=1,Documents!$J$9&lt;&gt;"ON FILE"),"INVALID – GLD not on file (Documents sheet)",IF(AND(AS137=2,Documents!$O$9&lt;&gt;"ON FILE"),"INVALID – menu checklist not on file (Documents sheet)",IF(AND(AS137=3,NOT(ISNUMBER(Flights!$AX$9))),"INVALID – enter carrying flight KUL departure (Flights AX)",IF(AG137&gt;AsOfUTC,"INVALID – completion time is in the future",IF(AND(ISNUMBER(S137),AG137&lt;S137),IF(H137="Physical uplift","INVALID – before uplift window (cannot confirm loading)","INVALID – before valid window"),IF(AG137&gt;Flights!$AA$9,"INVALID – completed after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f>
        <v>OPEN</v>
      </c>
      <c r="AI137" s="61" t="n">
        <f aca="false">IF(OR(AH137="N/A – RULE",AH137="N/A – JUSTIFIED"),0,1)</f>
        <v>1</v>
      </c>
      <c r="AJ137" s="61" t="n">
        <f aca="false">IF(LEFT(AH137,8)="COMPLETE",1,0)</f>
        <v>0</v>
      </c>
      <c r="AK137" s="61" t="n">
        <f aca="false">IF(AND(AI137=1,AJ137=0,AsOfUTC&gt;Q137),1,0)</f>
        <v>0</v>
      </c>
      <c r="AL137" s="61" t="n">
        <f aca="false">IF(AND(AI137=1,OR(TRIM(U137)="Fail",AB137="Open",AND(ISNUMBER(AF137),AF137&lt;&gt;0,TRIM(U137)&lt;&gt;"Pass after CA"))),1,0)</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row>
    <row r="138" customFormat="false" ht="39.75" hidden="false" customHeight="true" outlineLevel="0" collapsed="false">
      <c r="A138" s="57" t="s">
        <v>625</v>
      </c>
      <c r="B138" s="57" t="s">
        <v>218</v>
      </c>
      <c r="C138" s="57" t="str">
        <f aca="false">Flights!$F$9</f>
        <v>MH0089</v>
      </c>
      <c r="D138" s="58" t="n">
        <f aca="false">Flights!$D$9</f>
        <v>46310</v>
      </c>
      <c r="E138" s="57" t="str">
        <f aca="false">Flights!$G$9&amp;"-"&amp;Flights!$H$9</f>
        <v>NRT-KUL</v>
      </c>
      <c r="F138" s="57" t="str">
        <f aca="false">Flights!$K$9</f>
        <v>EY</v>
      </c>
      <c r="G138" s="57" t="s">
        <v>74</v>
      </c>
      <c r="H138" s="57" t="s">
        <v>341</v>
      </c>
      <c r="I138" s="57" t="s">
        <v>348</v>
      </c>
      <c r="J138" s="57" t="s">
        <v>349</v>
      </c>
      <c r="K138" s="67" t="s">
        <v>350</v>
      </c>
      <c r="L138" s="67" t="s">
        <v>345</v>
      </c>
      <c r="M138" s="67"/>
      <c r="N138" s="67" t="s">
        <v>346</v>
      </c>
      <c r="O138" s="67"/>
      <c r="P138" s="57" t="s">
        <v>210</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IF(N138="N/A – rule","N/A – RULE",IF(TRIM(U138)="N/A",IF(AT138=0,"INVALID – N/A not permitted for this mandatory check",IF(AND(TRIM(AC138)&lt;&gt;"",TRIM(AE138)&lt;&gt;"",TRIM(T138)&lt;&gt;""),"N/A – JUSTIFIED","INVALID – N/A needs justification, PIC and verifier")),IF(OR(TRIM(U138)="Pass",TRIM(U138)="Pass after CA"),IF(NOT(ISNUMBER(AD138)),"INVALID – completion time missing",IF(TRIM(T138)="","INVALID – PIC missing",IF(TRIM(Z138)="","INVALID – evidence missing",IF(TRIM(AE138)="","INVALID – verifier missing",IF(AND(AQ138=1,TRIM(W138)=""),"INVALID – batch ID missing",IF(AND(AR138=1,OR(NOT(ISNUMBER(X138)),NOT(ISNUMBER(Y138)))),"INVALID – expected/actual qty missing",IF(IF(AND(TRIM(U138)="Pass",ISNUMBER(AF138)),IF(AF138&lt;&gt;0,"INVALID – qty variance: use Fail or Pass after CA",""),"")&amp;IF(AND(TRIM(U138)="Pass",AB138="Open"),"INVALID – corrective action still open: use Fail, then Pass after CA","")&amp;IF(AND(TRIM(U138)="Pass after CA",OR(TRIM(AA138)="",AB138&lt;&gt;"Closed")),"INVALID – corrective action not recorded/closed","")&lt;&gt;"",IF(AND(TRIM(U138)="Pass",ISNUMBER(AF138)),IF(AF138&lt;&gt;0,"INVALID – qty variance: use Fail or Pass after CA",""),"")&amp;IF(AND(TRIM(U138)="Pass",AB138="Open"),"INVALID – corrective action still open: use Fail, then Pass after CA","")&amp;IF(AND(TRIM(U138)="Pass after CA",OR(TRIM(AA138)="",AB138&lt;&gt;"Closed")),"INVALID – corrective action not recorded/closed",""),IF(AND(AS138=1,Documents!$J$9&lt;&gt;"ON FILE"),"INVALID – GLD not on file (Documents sheet)",IF(AND(AS138=2,Documents!$O$9&lt;&gt;"ON FILE"),"INVALID – menu checklist not on file (Documents sheet)",IF(AND(AS138=3,NOT(ISNUMBER(Flights!$AX$9))),"INVALID – enter carrying flight KUL departure (Flights AX)",IF(AG138&gt;AsOfUTC,"INVALID – completion time is in the future",IF(AND(ISNUMBER(S138),AG138&lt;S138),IF(H138="Physical uplift","INVALID – before uplift window (cannot confirm loading)","INVALID – before valid window"),IF(AG138&gt;Flights!$AA$9,"INVALID – completed after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f>
        <v>OPEN</v>
      </c>
      <c r="AI138" s="61" t="n">
        <f aca="false">IF(OR(AH138="N/A – RULE",AH138="N/A – JUSTIFIED"),0,1)</f>
        <v>1</v>
      </c>
      <c r="AJ138" s="61" t="n">
        <f aca="false">IF(LEFT(AH138,8)="COMPLETE",1,0)</f>
        <v>0</v>
      </c>
      <c r="AK138" s="61" t="n">
        <f aca="false">IF(AND(AI138=1,AJ138=0,AsOfUTC&gt;Q138),1,0)</f>
        <v>0</v>
      </c>
      <c r="AL138" s="61" t="n">
        <f aca="false">IF(AND(AI138=1,OR(TRIM(U138)="Fail",AB138="Open",AND(ISNUMBER(AF138),AF138&lt;&gt;0,TRIM(U138)&lt;&gt;"Pass after CA"))),1,0)</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1</v>
      </c>
    </row>
    <row r="139" customFormat="false" ht="41.25" hidden="false" customHeight="true" outlineLevel="0" collapsed="false">
      <c r="A139" s="57" t="s">
        <v>626</v>
      </c>
      <c r="B139" s="57" t="s">
        <v>218</v>
      </c>
      <c r="C139" s="57" t="str">
        <f aca="false">Flights!$F$9</f>
        <v>MH0089</v>
      </c>
      <c r="D139" s="58" t="n">
        <f aca="false">Flights!$D$9</f>
        <v>46310</v>
      </c>
      <c r="E139" s="57" t="str">
        <f aca="false">Flights!$G$9&amp;"-"&amp;Flights!$H$9</f>
        <v>NRT-KUL</v>
      </c>
      <c r="F139" s="57" t="str">
        <f aca="false">Flights!$K$9</f>
        <v>EY</v>
      </c>
      <c r="G139" s="57" t="s">
        <v>74</v>
      </c>
      <c r="H139" s="57" t="s">
        <v>341</v>
      </c>
      <c r="I139" s="57" t="s">
        <v>352</v>
      </c>
      <c r="J139" s="57" t="s">
        <v>353</v>
      </c>
      <c r="K139" s="67" t="s">
        <v>354</v>
      </c>
      <c r="L139" s="67" t="s">
        <v>345</v>
      </c>
      <c r="M139" s="67"/>
      <c r="N139" s="67" t="str">
        <f aca="false">IF(TRIM(Flights!$L$9)="A339","Required","N/A – rule")</f>
        <v>N/A – rule</v>
      </c>
      <c r="O139" s="67" t="s">
        <v>355</v>
      </c>
      <c r="P139" s="57" t="s">
        <v>210</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IF(N139="N/A – rule","N/A – RULE",IF(TRIM(U139)="N/A",IF(AT139=0,"INVALID – N/A not permitted for this mandatory check",IF(AND(TRIM(AC139)&lt;&gt;"",TRIM(AE139)&lt;&gt;"",TRIM(T139)&lt;&gt;""),"N/A – JUSTIFIED","INVALID – N/A needs justification, PIC and verifier")),IF(OR(TRIM(U139)="Pass",TRIM(U139)="Pass after CA"),IF(NOT(ISNUMBER(AD139)),"INVALID – completion time missing",IF(TRIM(T139)="","INVALID – PIC missing",IF(TRIM(Z139)="","INVALID – evidence missing",IF(TRIM(AE139)="","INVALID – verifier missing",IF(AND(AQ139=1,TRIM(W139)=""),"INVALID – batch ID missing",IF(AND(AR139=1,OR(NOT(ISNUMBER(X139)),NOT(ISNUMBER(Y139)))),"INVALID – expected/actual qty missing",IF(IF(AND(TRIM(U139)="Pass",ISNUMBER(AF139)),IF(AF139&lt;&gt;0,"INVALID – qty variance: use Fail or Pass after CA",""),"")&amp;IF(AND(TRIM(U139)="Pass",AB139="Open"),"INVALID – corrective action still open: use Fail, then Pass after CA","")&amp;IF(AND(TRIM(U139)="Pass after CA",OR(TRIM(AA139)="",AB139&lt;&gt;"Closed")),"INVALID – corrective action not recorded/closed","")&lt;&gt;"",IF(AND(TRIM(U139)="Pass",ISNUMBER(AF139)),IF(AF139&lt;&gt;0,"INVALID – qty variance: use Fail or Pass after CA",""),"")&amp;IF(AND(TRIM(U139)="Pass",AB139="Open"),"INVALID – corrective action still open: use Fail, then Pass after CA","")&amp;IF(AND(TRIM(U139)="Pass after CA",OR(TRIM(AA139)="",AB139&lt;&gt;"Closed")),"INVALID – corrective action not recorded/closed",""),IF(AND(AS139=1,Documents!$J$9&lt;&gt;"ON FILE"),"INVALID – GLD not on file (Documents sheet)",IF(AND(AS139=2,Documents!$O$9&lt;&gt;"ON FILE"),"INVALID – menu checklist not on file (Documents sheet)",IF(AND(AS139=3,NOT(ISNUMBER(Flights!$AX$9))),"INVALID – enter carrying flight KUL departure (Flights AX)",IF(AG139&gt;AsOfUTC,"INVALID – completion time is in the future",IF(AND(ISNUMBER(S139),AG139&lt;S139),IF(H139="Physical uplift","INVALID – before uplift window (cannot confirm loading)","INVALID – before valid window"),IF(AG139&gt;Flights!$AA$9,"INVALID – completed after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f>
        <v>N/A – RULE</v>
      </c>
      <c r="AI139" s="61" t="n">
        <f aca="false">IF(OR(AH139="N/A – RULE",AH139="N/A – JUSTIFIED"),0,1)</f>
        <v>0</v>
      </c>
      <c r="AJ139" s="61" t="n">
        <f aca="false">IF(LEFT(AH139,8)="COMPLETE",1,0)</f>
        <v>0</v>
      </c>
      <c r="AK139" s="61" t="n">
        <f aca="false">IF(AND(AI139=1,AJ139=0,AsOfUTC&gt;Q139),1,0)</f>
        <v>0</v>
      </c>
      <c r="AL139" s="61" t="n">
        <f aca="false">IF(AND(AI139=1,OR(TRIM(U139)="Fail",AB139="Open",AND(ISNUMBER(AF139),AF139&lt;&gt;0,TRIM(U139)&lt;&gt;"Pass after CA"))),1,0)</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row>
    <row r="140" customFormat="false" ht="39.75" hidden="false" customHeight="true" outlineLevel="0" collapsed="false">
      <c r="A140" s="57" t="s">
        <v>627</v>
      </c>
      <c r="B140" s="57" t="s">
        <v>218</v>
      </c>
      <c r="C140" s="57" t="str">
        <f aca="false">Flights!$F$9</f>
        <v>MH0089</v>
      </c>
      <c r="D140" s="58" t="n">
        <f aca="false">Flights!$D$9</f>
        <v>46310</v>
      </c>
      <c r="E140" s="57" t="str">
        <f aca="false">Flights!$G$9&amp;"-"&amp;Flights!$H$9</f>
        <v>NRT-KUL</v>
      </c>
      <c r="F140" s="57" t="str">
        <f aca="false">Flights!$K$9</f>
        <v>EY</v>
      </c>
      <c r="G140" s="57" t="s">
        <v>74</v>
      </c>
      <c r="H140" s="57" t="s">
        <v>341</v>
      </c>
      <c r="I140" s="57" t="s">
        <v>357</v>
      </c>
      <c r="J140" s="57" t="s">
        <v>358</v>
      </c>
      <c r="K140" s="67" t="s">
        <v>359</v>
      </c>
      <c r="L140" s="67" t="s">
        <v>345</v>
      </c>
      <c r="M140" s="67"/>
      <c r="N140" s="67" t="s">
        <v>346</v>
      </c>
      <c r="O140" s="67"/>
      <c r="P140" s="57" t="s">
        <v>210</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IF(N140="N/A – rule","N/A – RULE",IF(TRIM(U140)="N/A",IF(AT140=0,"INVALID – N/A not permitted for this mandatory check",IF(AND(TRIM(AC140)&lt;&gt;"",TRIM(AE140)&lt;&gt;"",TRIM(T140)&lt;&gt;""),"N/A – JUSTIFIED","INVALID – N/A needs justification, PIC and verifier")),IF(OR(TRIM(U140)="Pass",TRIM(U140)="Pass after CA"),IF(NOT(ISNUMBER(AD140)),"INVALID – completion time missing",IF(TRIM(T140)="","INVALID – PIC missing",IF(TRIM(Z140)="","INVALID – evidence missing",IF(TRIM(AE140)="","INVALID – verifier missing",IF(AND(AQ140=1,TRIM(W140)=""),"INVALID – batch ID missing",IF(AND(AR140=1,OR(NOT(ISNUMBER(X140)),NOT(ISNUMBER(Y140)))),"INVALID – expected/actual qty missing",IF(IF(AND(TRIM(U140)="Pass",ISNUMBER(AF140)),IF(AF140&lt;&gt;0,"INVALID – qty variance: use Fail or Pass after CA",""),"")&amp;IF(AND(TRIM(U140)="Pass",AB140="Open"),"INVALID – corrective action still open: use Fail, then Pass after CA","")&amp;IF(AND(TRIM(U140)="Pass after CA",OR(TRIM(AA140)="",AB140&lt;&gt;"Closed")),"INVALID – corrective action not recorded/closed","")&lt;&gt;"",IF(AND(TRIM(U140)="Pass",ISNUMBER(AF140)),IF(AF140&lt;&gt;0,"INVALID – qty variance: use Fail or Pass after CA",""),"")&amp;IF(AND(TRIM(U140)="Pass",AB140="Open"),"INVALID – corrective action still open: use Fail, then Pass after CA","")&amp;IF(AND(TRIM(U140)="Pass after CA",OR(TRIM(AA140)="",AB140&lt;&gt;"Closed")),"INVALID – corrective action not recorded/closed",""),IF(AND(AS140=1,Documents!$J$9&lt;&gt;"ON FILE"),"INVALID – GLD not on file (Documents sheet)",IF(AND(AS140=2,Documents!$O$9&lt;&gt;"ON FILE"),"INVALID – menu checklist not on file (Documents sheet)",IF(AND(AS140=3,NOT(ISNUMBER(Flights!$AX$9))),"INVALID – enter carrying flight KUL departure (Flights AX)",IF(AG140&gt;AsOfUTC,"INVALID – completion time is in the future",IF(AND(ISNUMBER(S140),AG140&lt;S140),IF(H140="Physical uplift","INVALID – before uplift window (cannot confirm loading)","INVALID – before valid window"),IF(AG140&gt;Flights!$AA$9,"INVALID – completed after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f>
        <v>OPEN</v>
      </c>
      <c r="AI140" s="61" t="n">
        <f aca="false">IF(OR(AH140="N/A – RULE",AH140="N/A – JUSTIFIED"),0,1)</f>
        <v>1</v>
      </c>
      <c r="AJ140" s="61" t="n">
        <f aca="false">IF(LEFT(AH140,8)="COMPLETE",1,0)</f>
        <v>0</v>
      </c>
      <c r="AK140" s="61" t="n">
        <f aca="false">IF(AND(AI140=1,AJ140=0,AsOfUTC&gt;Q140),1,0)</f>
        <v>0</v>
      </c>
      <c r="AL140" s="61" t="n">
        <f aca="false">IF(AND(AI140=1,OR(TRIM(U140)="Fail",AB140="Open",AND(ISNUMBER(AF140),AF140&lt;&gt;0,TRIM(U140)&lt;&gt;"Pass after CA"))),1,0)</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row>
    <row r="141" customFormat="false" ht="39.75" hidden="false" customHeight="true" outlineLevel="0" collapsed="false">
      <c r="A141" s="57" t="s">
        <v>628</v>
      </c>
      <c r="B141" s="57" t="s">
        <v>218</v>
      </c>
      <c r="C141" s="57" t="str">
        <f aca="false">Flights!$F$9</f>
        <v>MH0089</v>
      </c>
      <c r="D141" s="58" t="n">
        <f aca="false">Flights!$D$9</f>
        <v>46310</v>
      </c>
      <c r="E141" s="57" t="str">
        <f aca="false">Flights!$G$9&amp;"-"&amp;Flights!$H$9</f>
        <v>NRT-KUL</v>
      </c>
      <c r="F141" s="57" t="str">
        <f aca="false">Flights!$K$9</f>
        <v>EY</v>
      </c>
      <c r="G141" s="57" t="s">
        <v>74</v>
      </c>
      <c r="H141" s="57" t="s">
        <v>341</v>
      </c>
      <c r="I141" s="57" t="s">
        <v>361</v>
      </c>
      <c r="J141" s="57" t="s">
        <v>362</v>
      </c>
      <c r="K141" s="67" t="s">
        <v>363</v>
      </c>
      <c r="L141" s="67" t="s">
        <v>345</v>
      </c>
      <c r="M141" s="67"/>
      <c r="N141" s="67" t="s">
        <v>346</v>
      </c>
      <c r="O141" s="67"/>
      <c r="P141" s="57" t="s">
        <v>210</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IF(N141="N/A – rule","N/A – RULE",IF(TRIM(U141)="N/A",IF(AT141=0,"INVALID – N/A not permitted for this mandatory check",IF(AND(TRIM(AC141)&lt;&gt;"",TRIM(AE141)&lt;&gt;"",TRIM(T141)&lt;&gt;""),"N/A – JUSTIFIED","INVALID – N/A needs justification, PIC and verifier")),IF(OR(TRIM(U141)="Pass",TRIM(U141)="Pass after CA"),IF(NOT(ISNUMBER(AD141)),"INVALID – completion time missing",IF(TRIM(T141)="","INVALID – PIC missing",IF(TRIM(Z141)="","INVALID – evidence missing",IF(TRIM(AE141)="","INVALID – verifier missing",IF(AND(AQ141=1,TRIM(W141)=""),"INVALID – batch ID missing",IF(AND(AR141=1,OR(NOT(ISNUMBER(X141)),NOT(ISNUMBER(Y141)))),"INVALID – expected/actual qty missing",IF(IF(AND(TRIM(U141)="Pass",ISNUMBER(AF141)),IF(AF141&lt;&gt;0,"INVALID – qty variance: use Fail or Pass after CA",""),"")&amp;IF(AND(TRIM(U141)="Pass",AB141="Open"),"INVALID – corrective action still open: use Fail, then Pass after CA","")&amp;IF(AND(TRIM(U141)="Pass after CA",OR(TRIM(AA141)="",AB141&lt;&gt;"Closed")),"INVALID – corrective action not recorded/closed","")&lt;&gt;"",IF(AND(TRIM(U141)="Pass",ISNUMBER(AF141)),IF(AF141&lt;&gt;0,"INVALID – qty variance: use Fail or Pass after CA",""),"")&amp;IF(AND(TRIM(U141)="Pass",AB141="Open"),"INVALID – corrective action still open: use Fail, then Pass after CA","")&amp;IF(AND(TRIM(U141)="Pass after CA",OR(TRIM(AA141)="",AB141&lt;&gt;"Closed")),"INVALID – corrective action not recorded/closed",""),IF(AND(AS141=1,Documents!$J$9&lt;&gt;"ON FILE"),"INVALID – GLD not on file (Documents sheet)",IF(AND(AS141=2,Documents!$O$9&lt;&gt;"ON FILE"),"INVALID – menu checklist not on file (Documents sheet)",IF(AND(AS141=3,NOT(ISNUMBER(Flights!$AX$9))),"INVALID – enter carrying flight KUL departure (Flights AX)",IF(AG141&gt;AsOfUTC,"INVALID – completion time is in the future",IF(AND(ISNUMBER(S141),AG141&lt;S141),IF(H141="Physical uplift","INVALID – before uplift window (cannot confirm loading)","INVALID – before valid window"),IF(AG141&gt;Flights!$AA$9,"INVALID – completed after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f>
        <v>OPEN</v>
      </c>
      <c r="AI141" s="61" t="n">
        <f aca="false">IF(OR(AH141="N/A – RULE",AH141="N/A – JUSTIFIED"),0,1)</f>
        <v>1</v>
      </c>
      <c r="AJ141" s="61" t="n">
        <f aca="false">IF(LEFT(AH141,8)="COMPLETE",1,0)</f>
        <v>0</v>
      </c>
      <c r="AK141" s="61" t="n">
        <f aca="false">IF(AND(AI141=1,AJ141=0,AsOfUTC&gt;Q141),1,0)</f>
        <v>0</v>
      </c>
      <c r="AL141" s="61" t="n">
        <f aca="false">IF(AND(AI141=1,OR(TRIM(U141)="Fail",AB141="Open",AND(ISNUMBER(AF141),AF141&lt;&gt;0,TRIM(U141)&lt;&gt;"Pass after CA"))),1,0)</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row>
    <row r="142" customFormat="false" ht="39.75" hidden="false" customHeight="true" outlineLevel="0" collapsed="false">
      <c r="A142" s="57" t="s">
        <v>629</v>
      </c>
      <c r="B142" s="57" t="s">
        <v>218</v>
      </c>
      <c r="C142" s="57" t="str">
        <f aca="false">Flights!$F$9</f>
        <v>MH0089</v>
      </c>
      <c r="D142" s="58" t="n">
        <f aca="false">Flights!$D$9</f>
        <v>46310</v>
      </c>
      <c r="E142" s="57" t="str">
        <f aca="false">Flights!$G$9&amp;"-"&amp;Flights!$H$9</f>
        <v>NRT-KUL</v>
      </c>
      <c r="F142" s="57" t="str">
        <f aca="false">Flights!$K$9</f>
        <v>EY</v>
      </c>
      <c r="G142" s="57" t="s">
        <v>74</v>
      </c>
      <c r="H142" s="57" t="s">
        <v>341</v>
      </c>
      <c r="I142" s="57" t="s">
        <v>361</v>
      </c>
      <c r="J142" s="57" t="s">
        <v>365</v>
      </c>
      <c r="K142" s="67" t="s">
        <v>366</v>
      </c>
      <c r="L142" s="67" t="s">
        <v>345</v>
      </c>
      <c r="M142" s="67"/>
      <c r="N142" s="67" t="s">
        <v>346</v>
      </c>
      <c r="O142" s="67"/>
      <c r="P142" s="57" t="s">
        <v>210</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IF(N142="N/A – rule","N/A – RULE",IF(TRIM(U142)="N/A",IF(AT142=0,"INVALID – N/A not permitted for this mandatory check",IF(AND(TRIM(AC142)&lt;&gt;"",TRIM(AE142)&lt;&gt;"",TRIM(T142)&lt;&gt;""),"N/A – JUSTIFIED","INVALID – N/A needs justification, PIC and verifier")),IF(OR(TRIM(U142)="Pass",TRIM(U142)="Pass after CA"),IF(NOT(ISNUMBER(AD142)),"INVALID – completion time missing",IF(TRIM(T142)="","INVALID – PIC missing",IF(TRIM(Z142)="","INVALID – evidence missing",IF(TRIM(AE142)="","INVALID – verifier missing",IF(AND(AQ142=1,TRIM(W142)=""),"INVALID – batch ID missing",IF(AND(AR142=1,OR(NOT(ISNUMBER(X142)),NOT(ISNUMBER(Y142)))),"INVALID – expected/actual qty missing",IF(IF(AND(TRIM(U142)="Pass",ISNUMBER(AF142)),IF(AF142&lt;&gt;0,"INVALID – qty variance: use Fail or Pass after CA",""),"")&amp;IF(AND(TRIM(U142)="Pass",AB142="Open"),"INVALID – corrective action still open: use Fail, then Pass after CA","")&amp;IF(AND(TRIM(U142)="Pass after CA",OR(TRIM(AA142)="",AB142&lt;&gt;"Closed")),"INVALID – corrective action not recorded/closed","")&lt;&gt;"",IF(AND(TRIM(U142)="Pass",ISNUMBER(AF142)),IF(AF142&lt;&gt;0,"INVALID – qty variance: use Fail or Pass after CA",""),"")&amp;IF(AND(TRIM(U142)="Pass",AB142="Open"),"INVALID – corrective action still open: use Fail, then Pass after CA","")&amp;IF(AND(TRIM(U142)="Pass after CA",OR(TRIM(AA142)="",AB142&lt;&gt;"Closed")),"INVALID – corrective action not recorded/closed",""),IF(AND(AS142=1,Documents!$J$9&lt;&gt;"ON FILE"),"INVALID – GLD not on file (Documents sheet)",IF(AND(AS142=2,Documents!$O$9&lt;&gt;"ON FILE"),"INVALID – menu checklist not on file (Documents sheet)",IF(AND(AS142=3,NOT(ISNUMBER(Flights!$AX$9))),"INVALID – enter carrying flight KUL departure (Flights AX)",IF(AG142&gt;AsOfUTC,"INVALID – completion time is in the future",IF(AND(ISNUMBER(S142),AG142&lt;S142),IF(H142="Physical uplift","INVALID – before uplift window (cannot confirm loading)","INVALID – before valid window"),IF(AG142&gt;Flights!$AA$9,"INVALID – completed after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f>
        <v>OPEN</v>
      </c>
      <c r="AI142" s="61" t="n">
        <f aca="false">IF(OR(AH142="N/A – RULE",AH142="N/A – JUSTIFIED"),0,1)</f>
        <v>1</v>
      </c>
      <c r="AJ142" s="61" t="n">
        <f aca="false">IF(LEFT(AH142,8)="COMPLETE",1,0)</f>
        <v>0</v>
      </c>
      <c r="AK142" s="61" t="n">
        <f aca="false">IF(AND(AI142=1,AJ142=0,AsOfUTC&gt;Q142),1,0)</f>
        <v>0</v>
      </c>
      <c r="AL142" s="61" t="n">
        <f aca="false">IF(AND(AI142=1,OR(TRIM(U142)="Fail",AB142="Open",AND(ISNUMBER(AF142),AF142&lt;&gt;0,TRIM(U142)&lt;&gt;"Pass after CA"))),1,0)</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row>
    <row r="143" customFormat="false" ht="39.75" hidden="false" customHeight="true" outlineLevel="0" collapsed="false">
      <c r="A143" s="57" t="s">
        <v>630</v>
      </c>
      <c r="B143" s="57" t="s">
        <v>218</v>
      </c>
      <c r="C143" s="57" t="str">
        <f aca="false">Flights!$F$9</f>
        <v>MH0089</v>
      </c>
      <c r="D143" s="58" t="n">
        <f aca="false">Flights!$D$9</f>
        <v>46310</v>
      </c>
      <c r="E143" s="57" t="str">
        <f aca="false">Flights!$G$9&amp;"-"&amp;Flights!$H$9</f>
        <v>NRT-KUL</v>
      </c>
      <c r="F143" s="57" t="str">
        <f aca="false">Flights!$K$9</f>
        <v>EY</v>
      </c>
      <c r="G143" s="57" t="s">
        <v>74</v>
      </c>
      <c r="H143" s="57" t="s">
        <v>341</v>
      </c>
      <c r="I143" s="57" t="s">
        <v>368</v>
      </c>
      <c r="J143" s="57" t="s">
        <v>369</v>
      </c>
      <c r="K143" s="67" t="s">
        <v>370</v>
      </c>
      <c r="L143" s="67" t="s">
        <v>345</v>
      </c>
      <c r="M143" s="67"/>
      <c r="N143" s="67" t="s">
        <v>346</v>
      </c>
      <c r="O143" s="67"/>
      <c r="P143" s="57" t="s">
        <v>210</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IF(N143="N/A – rule","N/A – RULE",IF(TRIM(U143)="N/A",IF(AT143=0,"INVALID – N/A not permitted for this mandatory check",IF(AND(TRIM(AC143)&lt;&gt;"",TRIM(AE143)&lt;&gt;"",TRIM(T143)&lt;&gt;""),"N/A – JUSTIFIED","INVALID – N/A needs justification, PIC and verifier")),IF(OR(TRIM(U143)="Pass",TRIM(U143)="Pass after CA"),IF(NOT(ISNUMBER(AD143)),"INVALID – completion time missing",IF(TRIM(T143)="","INVALID – PIC missing",IF(TRIM(Z143)="","INVALID – evidence missing",IF(TRIM(AE143)="","INVALID – verifier missing",IF(AND(AQ143=1,TRIM(W143)=""),"INVALID – batch ID missing",IF(AND(AR143=1,OR(NOT(ISNUMBER(X143)),NOT(ISNUMBER(Y143)))),"INVALID – expected/actual qty missing",IF(IF(AND(TRIM(U143)="Pass",ISNUMBER(AF143)),IF(AF143&lt;&gt;0,"INVALID – qty variance: use Fail or Pass after CA",""),"")&amp;IF(AND(TRIM(U143)="Pass",AB143="Open"),"INVALID – corrective action still open: use Fail, then Pass after CA","")&amp;IF(AND(TRIM(U143)="Pass after CA",OR(TRIM(AA143)="",AB143&lt;&gt;"Closed")),"INVALID – corrective action not recorded/closed","")&lt;&gt;"",IF(AND(TRIM(U143)="Pass",ISNUMBER(AF143)),IF(AF143&lt;&gt;0,"INVALID – qty variance: use Fail or Pass after CA",""),"")&amp;IF(AND(TRIM(U143)="Pass",AB143="Open"),"INVALID – corrective action still open: use Fail, then Pass after CA","")&amp;IF(AND(TRIM(U143)="Pass after CA",OR(TRIM(AA143)="",AB143&lt;&gt;"Closed")),"INVALID – corrective action not recorded/closed",""),IF(AND(AS143=1,Documents!$J$9&lt;&gt;"ON FILE"),"INVALID – GLD not on file (Documents sheet)",IF(AND(AS143=2,Documents!$O$9&lt;&gt;"ON FILE"),"INVALID – menu checklist not on file (Documents sheet)",IF(AND(AS143=3,NOT(ISNUMBER(Flights!$AX$9))),"INVALID – enter carrying flight KUL departure (Flights AX)",IF(AG143&gt;AsOfUTC,"INVALID – completion time is in the future",IF(AND(ISNUMBER(S143),AG143&lt;S143),IF(H143="Physical uplift","INVALID – before uplift window (cannot confirm loading)","INVALID – before valid window"),IF(AG143&gt;Flights!$AA$9,"INVALID – completed after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f>
        <v>OPEN</v>
      </c>
      <c r="AI143" s="61" t="n">
        <f aca="false">IF(OR(AH143="N/A – RULE",AH143="N/A – JUSTIFIED"),0,1)</f>
        <v>1</v>
      </c>
      <c r="AJ143" s="61" t="n">
        <f aca="false">IF(LEFT(AH143,8)="COMPLETE",1,0)</f>
        <v>0</v>
      </c>
      <c r="AK143" s="61" t="n">
        <f aca="false">IF(AND(AI143=1,AJ143=0,AsOfUTC&gt;Q143),1,0)</f>
        <v>0</v>
      </c>
      <c r="AL143" s="61" t="n">
        <f aca="false">IF(AND(AI143=1,OR(TRIM(U143)="Fail",AB143="Open",AND(ISNUMBER(AF143),AF143&lt;&gt;0,TRIM(U143)&lt;&gt;"Pass after CA"))),1,0)</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row>
    <row r="144" customFormat="false" ht="39.75" hidden="false" customHeight="true" outlineLevel="0" collapsed="false">
      <c r="A144" s="57" t="s">
        <v>631</v>
      </c>
      <c r="B144" s="57" t="s">
        <v>218</v>
      </c>
      <c r="C144" s="57" t="str">
        <f aca="false">Flights!$F$9</f>
        <v>MH0089</v>
      </c>
      <c r="D144" s="58" t="n">
        <f aca="false">Flights!$D$9</f>
        <v>46310</v>
      </c>
      <c r="E144" s="57" t="str">
        <f aca="false">Flights!$G$9&amp;"-"&amp;Flights!$H$9</f>
        <v>NRT-KUL</v>
      </c>
      <c r="F144" s="57" t="str">
        <f aca="false">Flights!$K$9</f>
        <v>EY</v>
      </c>
      <c r="G144" s="57" t="s">
        <v>74</v>
      </c>
      <c r="H144" s="57" t="s">
        <v>341</v>
      </c>
      <c r="I144" s="57" t="s">
        <v>368</v>
      </c>
      <c r="J144" s="57" t="s">
        <v>372</v>
      </c>
      <c r="K144" s="67" t="s">
        <v>370</v>
      </c>
      <c r="L144" s="67" t="s">
        <v>345</v>
      </c>
      <c r="M144" s="67"/>
      <c r="N144" s="67" t="s">
        <v>346</v>
      </c>
      <c r="O144" s="67"/>
      <c r="P144" s="57" t="s">
        <v>210</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IF(N144="N/A – rule","N/A – RULE",IF(TRIM(U144)="N/A",IF(AT144=0,"INVALID – N/A not permitted for this mandatory check",IF(AND(TRIM(AC144)&lt;&gt;"",TRIM(AE144)&lt;&gt;"",TRIM(T144)&lt;&gt;""),"N/A – JUSTIFIED","INVALID – N/A needs justification, PIC and verifier")),IF(OR(TRIM(U144)="Pass",TRIM(U144)="Pass after CA"),IF(NOT(ISNUMBER(AD144)),"INVALID – completion time missing",IF(TRIM(T144)="","INVALID – PIC missing",IF(TRIM(Z144)="","INVALID – evidence missing",IF(TRIM(AE144)="","INVALID – verifier missing",IF(AND(AQ144=1,TRIM(W144)=""),"INVALID – batch ID missing",IF(AND(AR144=1,OR(NOT(ISNUMBER(X144)),NOT(ISNUMBER(Y144)))),"INVALID – expected/actual qty missing",IF(IF(AND(TRIM(U144)="Pass",ISNUMBER(AF144)),IF(AF144&lt;&gt;0,"INVALID – qty variance: use Fail or Pass after CA",""),"")&amp;IF(AND(TRIM(U144)="Pass",AB144="Open"),"INVALID – corrective action still open: use Fail, then Pass after CA","")&amp;IF(AND(TRIM(U144)="Pass after CA",OR(TRIM(AA144)="",AB144&lt;&gt;"Closed")),"INVALID – corrective action not recorded/closed","")&lt;&gt;"",IF(AND(TRIM(U144)="Pass",ISNUMBER(AF144)),IF(AF144&lt;&gt;0,"INVALID – qty variance: use Fail or Pass after CA",""),"")&amp;IF(AND(TRIM(U144)="Pass",AB144="Open"),"INVALID – corrective action still open: use Fail, then Pass after CA","")&amp;IF(AND(TRIM(U144)="Pass after CA",OR(TRIM(AA144)="",AB144&lt;&gt;"Closed")),"INVALID – corrective action not recorded/closed",""),IF(AND(AS144=1,Documents!$J$9&lt;&gt;"ON FILE"),"INVALID – GLD not on file (Documents sheet)",IF(AND(AS144=2,Documents!$O$9&lt;&gt;"ON FILE"),"INVALID – menu checklist not on file (Documents sheet)",IF(AND(AS144=3,NOT(ISNUMBER(Flights!$AX$9))),"INVALID – enter carrying flight KUL departure (Flights AX)",IF(AG144&gt;AsOfUTC,"INVALID – completion time is in the future",IF(AND(ISNUMBER(S144),AG144&lt;S144),IF(H144="Physical uplift","INVALID – before uplift window (cannot confirm loading)","INVALID – before valid window"),IF(AG144&gt;Flights!$AA$9,"INVALID – completed after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f>
        <v>OPEN</v>
      </c>
      <c r="AI144" s="61" t="n">
        <f aca="false">IF(OR(AH144="N/A – RULE",AH144="N/A – JUSTIFIED"),0,1)</f>
        <v>1</v>
      </c>
      <c r="AJ144" s="61" t="n">
        <f aca="false">IF(LEFT(AH144,8)="COMPLETE",1,0)</f>
        <v>0</v>
      </c>
      <c r="AK144" s="61" t="n">
        <f aca="false">IF(AND(AI144=1,AJ144=0,AsOfUTC&gt;Q144),1,0)</f>
        <v>0</v>
      </c>
      <c r="AL144" s="61" t="n">
        <f aca="false">IF(AND(AI144=1,OR(TRIM(U144)="Fail",AB144="Open",AND(ISNUMBER(AF144),AF144&lt;&gt;0,TRIM(U144)&lt;&gt;"Pass after CA"))),1,0)</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row>
    <row r="145" customFormat="false" ht="39.75" hidden="false" customHeight="true" outlineLevel="0" collapsed="false">
      <c r="A145" s="57" t="s">
        <v>632</v>
      </c>
      <c r="B145" s="57" t="s">
        <v>218</v>
      </c>
      <c r="C145" s="57" t="str">
        <f aca="false">Flights!$F$9</f>
        <v>MH0089</v>
      </c>
      <c r="D145" s="58" t="n">
        <f aca="false">Flights!$D$9</f>
        <v>46310</v>
      </c>
      <c r="E145" s="57" t="str">
        <f aca="false">Flights!$G$9&amp;"-"&amp;Flights!$H$9</f>
        <v>NRT-KUL</v>
      </c>
      <c r="F145" s="57" t="str">
        <f aca="false">Flights!$K$9</f>
        <v>EY</v>
      </c>
      <c r="G145" s="57" t="s">
        <v>74</v>
      </c>
      <c r="H145" s="57" t="s">
        <v>341</v>
      </c>
      <c r="I145" s="57" t="s">
        <v>374</v>
      </c>
      <c r="J145" s="57" t="s">
        <v>375</v>
      </c>
      <c r="K145" s="67" t="s">
        <v>633</v>
      </c>
      <c r="L145" s="67" t="s">
        <v>554</v>
      </c>
      <c r="M145" s="67"/>
      <c r="N145" s="67" t="s">
        <v>346</v>
      </c>
      <c r="O145" s="67"/>
      <c r="P145" s="57" t="s">
        <v>210</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IF(N145="N/A – rule","N/A – RULE",IF(TRIM(U145)="N/A",IF(AT145=0,"INVALID – N/A not permitted for this mandatory check",IF(AND(TRIM(AC145)&lt;&gt;"",TRIM(AE145)&lt;&gt;"",TRIM(T145)&lt;&gt;""),"N/A – JUSTIFIED","INVALID – N/A needs justification, PIC and verifier")),IF(OR(TRIM(U145)="Pass",TRIM(U145)="Pass after CA"),IF(NOT(ISNUMBER(AD145)),"INVALID – completion time missing",IF(TRIM(T145)="","INVALID – PIC missing",IF(TRIM(Z145)="","INVALID – evidence missing",IF(TRIM(AE145)="","INVALID – verifier missing",IF(AND(AQ145=1,TRIM(W145)=""),"INVALID – batch ID missing",IF(AND(AR145=1,OR(NOT(ISNUMBER(X145)),NOT(ISNUMBER(Y145)))),"INVALID – expected/actual qty missing",IF(IF(AND(TRIM(U145)="Pass",ISNUMBER(AF145)),IF(AF145&lt;&gt;0,"INVALID – qty variance: use Fail or Pass after CA",""),"")&amp;IF(AND(TRIM(U145)="Pass",AB145="Open"),"INVALID – corrective action still open: use Fail, then Pass after CA","")&amp;IF(AND(TRIM(U145)="Pass after CA",OR(TRIM(AA145)="",AB145&lt;&gt;"Closed")),"INVALID – corrective action not recorded/closed","")&lt;&gt;"",IF(AND(TRIM(U145)="Pass",ISNUMBER(AF145)),IF(AF145&lt;&gt;0,"INVALID – qty variance: use Fail or Pass after CA",""),"")&amp;IF(AND(TRIM(U145)="Pass",AB145="Open"),"INVALID – corrective action still open: use Fail, then Pass after CA","")&amp;IF(AND(TRIM(U145)="Pass after CA",OR(TRIM(AA145)="",AB145&lt;&gt;"Closed")),"INVALID – corrective action not recorded/closed",""),IF(AND(AS145=1,Documents!$J$9&lt;&gt;"ON FILE"),"INVALID – GLD not on file (Documents sheet)",IF(AND(AS145=2,Documents!$O$9&lt;&gt;"ON FILE"),"INVALID – menu checklist not on file (Documents sheet)",IF(AND(AS145=3,NOT(ISNUMBER(Flights!$AX$9))),"INVALID – enter carrying flight KUL departure (Flights AX)",IF(AG145&gt;AsOfUTC,"INVALID – completion time is in the future",IF(AND(ISNUMBER(S145),AG145&lt;S145),IF(H145="Physical uplift","INVALID – before uplift window (cannot confirm loading)","INVALID – before valid window"),IF(AG145&gt;Flights!$AA$9,"INVALID – completed after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f>
        <v>OPEN</v>
      </c>
      <c r="AI145" s="61" t="n">
        <f aca="false">IF(OR(AH145="N/A – RULE",AH145="N/A – JUSTIFIED"),0,1)</f>
        <v>1</v>
      </c>
      <c r="AJ145" s="61" t="n">
        <f aca="false">IF(LEFT(AH145,8)="COMPLETE",1,0)</f>
        <v>0</v>
      </c>
      <c r="AK145" s="61" t="n">
        <f aca="false">IF(AND(AI145=1,AJ145=0,AsOfUTC&gt;Q145),1,0)</f>
        <v>0</v>
      </c>
      <c r="AL145" s="61" t="n">
        <f aca="false">IF(AND(AI145=1,OR(TRIM(U145)="Fail",AB145="Open",AND(ISNUMBER(AF145),AF145&lt;&gt;0,TRIM(U145)&lt;&gt;"Pass after CA"))),1,0)</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row>
    <row r="146" customFormat="false" ht="91.5" hidden="false" customHeight="true" outlineLevel="0" collapsed="false">
      <c r="A146" s="57" t="s">
        <v>634</v>
      </c>
      <c r="B146" s="57" t="s">
        <v>218</v>
      </c>
      <c r="C146" s="57" t="str">
        <f aca="false">Flights!$F$9</f>
        <v>MH0089</v>
      </c>
      <c r="D146" s="58" t="n">
        <f aca="false">Flights!$D$9</f>
        <v>46310</v>
      </c>
      <c r="E146" s="57" t="str">
        <f aca="false">Flights!$G$9&amp;"-"&amp;Flights!$H$9</f>
        <v>NRT-KUL</v>
      </c>
      <c r="F146" s="57" t="str">
        <f aca="false">Flights!$K$9</f>
        <v>EY</v>
      </c>
      <c r="G146" s="57" t="s">
        <v>74</v>
      </c>
      <c r="H146" s="57" t="s">
        <v>341</v>
      </c>
      <c r="I146" s="57" t="s">
        <v>374</v>
      </c>
      <c r="J146" s="57" t="s">
        <v>635</v>
      </c>
      <c r="K146" s="67" t="s">
        <v>636</v>
      </c>
      <c r="L146" s="67" t="s">
        <v>637</v>
      </c>
      <c r="M146" s="67"/>
      <c r="N146" s="67" t="s">
        <v>407</v>
      </c>
      <c r="O146" s="67" t="s">
        <v>638</v>
      </c>
      <c r="P146" s="57" t="s">
        <v>177</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IF(N146="N/A – rule","N/A – RULE",IF(TRIM(U146)="N/A",IF(AT146=0,"INVALID – N/A not permitted for this mandatory check",IF(AND(TRIM(AC146)&lt;&gt;"",TRIM(AE146)&lt;&gt;"",TRIM(T146)&lt;&gt;""),"N/A – JUSTIFIED","INVALID – N/A needs justification, PIC and verifier")),IF(OR(TRIM(U146)="Pass",TRIM(U146)="Pass after CA"),IF(NOT(ISNUMBER(AD146)),"INVALID – completion time missing",IF(TRIM(T146)="","INVALID – PIC missing",IF(TRIM(Z146)="","INVALID – evidence missing",IF(TRIM(AE146)="","INVALID – verifier missing",IF(AND(AQ146=1,TRIM(W146)=""),"INVALID – batch ID missing",IF(AND(AR146=1,OR(NOT(ISNUMBER(X146)),NOT(ISNUMBER(Y146)))),"INVALID – expected/actual qty missing",IF(IF(AND(TRIM(U146)="Pass",ISNUMBER(AF146)),IF(AF146&lt;&gt;0,"INVALID – qty variance: use Fail or Pass after CA",""),"")&amp;IF(AND(TRIM(U146)="Pass",AB146="Open"),"INVALID – corrective action still open: use Fail, then Pass after CA","")&amp;IF(AND(TRIM(U146)="Pass after CA",OR(TRIM(AA146)="",AB146&lt;&gt;"Closed")),"INVALID – corrective action not recorded/closed","")&lt;&gt;"",IF(AND(TRIM(U146)="Pass",ISNUMBER(AF146)),IF(AF146&lt;&gt;0,"INVALID – qty variance: use Fail or Pass after CA",""),"")&amp;IF(AND(TRIM(U146)="Pass",AB146="Open"),"INVALID – corrective action still open: use Fail, then Pass after CA","")&amp;IF(AND(TRIM(U146)="Pass after CA",OR(TRIM(AA146)="",AB146&lt;&gt;"Closed")),"INVALID – corrective action not recorded/closed",""),IF(AND(AS146=1,Documents!$J$9&lt;&gt;"ON FILE"),"INVALID – GLD not on file (Documents sheet)",IF(AND(AS146=2,Documents!$O$9&lt;&gt;"ON FILE"),"INVALID – menu checklist not on file (Documents sheet)",IF(AND(AS146=3,NOT(ISNUMBER(Flights!$AX$9))),"INVALID – enter carrying flight KUL departure (Flights AX)",IF(AG146&gt;AsOfUTC,"INVALID – completion time is in the future",IF(AND(ISNUMBER(S146),AG146&lt;S146),IF(H146="Physical uplift","INVALID – before uplift window (cannot confirm loading)","INVALID – before valid window"),IF(AG146&gt;Flights!$AA$9,"INVALID – completed after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f>
        <v>OPEN – CLARIFICATION</v>
      </c>
      <c r="AI146" s="61" t="n">
        <f aca="false">IF(OR(AH146="N/A – RULE",AH146="N/A – JUSTIFIED"),0,1)</f>
        <v>1</v>
      </c>
      <c r="AJ146" s="61" t="n">
        <f aca="false">IF(LEFT(AH146,8)="COMPLETE",1,0)</f>
        <v>0</v>
      </c>
      <c r="AK146" s="61" t="n">
        <f aca="false">IF(AND(AI146=1,AJ146=0,AsOfUTC&gt;Q146),1,0)</f>
        <v>0</v>
      </c>
      <c r="AL146" s="61" t="n">
        <f aca="false">IF(AND(AI146=1,OR(TRIM(U146)="Fail",AB146="Open",AND(ISNUMBER(AF146),AF146&lt;&gt;0,TRIM(U146)&lt;&gt;"Pass after CA"))),1,0)</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1</v>
      </c>
    </row>
    <row r="147" customFormat="false" ht="39.75" hidden="false" customHeight="true" outlineLevel="0" collapsed="false">
      <c r="A147" s="57" t="s">
        <v>639</v>
      </c>
      <c r="B147" s="57" t="s">
        <v>218</v>
      </c>
      <c r="C147" s="57" t="str">
        <f aca="false">Flights!$F$9</f>
        <v>MH0089</v>
      </c>
      <c r="D147" s="58" t="n">
        <f aca="false">Flights!$D$9</f>
        <v>46310</v>
      </c>
      <c r="E147" s="57" t="str">
        <f aca="false">Flights!$G$9&amp;"-"&amp;Flights!$H$9</f>
        <v>NRT-KUL</v>
      </c>
      <c r="F147" s="57" t="str">
        <f aca="false">Flights!$K$9</f>
        <v>EY</v>
      </c>
      <c r="G147" s="57" t="s">
        <v>76</v>
      </c>
      <c r="H147" s="57" t="s">
        <v>341</v>
      </c>
      <c r="I147" s="57" t="s">
        <v>342</v>
      </c>
      <c r="J147" s="57" t="s">
        <v>379</v>
      </c>
      <c r="K147" s="67" t="s">
        <v>380</v>
      </c>
      <c r="L147" s="67" t="s">
        <v>381</v>
      </c>
      <c r="M147" s="67"/>
      <c r="N147" s="67" t="s">
        <v>346</v>
      </c>
      <c r="O147" s="67"/>
      <c r="P147" s="57" t="s">
        <v>210</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IF(N147="N/A – rule","N/A – RULE",IF(TRIM(U147)="N/A",IF(AT147=0,"INVALID – N/A not permitted for this mandatory check",IF(AND(TRIM(AC147)&lt;&gt;"",TRIM(AE147)&lt;&gt;"",TRIM(T147)&lt;&gt;""),"N/A – JUSTIFIED","INVALID – N/A needs justification, PIC and verifier")),IF(OR(TRIM(U147)="Pass",TRIM(U147)="Pass after CA"),IF(NOT(ISNUMBER(AD147)),"INVALID – completion time missing",IF(TRIM(T147)="","INVALID – PIC missing",IF(TRIM(Z147)="","INVALID – evidence missing",IF(TRIM(AE147)="","INVALID – verifier missing",IF(AND(AQ147=1,TRIM(W147)=""),"INVALID – batch ID missing",IF(AND(AR147=1,OR(NOT(ISNUMBER(X147)),NOT(ISNUMBER(Y147)))),"INVALID – expected/actual qty missing",IF(IF(AND(TRIM(U147)="Pass",ISNUMBER(AF147)),IF(AF147&lt;&gt;0,"INVALID – qty variance: use Fail or Pass after CA",""),"")&amp;IF(AND(TRIM(U147)="Pass",AB147="Open"),"INVALID – corrective action still open: use Fail, then Pass after CA","")&amp;IF(AND(TRIM(U147)="Pass after CA",OR(TRIM(AA147)="",AB147&lt;&gt;"Closed")),"INVALID – corrective action not recorded/closed","")&lt;&gt;"",IF(AND(TRIM(U147)="Pass",ISNUMBER(AF147)),IF(AF147&lt;&gt;0,"INVALID – qty variance: use Fail or Pass after CA",""),"")&amp;IF(AND(TRIM(U147)="Pass",AB147="Open"),"INVALID – corrective action still open: use Fail, then Pass after CA","")&amp;IF(AND(TRIM(U147)="Pass after CA",OR(TRIM(AA147)="",AB147&lt;&gt;"Closed")),"INVALID – corrective action not recorded/closed",""),IF(AND(AS147=1,Documents!$J$9&lt;&gt;"ON FILE"),"INVALID – GLD not on file (Documents sheet)",IF(AND(AS147=2,Documents!$O$9&lt;&gt;"ON FILE"),"INVALID – menu checklist not on file (Documents sheet)",IF(AND(AS147=3,NOT(ISNUMBER(Flights!$AX$9))),"INVALID – enter carrying flight KUL departure (Flights AX)",IF(AG147&gt;AsOfUTC,"INVALID – completion time is in the future",IF(AND(ISNUMBER(S147),AG147&lt;S147),IF(H147="Physical uplift","INVALID – before uplift window (cannot confirm loading)","INVALID – before valid window"),IF(AG147&gt;Flights!$AA$9,"INVALID – completed after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f>
        <v>OPEN</v>
      </c>
      <c r="AI147" s="61" t="n">
        <f aca="false">IF(OR(AH147="N/A – RULE",AH147="N/A – JUSTIFIED"),0,1)</f>
        <v>1</v>
      </c>
      <c r="AJ147" s="61" t="n">
        <f aca="false">IF(LEFT(AH147,8)="COMPLETE",1,0)</f>
        <v>0</v>
      </c>
      <c r="AK147" s="61" t="n">
        <f aca="false">IF(AND(AI147=1,AJ147=0,AsOfUTC&gt;Q147),1,0)</f>
        <v>0</v>
      </c>
      <c r="AL147" s="61" t="n">
        <f aca="false">IF(AND(AI147=1,OR(TRIM(U147)="Fail",AB147="Open",AND(ISNUMBER(AF147),AF147&lt;&gt;0,TRIM(U147)&lt;&gt;"Pass after CA"))),1,0)</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row>
    <row r="148" customFormat="false" ht="39.75" hidden="false" customHeight="true" outlineLevel="0" collapsed="false">
      <c r="A148" s="57" t="s">
        <v>640</v>
      </c>
      <c r="B148" s="57" t="s">
        <v>218</v>
      </c>
      <c r="C148" s="57" t="str">
        <f aca="false">Flights!$F$9</f>
        <v>MH0089</v>
      </c>
      <c r="D148" s="58" t="n">
        <f aca="false">Flights!$D$9</f>
        <v>46310</v>
      </c>
      <c r="E148" s="57" t="str">
        <f aca="false">Flights!$G$9&amp;"-"&amp;Flights!$H$9</f>
        <v>NRT-KUL</v>
      </c>
      <c r="F148" s="57" t="str">
        <f aca="false">Flights!$K$9</f>
        <v>EY</v>
      </c>
      <c r="G148" s="57" t="s">
        <v>383</v>
      </c>
      <c r="H148" s="57" t="s">
        <v>341</v>
      </c>
      <c r="I148" s="57" t="s">
        <v>342</v>
      </c>
      <c r="J148" s="57" t="s">
        <v>384</v>
      </c>
      <c r="K148" s="67"/>
      <c r="L148" s="67" t="s">
        <v>385</v>
      </c>
      <c r="M148" s="67"/>
      <c r="N148" s="67" t="s">
        <v>346</v>
      </c>
      <c r="O148" s="67" t="s">
        <v>386</v>
      </c>
      <c r="P148" s="57" t="s">
        <v>210</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IF(N148="N/A – rule","N/A – RULE",IF(TRIM(U148)="N/A",IF(AT148=0,"INVALID – N/A not permitted for this mandatory check",IF(AND(TRIM(AC148)&lt;&gt;"",TRIM(AE148)&lt;&gt;"",TRIM(T148)&lt;&gt;""),"N/A – JUSTIFIED","INVALID – N/A needs justification, PIC and verifier")),IF(OR(TRIM(U148)="Pass",TRIM(U148)="Pass after CA"),IF(NOT(ISNUMBER(AD148)),"INVALID – completion time missing",IF(TRIM(T148)="","INVALID – PIC missing",IF(TRIM(Z148)="","INVALID – evidence missing",IF(TRIM(AE148)="","INVALID – verifier missing",IF(AND(AQ148=1,TRIM(W148)=""),"INVALID – batch ID missing",IF(AND(AR148=1,OR(NOT(ISNUMBER(X148)),NOT(ISNUMBER(Y148)))),"INVALID – expected/actual qty missing",IF(IF(AND(TRIM(U148)="Pass",ISNUMBER(AF148)),IF(AF148&lt;&gt;0,"INVALID – qty variance: use Fail or Pass after CA",""),"")&amp;IF(AND(TRIM(U148)="Pass",AB148="Open"),"INVALID – corrective action still open: use Fail, then Pass after CA","")&amp;IF(AND(TRIM(U148)="Pass after CA",OR(TRIM(AA148)="",AB148&lt;&gt;"Closed")),"INVALID – corrective action not recorded/closed","")&lt;&gt;"",IF(AND(TRIM(U148)="Pass",ISNUMBER(AF148)),IF(AF148&lt;&gt;0,"INVALID – qty variance: use Fail or Pass after CA",""),"")&amp;IF(AND(TRIM(U148)="Pass",AB148="Open"),"INVALID – corrective action still open: use Fail, then Pass after CA","")&amp;IF(AND(TRIM(U148)="Pass after CA",OR(TRIM(AA148)="",AB148&lt;&gt;"Closed")),"INVALID – corrective action not recorded/closed",""),IF(AND(AS148=1,Documents!$J$9&lt;&gt;"ON FILE"),"INVALID – GLD not on file (Documents sheet)",IF(AND(AS148=2,Documents!$O$9&lt;&gt;"ON FILE"),"INVALID – menu checklist not on file (Documents sheet)",IF(AND(AS148=3,NOT(ISNUMBER(Flights!$AX$9))),"INVALID – enter carrying flight KUL departure (Flights AX)",IF(AG148&gt;AsOfUTC,"INVALID – completion time is in the future",IF(AND(ISNUMBER(S148),AG148&lt;S148),IF(H148="Physical uplift","INVALID – before uplift window (cannot confirm loading)","INVALID – before valid window"),IF(AG148&gt;Flights!$AA$9,"INVALID – completed after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f>
        <v>OPEN</v>
      </c>
      <c r="AI148" s="61" t="n">
        <f aca="false">IF(OR(AH148="N/A – RULE",AH148="N/A – JUSTIFIED"),0,1)</f>
        <v>1</v>
      </c>
      <c r="AJ148" s="61" t="n">
        <f aca="false">IF(LEFT(AH148,8)="COMPLETE",1,0)</f>
        <v>0</v>
      </c>
      <c r="AK148" s="61" t="n">
        <f aca="false">IF(AND(AI148=1,AJ148=0,AsOfUTC&gt;Q148),1,0)</f>
        <v>0</v>
      </c>
      <c r="AL148" s="61" t="n">
        <f aca="false">IF(AND(AI148=1,OR(TRIM(U148)="Fail",AB148="Open",AND(ISNUMBER(AF148),AF148&lt;&gt;0,TRIM(U148)&lt;&gt;"Pass after CA"))),1,0)</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row>
    <row r="149" customFormat="false" ht="39.75" hidden="false" customHeight="true" outlineLevel="0" collapsed="false">
      <c r="A149" s="57" t="s">
        <v>641</v>
      </c>
      <c r="B149" s="57" t="s">
        <v>218</v>
      </c>
      <c r="C149" s="57" t="str">
        <f aca="false">Flights!$F$9</f>
        <v>MH0089</v>
      </c>
      <c r="D149" s="58" t="n">
        <f aca="false">Flights!$D$9</f>
        <v>46310</v>
      </c>
      <c r="E149" s="57" t="str">
        <f aca="false">Flights!$G$9&amp;"-"&amp;Flights!$H$9</f>
        <v>NRT-KUL</v>
      </c>
      <c r="F149" s="57" t="str">
        <f aca="false">Flights!$K$9</f>
        <v>EY</v>
      </c>
      <c r="G149" s="57" t="s">
        <v>383</v>
      </c>
      <c r="H149" s="57" t="s">
        <v>341</v>
      </c>
      <c r="I149" s="57" t="s">
        <v>342</v>
      </c>
      <c r="J149" s="57" t="s">
        <v>388</v>
      </c>
      <c r="K149" s="67" t="s">
        <v>389</v>
      </c>
      <c r="L149" s="67" t="s">
        <v>385</v>
      </c>
      <c r="M149" s="67"/>
      <c r="N149" s="67" t="s">
        <v>346</v>
      </c>
      <c r="O149" s="67" t="s">
        <v>386</v>
      </c>
      <c r="P149" s="57" t="s">
        <v>210</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IF(N149="N/A – rule","N/A – RULE",IF(TRIM(U149)="N/A",IF(AT149=0,"INVALID – N/A not permitted for this mandatory check",IF(AND(TRIM(AC149)&lt;&gt;"",TRIM(AE149)&lt;&gt;"",TRIM(T149)&lt;&gt;""),"N/A – JUSTIFIED","INVALID – N/A needs justification, PIC and verifier")),IF(OR(TRIM(U149)="Pass",TRIM(U149)="Pass after CA"),IF(NOT(ISNUMBER(AD149)),"INVALID – completion time missing",IF(TRIM(T149)="","INVALID – PIC missing",IF(TRIM(Z149)="","INVALID – evidence missing",IF(TRIM(AE149)="","INVALID – verifier missing",IF(AND(AQ149=1,TRIM(W149)=""),"INVALID – batch ID missing",IF(AND(AR149=1,OR(NOT(ISNUMBER(X149)),NOT(ISNUMBER(Y149)))),"INVALID – expected/actual qty missing",IF(IF(AND(TRIM(U149)="Pass",ISNUMBER(AF149)),IF(AF149&lt;&gt;0,"INVALID – qty variance: use Fail or Pass after CA",""),"")&amp;IF(AND(TRIM(U149)="Pass",AB149="Open"),"INVALID – corrective action still open: use Fail, then Pass after CA","")&amp;IF(AND(TRIM(U149)="Pass after CA",OR(TRIM(AA149)="",AB149&lt;&gt;"Closed")),"INVALID – corrective action not recorded/closed","")&lt;&gt;"",IF(AND(TRIM(U149)="Pass",ISNUMBER(AF149)),IF(AF149&lt;&gt;0,"INVALID – qty variance: use Fail or Pass after CA",""),"")&amp;IF(AND(TRIM(U149)="Pass",AB149="Open"),"INVALID – corrective action still open: use Fail, then Pass after CA","")&amp;IF(AND(TRIM(U149)="Pass after CA",OR(TRIM(AA149)="",AB149&lt;&gt;"Closed")),"INVALID – corrective action not recorded/closed",""),IF(AND(AS149=1,Documents!$J$9&lt;&gt;"ON FILE"),"INVALID – GLD not on file (Documents sheet)",IF(AND(AS149=2,Documents!$O$9&lt;&gt;"ON FILE"),"INVALID – menu checklist not on file (Documents sheet)",IF(AND(AS149=3,NOT(ISNUMBER(Flights!$AX$9))),"INVALID – enter carrying flight KUL departure (Flights AX)",IF(AG149&gt;AsOfUTC,"INVALID – completion time is in the future",IF(AND(ISNUMBER(S149),AG149&lt;S149),IF(H149="Physical uplift","INVALID – before uplift window (cannot confirm loading)","INVALID – before valid window"),IF(AG149&gt;Flights!$AA$9,"INVALID – completed after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f>
        <v>OPEN</v>
      </c>
      <c r="AI149" s="61" t="n">
        <f aca="false">IF(OR(AH149="N/A – RULE",AH149="N/A – JUSTIFIED"),0,1)</f>
        <v>1</v>
      </c>
      <c r="AJ149" s="61" t="n">
        <f aca="false">IF(LEFT(AH149,8)="COMPLETE",1,0)</f>
        <v>0</v>
      </c>
      <c r="AK149" s="61" t="n">
        <f aca="false">IF(AND(AI149=1,AJ149=0,AsOfUTC&gt;Q149),1,0)</f>
        <v>0</v>
      </c>
      <c r="AL149" s="61" t="n">
        <f aca="false">IF(AND(AI149=1,OR(TRIM(U149)="Fail",AB149="Open",AND(ISNUMBER(AF149),AF149&lt;&gt;0,TRIM(U149)&lt;&gt;"Pass after CA"))),1,0)</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row>
    <row r="150" customFormat="false" ht="39.75" hidden="false" customHeight="true" outlineLevel="0" collapsed="false">
      <c r="A150" s="57" t="s">
        <v>642</v>
      </c>
      <c r="B150" s="57" t="s">
        <v>218</v>
      </c>
      <c r="C150" s="57" t="str">
        <f aca="false">Flights!$F$9</f>
        <v>MH0089</v>
      </c>
      <c r="D150" s="58" t="n">
        <f aca="false">Flights!$D$9</f>
        <v>46310</v>
      </c>
      <c r="E150" s="57" t="str">
        <f aca="false">Flights!$G$9&amp;"-"&amp;Flights!$H$9</f>
        <v>NRT-KUL</v>
      </c>
      <c r="F150" s="57" t="str">
        <f aca="false">Flights!$K$9</f>
        <v>EY</v>
      </c>
      <c r="G150" s="57" t="s">
        <v>383</v>
      </c>
      <c r="H150" s="57" t="s">
        <v>341</v>
      </c>
      <c r="I150" s="57" t="s">
        <v>391</v>
      </c>
      <c r="J150" s="57" t="s">
        <v>392</v>
      </c>
      <c r="K150" s="67"/>
      <c r="L150" s="67" t="s">
        <v>385</v>
      </c>
      <c r="M150" s="67"/>
      <c r="N150" s="67" t="s">
        <v>346</v>
      </c>
      <c r="O150" s="67" t="s">
        <v>386</v>
      </c>
      <c r="P150" s="57" t="s">
        <v>210</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IF(N150="N/A – rule","N/A – RULE",IF(TRIM(U150)="N/A",IF(AT150=0,"INVALID – N/A not permitted for this mandatory check",IF(AND(TRIM(AC150)&lt;&gt;"",TRIM(AE150)&lt;&gt;"",TRIM(T150)&lt;&gt;""),"N/A – JUSTIFIED","INVALID – N/A needs justification, PIC and verifier")),IF(OR(TRIM(U150)="Pass",TRIM(U150)="Pass after CA"),IF(NOT(ISNUMBER(AD150)),"INVALID – completion time missing",IF(TRIM(T150)="","INVALID – PIC missing",IF(TRIM(Z150)="","INVALID – evidence missing",IF(TRIM(AE150)="","INVALID – verifier missing",IF(AND(AQ150=1,TRIM(W150)=""),"INVALID – batch ID missing",IF(AND(AR150=1,OR(NOT(ISNUMBER(X150)),NOT(ISNUMBER(Y150)))),"INVALID – expected/actual qty missing",IF(IF(AND(TRIM(U150)="Pass",ISNUMBER(AF150)),IF(AF150&lt;&gt;0,"INVALID – qty variance: use Fail or Pass after CA",""),"")&amp;IF(AND(TRIM(U150)="Pass",AB150="Open"),"INVALID – corrective action still open: use Fail, then Pass after CA","")&amp;IF(AND(TRIM(U150)="Pass after CA",OR(TRIM(AA150)="",AB150&lt;&gt;"Closed")),"INVALID – corrective action not recorded/closed","")&lt;&gt;"",IF(AND(TRIM(U150)="Pass",ISNUMBER(AF150)),IF(AF150&lt;&gt;0,"INVALID – qty variance: use Fail or Pass after CA",""),"")&amp;IF(AND(TRIM(U150)="Pass",AB150="Open"),"INVALID – corrective action still open: use Fail, then Pass after CA","")&amp;IF(AND(TRIM(U150)="Pass after CA",OR(TRIM(AA150)="",AB150&lt;&gt;"Closed")),"INVALID – corrective action not recorded/closed",""),IF(AND(AS150=1,Documents!$J$9&lt;&gt;"ON FILE"),"INVALID – GLD not on file (Documents sheet)",IF(AND(AS150=2,Documents!$O$9&lt;&gt;"ON FILE"),"INVALID – menu checklist not on file (Documents sheet)",IF(AND(AS150=3,NOT(ISNUMBER(Flights!$AX$9))),"INVALID – enter carrying flight KUL departure (Flights AX)",IF(AG150&gt;AsOfUTC,"INVALID – completion time is in the future",IF(AND(ISNUMBER(S150),AG150&lt;S150),IF(H150="Physical uplift","INVALID – before uplift window (cannot confirm loading)","INVALID – before valid window"),IF(AG150&gt;Flights!$AA$9,"INVALID – completed after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f>
        <v>OPEN</v>
      </c>
      <c r="AI150" s="61" t="n">
        <f aca="false">IF(OR(AH150="N/A – RULE",AH150="N/A – JUSTIFIED"),0,1)</f>
        <v>1</v>
      </c>
      <c r="AJ150" s="61" t="n">
        <f aca="false">IF(LEFT(AH150,8)="COMPLETE",1,0)</f>
        <v>0</v>
      </c>
      <c r="AK150" s="61" t="n">
        <f aca="false">IF(AND(AI150=1,AJ150=0,AsOfUTC&gt;Q150),1,0)</f>
        <v>0</v>
      </c>
      <c r="AL150" s="61" t="n">
        <f aca="false">IF(AND(AI150=1,OR(TRIM(U150)="Fail",AB150="Open",AND(ISNUMBER(AF150),AF150&lt;&gt;0,TRIM(U150)&lt;&gt;"Pass after CA"))),1,0)</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row>
    <row r="151" customFormat="false" ht="39.75" hidden="false" customHeight="true" outlineLevel="0" collapsed="false">
      <c r="A151" s="57" t="s">
        <v>643</v>
      </c>
      <c r="B151" s="57" t="s">
        <v>218</v>
      </c>
      <c r="C151" s="57" t="str">
        <f aca="false">Flights!$F$9</f>
        <v>MH0089</v>
      </c>
      <c r="D151" s="58" t="n">
        <f aca="false">Flights!$D$9</f>
        <v>46310</v>
      </c>
      <c r="E151" s="57" t="str">
        <f aca="false">Flights!$G$9&amp;"-"&amp;Flights!$H$9</f>
        <v>NRT-KUL</v>
      </c>
      <c r="F151" s="57" t="str">
        <f aca="false">Flights!$K$9</f>
        <v>EY</v>
      </c>
      <c r="G151" s="57" t="s">
        <v>383</v>
      </c>
      <c r="H151" s="57" t="s">
        <v>341</v>
      </c>
      <c r="I151" s="57" t="s">
        <v>391</v>
      </c>
      <c r="J151" s="57" t="s">
        <v>394</v>
      </c>
      <c r="K151" s="67"/>
      <c r="L151" s="67" t="s">
        <v>385</v>
      </c>
      <c r="M151" s="67"/>
      <c r="N151" s="67" t="s">
        <v>346</v>
      </c>
      <c r="O151" s="67" t="s">
        <v>386</v>
      </c>
      <c r="P151" s="57" t="s">
        <v>210</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IF(N151="N/A – rule","N/A – RULE",IF(TRIM(U151)="N/A",IF(AT151=0,"INVALID – N/A not permitted for this mandatory check",IF(AND(TRIM(AC151)&lt;&gt;"",TRIM(AE151)&lt;&gt;"",TRIM(T151)&lt;&gt;""),"N/A – JUSTIFIED","INVALID – N/A needs justification, PIC and verifier")),IF(OR(TRIM(U151)="Pass",TRIM(U151)="Pass after CA"),IF(NOT(ISNUMBER(AD151)),"INVALID – completion time missing",IF(TRIM(T151)="","INVALID – PIC missing",IF(TRIM(Z151)="","INVALID – evidence missing",IF(TRIM(AE151)="","INVALID – verifier missing",IF(AND(AQ151=1,TRIM(W151)=""),"INVALID – batch ID missing",IF(AND(AR151=1,OR(NOT(ISNUMBER(X151)),NOT(ISNUMBER(Y151)))),"INVALID – expected/actual qty missing",IF(IF(AND(TRIM(U151)="Pass",ISNUMBER(AF151)),IF(AF151&lt;&gt;0,"INVALID – qty variance: use Fail or Pass after CA",""),"")&amp;IF(AND(TRIM(U151)="Pass",AB151="Open"),"INVALID – corrective action still open: use Fail, then Pass after CA","")&amp;IF(AND(TRIM(U151)="Pass after CA",OR(TRIM(AA151)="",AB151&lt;&gt;"Closed")),"INVALID – corrective action not recorded/closed","")&lt;&gt;"",IF(AND(TRIM(U151)="Pass",ISNUMBER(AF151)),IF(AF151&lt;&gt;0,"INVALID – qty variance: use Fail or Pass after CA",""),"")&amp;IF(AND(TRIM(U151)="Pass",AB151="Open"),"INVALID – corrective action still open: use Fail, then Pass after CA","")&amp;IF(AND(TRIM(U151)="Pass after CA",OR(TRIM(AA151)="",AB151&lt;&gt;"Closed")),"INVALID – corrective action not recorded/closed",""),IF(AND(AS151=1,Documents!$J$9&lt;&gt;"ON FILE"),"INVALID – GLD not on file (Documents sheet)",IF(AND(AS151=2,Documents!$O$9&lt;&gt;"ON FILE"),"INVALID – menu checklist not on file (Documents sheet)",IF(AND(AS151=3,NOT(ISNUMBER(Flights!$AX$9))),"INVALID – enter carrying flight KUL departure (Flights AX)",IF(AG151&gt;AsOfUTC,"INVALID – completion time is in the future",IF(AND(ISNUMBER(S151),AG151&lt;S151),IF(H151="Physical uplift","INVALID – before uplift window (cannot confirm loading)","INVALID – before valid window"),IF(AG151&gt;Flights!$AA$9,"INVALID – completed after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f>
        <v>OPEN</v>
      </c>
      <c r="AI151" s="61" t="n">
        <f aca="false">IF(OR(AH151="N/A – RULE",AH151="N/A – JUSTIFIED"),0,1)</f>
        <v>1</v>
      </c>
      <c r="AJ151" s="61" t="n">
        <f aca="false">IF(LEFT(AH151,8)="COMPLETE",1,0)</f>
        <v>0</v>
      </c>
      <c r="AK151" s="61" t="n">
        <f aca="false">IF(AND(AI151=1,AJ151=0,AsOfUTC&gt;Q151),1,0)</f>
        <v>0</v>
      </c>
      <c r="AL151" s="61" t="n">
        <f aca="false">IF(AND(AI151=1,OR(TRIM(U151)="Fail",AB151="Open",AND(ISNUMBER(AF151),AF151&lt;&gt;0,TRIM(U151)&lt;&gt;"Pass after CA"))),1,0)</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row>
    <row r="152" customFormat="false" ht="39.75" hidden="false" customHeight="true" outlineLevel="0" collapsed="false">
      <c r="A152" s="57" t="s">
        <v>644</v>
      </c>
      <c r="B152" s="57" t="s">
        <v>218</v>
      </c>
      <c r="C152" s="57" t="str">
        <f aca="false">Flights!$F$9</f>
        <v>MH0089</v>
      </c>
      <c r="D152" s="58" t="n">
        <f aca="false">Flights!$D$9</f>
        <v>46310</v>
      </c>
      <c r="E152" s="57" t="str">
        <f aca="false">Flights!$G$9&amp;"-"&amp;Flights!$H$9</f>
        <v>NRT-KUL</v>
      </c>
      <c r="F152" s="57" t="str">
        <f aca="false">Flights!$K$9</f>
        <v>EY</v>
      </c>
      <c r="G152" s="57" t="s">
        <v>383</v>
      </c>
      <c r="H152" s="57" t="s">
        <v>341</v>
      </c>
      <c r="I152" s="57" t="s">
        <v>391</v>
      </c>
      <c r="J152" s="57" t="s">
        <v>396</v>
      </c>
      <c r="K152" s="67"/>
      <c r="L152" s="67" t="s">
        <v>385</v>
      </c>
      <c r="M152" s="67"/>
      <c r="N152" s="67" t="s">
        <v>346</v>
      </c>
      <c r="O152" s="67" t="s">
        <v>386</v>
      </c>
      <c r="P152" s="57" t="s">
        <v>210</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IF(N152="N/A – rule","N/A – RULE",IF(TRIM(U152)="N/A",IF(AT152=0,"INVALID – N/A not permitted for this mandatory check",IF(AND(TRIM(AC152)&lt;&gt;"",TRIM(AE152)&lt;&gt;"",TRIM(T152)&lt;&gt;""),"N/A – JUSTIFIED","INVALID – N/A needs justification, PIC and verifier")),IF(OR(TRIM(U152)="Pass",TRIM(U152)="Pass after CA"),IF(NOT(ISNUMBER(AD152)),"INVALID – completion time missing",IF(TRIM(T152)="","INVALID – PIC missing",IF(TRIM(Z152)="","INVALID – evidence missing",IF(TRIM(AE152)="","INVALID – verifier missing",IF(AND(AQ152=1,TRIM(W152)=""),"INVALID – batch ID missing",IF(AND(AR152=1,OR(NOT(ISNUMBER(X152)),NOT(ISNUMBER(Y152)))),"INVALID – expected/actual qty missing",IF(IF(AND(TRIM(U152)="Pass",ISNUMBER(AF152)),IF(AF152&lt;&gt;0,"INVALID – qty variance: use Fail or Pass after CA",""),"")&amp;IF(AND(TRIM(U152)="Pass",AB152="Open"),"INVALID – corrective action still open: use Fail, then Pass after CA","")&amp;IF(AND(TRIM(U152)="Pass after CA",OR(TRIM(AA152)="",AB152&lt;&gt;"Closed")),"INVALID – corrective action not recorded/closed","")&lt;&gt;"",IF(AND(TRIM(U152)="Pass",ISNUMBER(AF152)),IF(AF152&lt;&gt;0,"INVALID – qty variance: use Fail or Pass after CA",""),"")&amp;IF(AND(TRIM(U152)="Pass",AB152="Open"),"INVALID – corrective action still open: use Fail, then Pass after CA","")&amp;IF(AND(TRIM(U152)="Pass after CA",OR(TRIM(AA152)="",AB152&lt;&gt;"Closed")),"INVALID – corrective action not recorded/closed",""),IF(AND(AS152=1,Documents!$J$9&lt;&gt;"ON FILE"),"INVALID – GLD not on file (Documents sheet)",IF(AND(AS152=2,Documents!$O$9&lt;&gt;"ON FILE"),"INVALID – menu checklist not on file (Documents sheet)",IF(AND(AS152=3,NOT(ISNUMBER(Flights!$AX$9))),"INVALID – enter carrying flight KUL departure (Flights AX)",IF(AG152&gt;AsOfUTC,"INVALID – completion time is in the future",IF(AND(ISNUMBER(S152),AG152&lt;S152),IF(H152="Physical uplift","INVALID – before uplift window (cannot confirm loading)","INVALID – before valid window"),IF(AG152&gt;Flights!$AA$9,"INVALID – completed after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f>
        <v>OPEN</v>
      </c>
      <c r="AI152" s="61" t="n">
        <f aca="false">IF(OR(AH152="N/A – RULE",AH152="N/A – JUSTIFIED"),0,1)</f>
        <v>1</v>
      </c>
      <c r="AJ152" s="61" t="n">
        <f aca="false">IF(LEFT(AH152,8)="COMPLETE",1,0)</f>
        <v>0</v>
      </c>
      <c r="AK152" s="61" t="n">
        <f aca="false">IF(AND(AI152=1,AJ152=0,AsOfUTC&gt;Q152),1,0)</f>
        <v>0</v>
      </c>
      <c r="AL152" s="61" t="n">
        <f aca="false">IF(AND(AI152=1,OR(TRIM(U152)="Fail",AB152="Open",AND(ISNUMBER(AF152),AF152&lt;&gt;0,TRIM(U152)&lt;&gt;"Pass after CA"))),1,0)</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row>
    <row r="153" customFormat="false" ht="141" hidden="false" customHeight="true" outlineLevel="0" collapsed="false">
      <c r="A153" s="57" t="s">
        <v>645</v>
      </c>
      <c r="B153" s="57" t="s">
        <v>218</v>
      </c>
      <c r="C153" s="57" t="str">
        <f aca="false">Flights!$F$9</f>
        <v>MH0089</v>
      </c>
      <c r="D153" s="58" t="n">
        <f aca="false">Flights!$D$9</f>
        <v>46310</v>
      </c>
      <c r="E153" s="57" t="str">
        <f aca="false">Flights!$G$9&amp;"-"&amp;Flights!$H$9</f>
        <v>NRT-KUL</v>
      </c>
      <c r="F153" s="57" t="str">
        <f aca="false">Flights!$K$9</f>
        <v>EY</v>
      </c>
      <c r="G153" s="57" t="s">
        <v>383</v>
      </c>
      <c r="H153" s="57" t="s">
        <v>341</v>
      </c>
      <c r="I153" s="57" t="s">
        <v>391</v>
      </c>
      <c r="J153" s="57" t="s">
        <v>398</v>
      </c>
      <c r="K153" s="67" t="s">
        <v>399</v>
      </c>
      <c r="L153" s="67" t="s">
        <v>385</v>
      </c>
      <c r="M153" s="67"/>
      <c r="N153" s="67" t="s">
        <v>346</v>
      </c>
      <c r="O153" s="67" t="s">
        <v>386</v>
      </c>
      <c r="P153" s="57" t="s">
        <v>210</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IF(N153="N/A – rule","N/A – RULE",IF(TRIM(U153)="N/A",IF(AT153=0,"INVALID – N/A not permitted for this mandatory check",IF(AND(TRIM(AC153)&lt;&gt;"",TRIM(AE153)&lt;&gt;"",TRIM(T153)&lt;&gt;""),"N/A – JUSTIFIED","INVALID – N/A needs justification, PIC and verifier")),IF(OR(TRIM(U153)="Pass",TRIM(U153)="Pass after CA"),IF(NOT(ISNUMBER(AD153)),"INVALID – completion time missing",IF(TRIM(T153)="","INVALID – PIC missing",IF(TRIM(Z153)="","INVALID – evidence missing",IF(TRIM(AE153)="","INVALID – verifier missing",IF(AND(AQ153=1,TRIM(W153)=""),"INVALID – batch ID missing",IF(AND(AR153=1,OR(NOT(ISNUMBER(X153)),NOT(ISNUMBER(Y153)))),"INVALID – expected/actual qty missing",IF(IF(AND(TRIM(U153)="Pass",ISNUMBER(AF153)),IF(AF153&lt;&gt;0,"INVALID – qty variance: use Fail or Pass after CA",""),"")&amp;IF(AND(TRIM(U153)="Pass",AB153="Open"),"INVALID – corrective action still open: use Fail, then Pass after CA","")&amp;IF(AND(TRIM(U153)="Pass after CA",OR(TRIM(AA153)="",AB153&lt;&gt;"Closed")),"INVALID – corrective action not recorded/closed","")&lt;&gt;"",IF(AND(TRIM(U153)="Pass",ISNUMBER(AF153)),IF(AF153&lt;&gt;0,"INVALID – qty variance: use Fail or Pass after CA",""),"")&amp;IF(AND(TRIM(U153)="Pass",AB153="Open"),"INVALID – corrective action still open: use Fail, then Pass after CA","")&amp;IF(AND(TRIM(U153)="Pass after CA",OR(TRIM(AA153)="",AB153&lt;&gt;"Closed")),"INVALID – corrective action not recorded/closed",""),IF(AND(AS153=1,Documents!$J$9&lt;&gt;"ON FILE"),"INVALID – GLD not on file (Documents sheet)",IF(AND(AS153=2,Documents!$O$9&lt;&gt;"ON FILE"),"INVALID – menu checklist not on file (Documents sheet)",IF(AND(AS153=3,NOT(ISNUMBER(Flights!$AX$9))),"INVALID – enter carrying flight KUL departure (Flights AX)",IF(AG153&gt;AsOfUTC,"INVALID – completion time is in the future",IF(AND(ISNUMBER(S153),AG153&lt;S153),IF(H153="Physical uplift","INVALID – before uplift window (cannot confirm loading)","INVALID – before valid window"),IF(AG153&gt;Flights!$AA$9,"INVALID – completed after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f>
        <v>OPEN</v>
      </c>
      <c r="AI153" s="61" t="n">
        <f aca="false">IF(OR(AH153="N/A – RULE",AH153="N/A – JUSTIFIED"),0,1)</f>
        <v>1</v>
      </c>
      <c r="AJ153" s="61" t="n">
        <f aca="false">IF(LEFT(AH153,8)="COMPLETE",1,0)</f>
        <v>0</v>
      </c>
      <c r="AK153" s="61" t="n">
        <f aca="false">IF(AND(AI153=1,AJ153=0,AsOfUTC&gt;Q153),1,0)</f>
        <v>0</v>
      </c>
      <c r="AL153" s="61" t="n">
        <f aca="false">IF(AND(AI153=1,OR(TRIM(U153)="Fail",AB153="Open",AND(ISNUMBER(AF153),AF153&lt;&gt;0,TRIM(U153)&lt;&gt;"Pass after CA"))),1,0)</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row>
    <row r="154" customFormat="false" ht="39.75" hidden="false" customHeight="true" outlineLevel="0" collapsed="false">
      <c r="A154" s="57" t="s">
        <v>646</v>
      </c>
      <c r="B154" s="57" t="s">
        <v>218</v>
      </c>
      <c r="C154" s="57" t="str">
        <f aca="false">Flights!$F$9</f>
        <v>MH0089</v>
      </c>
      <c r="D154" s="58" t="n">
        <f aca="false">Flights!$D$9</f>
        <v>46310</v>
      </c>
      <c r="E154" s="57" t="str">
        <f aca="false">Flights!$G$9&amp;"-"&amp;Flights!$H$9</f>
        <v>NRT-KUL</v>
      </c>
      <c r="F154" s="57" t="str">
        <f aca="false">Flights!$K$9</f>
        <v>EY</v>
      </c>
      <c r="G154" s="57" t="s">
        <v>383</v>
      </c>
      <c r="H154" s="57" t="s">
        <v>341</v>
      </c>
      <c r="I154" s="57" t="s">
        <v>391</v>
      </c>
      <c r="J154" s="57" t="s">
        <v>401</v>
      </c>
      <c r="K154" s="67"/>
      <c r="L154" s="67" t="s">
        <v>385</v>
      </c>
      <c r="M154" s="67"/>
      <c r="N154" s="67" t="s">
        <v>346</v>
      </c>
      <c r="O154" s="67" t="s">
        <v>386</v>
      </c>
      <c r="P154" s="57" t="s">
        <v>210</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IF(N154="N/A – rule","N/A – RULE",IF(TRIM(U154)="N/A",IF(AT154=0,"INVALID – N/A not permitted for this mandatory check",IF(AND(TRIM(AC154)&lt;&gt;"",TRIM(AE154)&lt;&gt;"",TRIM(T154)&lt;&gt;""),"N/A – JUSTIFIED","INVALID – N/A needs justification, PIC and verifier")),IF(OR(TRIM(U154)="Pass",TRIM(U154)="Pass after CA"),IF(NOT(ISNUMBER(AD154)),"INVALID – completion time missing",IF(TRIM(T154)="","INVALID – PIC missing",IF(TRIM(Z154)="","INVALID – evidence missing",IF(TRIM(AE154)="","INVALID – verifier missing",IF(AND(AQ154=1,TRIM(W154)=""),"INVALID – batch ID missing",IF(AND(AR154=1,OR(NOT(ISNUMBER(X154)),NOT(ISNUMBER(Y154)))),"INVALID – expected/actual qty missing",IF(IF(AND(TRIM(U154)="Pass",ISNUMBER(AF154)),IF(AF154&lt;&gt;0,"INVALID – qty variance: use Fail or Pass after CA",""),"")&amp;IF(AND(TRIM(U154)="Pass",AB154="Open"),"INVALID – corrective action still open: use Fail, then Pass after CA","")&amp;IF(AND(TRIM(U154)="Pass after CA",OR(TRIM(AA154)="",AB154&lt;&gt;"Closed")),"INVALID – corrective action not recorded/closed","")&lt;&gt;"",IF(AND(TRIM(U154)="Pass",ISNUMBER(AF154)),IF(AF154&lt;&gt;0,"INVALID – qty variance: use Fail or Pass after CA",""),"")&amp;IF(AND(TRIM(U154)="Pass",AB154="Open"),"INVALID – corrective action still open: use Fail, then Pass after CA","")&amp;IF(AND(TRIM(U154)="Pass after CA",OR(TRIM(AA154)="",AB154&lt;&gt;"Closed")),"INVALID – corrective action not recorded/closed",""),IF(AND(AS154=1,Documents!$J$9&lt;&gt;"ON FILE"),"INVALID – GLD not on file (Documents sheet)",IF(AND(AS154=2,Documents!$O$9&lt;&gt;"ON FILE"),"INVALID – menu checklist not on file (Documents sheet)",IF(AND(AS154=3,NOT(ISNUMBER(Flights!$AX$9))),"INVALID – enter carrying flight KUL departure (Flights AX)",IF(AG154&gt;AsOfUTC,"INVALID – completion time is in the future",IF(AND(ISNUMBER(S154),AG154&lt;S154),IF(H154="Physical uplift","INVALID – before uplift window (cannot confirm loading)","INVALID – before valid window"),IF(AG154&gt;Flights!$AA$9,"INVALID – completed after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f>
        <v>OPEN</v>
      </c>
      <c r="AI154" s="61" t="n">
        <f aca="false">IF(OR(AH154="N/A – RULE",AH154="N/A – JUSTIFIED"),0,1)</f>
        <v>1</v>
      </c>
      <c r="AJ154" s="61" t="n">
        <f aca="false">IF(LEFT(AH154,8)="COMPLETE",1,0)</f>
        <v>0</v>
      </c>
      <c r="AK154" s="61" t="n">
        <f aca="false">IF(AND(AI154=1,AJ154=0,AsOfUTC&gt;Q154),1,0)</f>
        <v>0</v>
      </c>
      <c r="AL154" s="61" t="n">
        <f aca="false">IF(AND(AI154=1,OR(TRIM(U154)="Fail",AB154="Open",AND(ISNUMBER(AF154),AF154&lt;&gt;0,TRIM(U154)&lt;&gt;"Pass after CA"))),1,0)</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row>
    <row r="155" customFormat="false" ht="78.75" hidden="false" customHeight="true" outlineLevel="0" collapsed="false">
      <c r="A155" s="57" t="s">
        <v>647</v>
      </c>
      <c r="B155" s="57" t="s">
        <v>218</v>
      </c>
      <c r="C155" s="57" t="str">
        <f aca="false">Flights!$F$9</f>
        <v>MH0089</v>
      </c>
      <c r="D155" s="58" t="n">
        <f aca="false">Flights!$D$9</f>
        <v>46310</v>
      </c>
      <c r="E155" s="57" t="str">
        <f aca="false">Flights!$G$9&amp;"-"&amp;Flights!$H$9</f>
        <v>NRT-KUL</v>
      </c>
      <c r="F155" s="57" t="str">
        <f aca="false">Flights!$K$9</f>
        <v>EY</v>
      </c>
      <c r="G155" s="57" t="s">
        <v>383</v>
      </c>
      <c r="H155" s="57" t="s">
        <v>341</v>
      </c>
      <c r="I155" s="57" t="s">
        <v>403</v>
      </c>
      <c r="J155" s="57" t="s">
        <v>404</v>
      </c>
      <c r="K155" s="67" t="s">
        <v>405</v>
      </c>
      <c r="L155" s="67" t="s">
        <v>564</v>
      </c>
      <c r="M155" s="67" t="s">
        <v>177</v>
      </c>
      <c r="N155" s="67" t="s">
        <v>407</v>
      </c>
      <c r="O155" s="67" t="s">
        <v>648</v>
      </c>
      <c r="P155" s="57" t="s">
        <v>177</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IF(N155="N/A – rule","N/A – RULE",IF(TRIM(U155)="N/A",IF(AT155=0,"INVALID – N/A not permitted for this mandatory check",IF(AND(TRIM(AC155)&lt;&gt;"",TRIM(AE155)&lt;&gt;"",TRIM(T155)&lt;&gt;""),"N/A – JUSTIFIED","INVALID – N/A needs justification, PIC and verifier")),IF(OR(TRIM(U155)="Pass",TRIM(U155)="Pass after CA"),IF(NOT(ISNUMBER(AD155)),"INVALID – completion time missing",IF(TRIM(T155)="","INVALID – PIC missing",IF(TRIM(Z155)="","INVALID – evidence missing",IF(TRIM(AE155)="","INVALID – verifier missing",IF(AND(AQ155=1,TRIM(W155)=""),"INVALID – batch ID missing",IF(AND(AR155=1,OR(NOT(ISNUMBER(X155)),NOT(ISNUMBER(Y155)))),"INVALID – expected/actual qty missing",IF(IF(AND(TRIM(U155)="Pass",ISNUMBER(AF155)),IF(AF155&lt;&gt;0,"INVALID – qty variance: use Fail or Pass after CA",""),"")&amp;IF(AND(TRIM(U155)="Pass",AB155="Open"),"INVALID – corrective action still open: use Fail, then Pass after CA","")&amp;IF(AND(TRIM(U155)="Pass after CA",OR(TRIM(AA155)="",AB155&lt;&gt;"Closed")),"INVALID – corrective action not recorded/closed","")&lt;&gt;"",IF(AND(TRIM(U155)="Pass",ISNUMBER(AF155)),IF(AF155&lt;&gt;0,"INVALID – qty variance: use Fail or Pass after CA",""),"")&amp;IF(AND(TRIM(U155)="Pass",AB155="Open"),"INVALID – corrective action still open: use Fail, then Pass after CA","")&amp;IF(AND(TRIM(U155)="Pass after CA",OR(TRIM(AA155)="",AB155&lt;&gt;"Closed")),"INVALID – corrective action not recorded/closed",""),IF(AND(AS155=1,Documents!$J$9&lt;&gt;"ON FILE"),"INVALID – GLD not on file (Documents sheet)",IF(AND(AS155=2,Documents!$O$9&lt;&gt;"ON FILE"),"INVALID – menu checklist not on file (Documents sheet)",IF(AND(AS155=3,NOT(ISNUMBER(Flights!$AX$9))),"INVALID – enter carrying flight KUL departure (Flights AX)",IF(AG155&gt;AsOfUTC,"INVALID – completion time is in the future",IF(AND(ISNUMBER(S155),AG155&lt;S155),IF(H155="Physical uplift","INVALID – before uplift window (cannot confirm loading)","INVALID – before valid window"),IF(AG155&gt;Flights!$AA$9,"INVALID – completed after departure (cannot establish readiness)",IF(AND(H155="Physical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f>
        <v>OPEN – CLARIFICATION</v>
      </c>
      <c r="AI155" s="61" t="n">
        <f aca="false">IF(OR(AH155="N/A – RULE",AH155="N/A – JUSTIFIED"),0,1)</f>
        <v>1</v>
      </c>
      <c r="AJ155" s="61" t="n">
        <f aca="false">IF(LEFT(AH155,8)="COMPLETE",1,0)</f>
        <v>0</v>
      </c>
      <c r="AK155" s="61" t="n">
        <f aca="false">IF(AND(AI155=1,AJ155=0,AsOfUTC&gt;Q155),1,0)</f>
        <v>0</v>
      </c>
      <c r="AL155" s="61" t="n">
        <f aca="false">IF(AND(AI155=1,OR(TRIM(U155)="Fail",AB155="Open",AND(ISNUMBER(AF155),AF155&lt;&gt;0,TRIM(U155)&lt;&gt;"Pass after CA"))),1,0)</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row>
    <row r="156" customFormat="false" ht="41.25" hidden="false" customHeight="true" outlineLevel="0" collapsed="false">
      <c r="A156" s="57" t="s">
        <v>649</v>
      </c>
      <c r="B156" s="57" t="s">
        <v>218</v>
      </c>
      <c r="C156" s="57" t="str">
        <f aca="false">Flights!$F$9</f>
        <v>MH0089</v>
      </c>
      <c r="D156" s="58" t="n">
        <f aca="false">Flights!$D$9</f>
        <v>46310</v>
      </c>
      <c r="E156" s="57" t="str">
        <f aca="false">Flights!$G$9&amp;"-"&amp;Flights!$H$9</f>
        <v>NRT-KUL</v>
      </c>
      <c r="F156" s="57" t="str">
        <f aca="false">Flights!$K$9</f>
        <v>EY</v>
      </c>
      <c r="G156" s="57" t="s">
        <v>383</v>
      </c>
      <c r="H156" s="57" t="s">
        <v>341</v>
      </c>
      <c r="I156" s="57" t="s">
        <v>410</v>
      </c>
      <c r="J156" s="57" t="s">
        <v>411</v>
      </c>
      <c r="K156" s="67" t="s">
        <v>412</v>
      </c>
      <c r="L156" s="67" t="s">
        <v>650</v>
      </c>
      <c r="M156" s="67" t="s">
        <v>414</v>
      </c>
      <c r="N156" s="67" t="s">
        <v>346</v>
      </c>
      <c r="O156" s="67" t="s">
        <v>651</v>
      </c>
      <c r="P156" s="57" t="s">
        <v>210</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IF(N156="N/A – rule","N/A – RULE",IF(TRIM(U156)="N/A",IF(AT156=0,"INVALID – N/A not permitted for this mandatory check",IF(AND(TRIM(AC156)&lt;&gt;"",TRIM(AE156)&lt;&gt;"",TRIM(T156)&lt;&gt;""),"N/A – JUSTIFIED","INVALID – N/A needs justification, PIC and verifier")),IF(OR(TRIM(U156)="Pass",TRIM(U156)="Pass after CA"),IF(NOT(ISNUMBER(AD156)),"INVALID – completion time missing",IF(TRIM(T156)="","INVALID – PIC missing",IF(TRIM(Z156)="","INVALID – evidence missing",IF(TRIM(AE156)="","INVALID – verifier missing",IF(AND(AQ156=1,TRIM(W156)=""),"INVALID – batch ID missing",IF(AND(AR156=1,OR(NOT(ISNUMBER(X156)),NOT(ISNUMBER(Y156)))),"INVALID – expected/actual qty missing",IF(IF(AND(TRIM(U156)="Pass",ISNUMBER(AF156)),IF(AF156&lt;&gt;0,"INVALID – qty variance: use Fail or Pass after CA",""),"")&amp;IF(AND(TRIM(U156)="Pass",AB156="Open"),"INVALID – corrective action still open: use Fail, then Pass after CA","")&amp;IF(AND(TRIM(U156)="Pass after CA",OR(TRIM(AA156)="",AB156&lt;&gt;"Closed")),"INVALID – corrective action not recorded/closed","")&lt;&gt;"",IF(AND(TRIM(U156)="Pass",ISNUMBER(AF156)),IF(AF156&lt;&gt;0,"INVALID – qty variance: use Fail or Pass after CA",""),"")&amp;IF(AND(TRIM(U156)="Pass",AB156="Open"),"INVALID – corrective action still open: use Fail, then Pass after CA","")&amp;IF(AND(TRIM(U156)="Pass after CA",OR(TRIM(AA156)="",AB156&lt;&gt;"Closed")),"INVALID – corrective action not recorded/closed",""),IF(AND(AS156=1,Documents!$J$9&lt;&gt;"ON FILE"),"INVALID – GLD not on file (Documents sheet)",IF(AND(AS156=2,Documents!$O$9&lt;&gt;"ON FILE"),"INVALID – menu checklist not on file (Documents sheet)",IF(AND(AS156=3,NOT(ISNUMBER(Flights!$AX$9))),"INVALID – enter carrying flight KUL departure (Flights AX)",IF(AG156&gt;AsOfUTC,"INVALID – completion time is in the future",IF(AND(ISNUMBER(S156),AG156&lt;S156),IF(H156="Physical uplift","INVALID – before uplift window (cannot confirm loading)","INVALID – before valid window"),IF(AG156&gt;Flights!$AA$9,"INVALID – completed after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f>
        <v>OPEN</v>
      </c>
      <c r="AI156" s="61" t="n">
        <f aca="false">IF(OR(AH156="N/A – RULE",AH156="N/A – JUSTIFIED"),0,1)</f>
        <v>1</v>
      </c>
      <c r="AJ156" s="61" t="n">
        <f aca="false">IF(LEFT(AH156,8)="COMPLETE",1,0)</f>
        <v>0</v>
      </c>
      <c r="AK156" s="61" t="n">
        <f aca="false">IF(AND(AI156=1,AJ156=0,AsOfUTC&gt;Q156),1,0)</f>
        <v>0</v>
      </c>
      <c r="AL156" s="61" t="n">
        <f aca="false">IF(AND(AI156=1,OR(TRIM(U156)="Fail",AB156="Open",AND(ISNUMBER(AF156),AF156&lt;&gt;0,TRIM(U156)&lt;&gt;"Pass after CA"))),1,0)</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1</v>
      </c>
    </row>
    <row r="157" customFormat="false" ht="91.5" hidden="false" customHeight="true" outlineLevel="0" collapsed="false">
      <c r="A157" s="57" t="s">
        <v>652</v>
      </c>
      <c r="B157" s="57" t="s">
        <v>218</v>
      </c>
      <c r="C157" s="57" t="str">
        <f aca="false">Flights!$F$9</f>
        <v>MH0089</v>
      </c>
      <c r="D157" s="58" t="n">
        <f aca="false">Flights!$D$9</f>
        <v>46310</v>
      </c>
      <c r="E157" s="57" t="str">
        <f aca="false">Flights!$G$9&amp;"-"&amp;Flights!$H$9</f>
        <v>NRT-KUL</v>
      </c>
      <c r="F157" s="57" t="str">
        <f aca="false">Flights!$K$9</f>
        <v>EY</v>
      </c>
      <c r="G157" s="57" t="s">
        <v>383</v>
      </c>
      <c r="H157" s="57" t="s">
        <v>341</v>
      </c>
      <c r="I157" s="57" t="s">
        <v>410</v>
      </c>
      <c r="J157" s="57" t="s">
        <v>417</v>
      </c>
      <c r="K157" s="67" t="s">
        <v>418</v>
      </c>
      <c r="L157" s="67" t="s">
        <v>653</v>
      </c>
      <c r="M157" s="67" t="s">
        <v>414</v>
      </c>
      <c r="N157" s="67" t="s">
        <v>346</v>
      </c>
      <c r="O157" s="67" t="s">
        <v>654</v>
      </c>
      <c r="P157" s="57" t="s">
        <v>210</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IF(N157="N/A – rule","N/A – RULE",IF(TRIM(U157)="N/A",IF(AT157=0,"INVALID – N/A not permitted for this mandatory check",IF(AND(TRIM(AC157)&lt;&gt;"",TRIM(AE157)&lt;&gt;"",TRIM(T157)&lt;&gt;""),"N/A – JUSTIFIED","INVALID – N/A needs justification, PIC and verifier")),IF(OR(TRIM(U157)="Pass",TRIM(U157)="Pass after CA"),IF(NOT(ISNUMBER(AD157)),"INVALID – completion time missing",IF(TRIM(T157)="","INVALID – PIC missing",IF(TRIM(Z157)="","INVALID – evidence missing",IF(TRIM(AE157)="","INVALID – verifier missing",IF(AND(AQ157=1,TRIM(W157)=""),"INVALID – batch ID missing",IF(AND(AR157=1,OR(NOT(ISNUMBER(X157)),NOT(ISNUMBER(Y157)))),"INVALID – expected/actual qty missing",IF(IF(AND(TRIM(U157)="Pass",ISNUMBER(AF157)),IF(AF157&lt;&gt;0,"INVALID – qty variance: use Fail or Pass after CA",""),"")&amp;IF(AND(TRIM(U157)="Pass",AB157="Open"),"INVALID – corrective action still open: use Fail, then Pass after CA","")&amp;IF(AND(TRIM(U157)="Pass after CA",OR(TRIM(AA157)="",AB157&lt;&gt;"Closed")),"INVALID – corrective action not recorded/closed","")&lt;&gt;"",IF(AND(TRIM(U157)="Pass",ISNUMBER(AF157)),IF(AF157&lt;&gt;0,"INVALID – qty variance: use Fail or Pass after CA",""),"")&amp;IF(AND(TRIM(U157)="Pass",AB157="Open"),"INVALID – corrective action still open: use Fail, then Pass after CA","")&amp;IF(AND(TRIM(U157)="Pass after CA",OR(TRIM(AA157)="",AB157&lt;&gt;"Closed")),"INVALID – corrective action not recorded/closed",""),IF(AND(AS157=1,Documents!$J$9&lt;&gt;"ON FILE"),"INVALID – GLD not on file (Documents sheet)",IF(AND(AS157=2,Documents!$O$9&lt;&gt;"ON FILE"),"INVALID – menu checklist not on file (Documents sheet)",IF(AND(AS157=3,NOT(ISNUMBER(Flights!$AX$9))),"INVALID – enter carrying flight KUL departure (Flights AX)",IF(AG157&gt;AsOfUTC,"INVALID – completion time is in the future",IF(AND(ISNUMBER(S157),AG157&lt;S157),IF(H157="Physical uplift","INVALID – before uplift window (cannot confirm loading)","INVALID – before valid window"),IF(AG157&gt;Flights!$AA$9,"INVALID – completed after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f>
        <v>OPEN</v>
      </c>
      <c r="AI157" s="61" t="n">
        <f aca="false">IF(OR(AH157="N/A – RULE",AH157="N/A – JUSTIFIED"),0,1)</f>
        <v>1</v>
      </c>
      <c r="AJ157" s="61" t="n">
        <f aca="false">IF(LEFT(AH157,8)="COMPLETE",1,0)</f>
        <v>0</v>
      </c>
      <c r="AK157" s="61" t="n">
        <f aca="false">IF(AND(AI157=1,AJ157=0,AsOfUTC&gt;Q157),1,0)</f>
        <v>0</v>
      </c>
      <c r="AL157" s="61" t="n">
        <f aca="false">IF(AND(AI157=1,OR(TRIM(U157)="Fail",AB157="Open",AND(ISNUMBER(AF157),AF157&lt;&gt;0,TRIM(U157)&lt;&gt;"Pass after CA"))),1,0)</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1</v>
      </c>
    </row>
    <row r="158" customFormat="false" ht="103.5" hidden="false" customHeight="true" outlineLevel="0" collapsed="false">
      <c r="A158" s="57" t="s">
        <v>655</v>
      </c>
      <c r="B158" s="57" t="s">
        <v>218</v>
      </c>
      <c r="C158" s="57" t="str">
        <f aca="false">Flights!$F$9</f>
        <v>MH0089</v>
      </c>
      <c r="D158" s="58" t="n">
        <f aca="false">Flights!$D$9</f>
        <v>46310</v>
      </c>
      <c r="E158" s="57" t="str">
        <f aca="false">Flights!$G$9&amp;"-"&amp;Flights!$H$9</f>
        <v>NRT-KUL</v>
      </c>
      <c r="F158" s="57" t="str">
        <f aca="false">Flights!$K$9</f>
        <v>EY</v>
      </c>
      <c r="G158" s="57" t="s">
        <v>383</v>
      </c>
      <c r="H158" s="57" t="s">
        <v>341</v>
      </c>
      <c r="I158" s="57" t="s">
        <v>597</v>
      </c>
      <c r="J158" s="57" t="s">
        <v>598</v>
      </c>
      <c r="K158" s="67" t="s">
        <v>599</v>
      </c>
      <c r="L158" s="67" t="s">
        <v>600</v>
      </c>
      <c r="M158" s="67" t="s">
        <v>414</v>
      </c>
      <c r="N158" s="67" t="s">
        <v>407</v>
      </c>
      <c r="O158" s="67" t="s">
        <v>656</v>
      </c>
      <c r="P158" s="57" t="s">
        <v>210</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IF(N158="N/A – rule","N/A – RULE",IF(TRIM(U158)="N/A",IF(AT158=0,"INVALID – N/A not permitted for this mandatory check",IF(AND(TRIM(AC158)&lt;&gt;"",TRIM(AE158)&lt;&gt;"",TRIM(T158)&lt;&gt;""),"N/A – JUSTIFIED","INVALID – N/A needs justification, PIC and verifier")),IF(OR(TRIM(U158)="Pass",TRIM(U158)="Pass after CA"),IF(NOT(ISNUMBER(AD158)),"INVALID – completion time missing",IF(TRIM(T158)="","INVALID – PIC missing",IF(TRIM(Z158)="","INVALID – evidence missing",IF(TRIM(AE158)="","INVALID – verifier missing",IF(AND(AQ158=1,TRIM(W158)=""),"INVALID – batch ID missing",IF(AND(AR158=1,OR(NOT(ISNUMBER(X158)),NOT(ISNUMBER(Y158)))),"INVALID – expected/actual qty missing",IF(IF(AND(TRIM(U158)="Pass",ISNUMBER(AF158)),IF(AF158&lt;&gt;0,"INVALID – qty variance: use Fail or Pass after CA",""),"")&amp;IF(AND(TRIM(U158)="Pass",AB158="Open"),"INVALID – corrective action still open: use Fail, then Pass after CA","")&amp;IF(AND(TRIM(U158)="Pass after CA",OR(TRIM(AA158)="",AB158&lt;&gt;"Closed")),"INVALID – corrective action not recorded/closed","")&lt;&gt;"",IF(AND(TRIM(U158)="Pass",ISNUMBER(AF158)),IF(AF158&lt;&gt;0,"INVALID – qty variance: use Fail or Pass after CA",""),"")&amp;IF(AND(TRIM(U158)="Pass",AB158="Open"),"INVALID – corrective action still open: use Fail, then Pass after CA","")&amp;IF(AND(TRIM(U158)="Pass after CA",OR(TRIM(AA158)="",AB158&lt;&gt;"Closed")),"INVALID – corrective action not recorded/closed",""),IF(AND(AS158=1,Documents!$J$9&lt;&gt;"ON FILE"),"INVALID – GLD not on file (Documents sheet)",IF(AND(AS158=2,Documents!$O$9&lt;&gt;"ON FILE"),"INVALID – menu checklist not on file (Documents sheet)",IF(AND(AS158=3,NOT(ISNUMBER(Flights!$AX$9))),"INVALID – enter carrying flight KUL departure (Flights AX)",IF(AG158&gt;AsOfUTC,"INVALID – completion time is in the future",IF(AND(ISNUMBER(S158),AG158&lt;S158),IF(H158="Physical uplift","INVALID – before uplift window (cannot confirm loading)","INVALID – before valid window"),IF(AG158&gt;Flights!$AA$9,"INVALID – completed after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f>
        <v>OPEN – CLARIFICATION</v>
      </c>
      <c r="AI158" s="61" t="n">
        <f aca="false">IF(OR(AH158="N/A – RULE",AH158="N/A – JUSTIFIED"),0,1)</f>
        <v>1</v>
      </c>
      <c r="AJ158" s="61" t="n">
        <f aca="false">IF(LEFT(AH158,8)="COMPLETE",1,0)</f>
        <v>0</v>
      </c>
      <c r="AK158" s="61" t="n">
        <f aca="false">IF(AND(AI158=1,AJ158=0,AsOfUTC&gt;Q158),1,0)</f>
        <v>0</v>
      </c>
      <c r="AL158" s="61" t="n">
        <f aca="false">IF(AND(AI158=1,OR(TRIM(U158)="Fail",AB158="Open",AND(ISNUMBER(AF158),AF158&lt;&gt;0,TRIM(U158)&lt;&gt;"Pass after CA"))),1,0)</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row>
    <row r="159" customFormat="false" ht="39.75" hidden="false" customHeight="true" outlineLevel="0" collapsed="false">
      <c r="A159" s="57" t="s">
        <v>657</v>
      </c>
      <c r="B159" s="57" t="s">
        <v>218</v>
      </c>
      <c r="C159" s="57" t="str">
        <f aca="false">Flights!$F$9</f>
        <v>MH0089</v>
      </c>
      <c r="D159" s="58" t="n">
        <f aca="false">Flights!$D$9</f>
        <v>46310</v>
      </c>
      <c r="E159" s="57" t="str">
        <f aca="false">Flights!$G$9&amp;"-"&amp;Flights!$H$9</f>
        <v>NRT-KUL</v>
      </c>
      <c r="F159" s="57" t="str">
        <f aca="false">Flights!$K$9</f>
        <v>EY</v>
      </c>
      <c r="G159" s="57" t="s">
        <v>422</v>
      </c>
      <c r="H159" s="57" t="s">
        <v>423</v>
      </c>
      <c r="I159" s="57" t="s">
        <v>342</v>
      </c>
      <c r="J159" s="57" t="s">
        <v>424</v>
      </c>
      <c r="K159" s="67" t="s">
        <v>389</v>
      </c>
      <c r="L159" s="67" t="s">
        <v>425</v>
      </c>
      <c r="M159" s="67"/>
      <c r="N159" s="67" t="s">
        <v>346</v>
      </c>
      <c r="O159" s="67" t="s">
        <v>426</v>
      </c>
      <c r="P159" s="57" t="s">
        <v>210</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IF(N159="N/A – rule","N/A – RULE",IF(TRIM(U159)="N/A",IF(AT159=0,"INVALID – N/A not permitted for this mandatory check",IF(AND(TRIM(AC159)&lt;&gt;"",TRIM(AE159)&lt;&gt;"",TRIM(T159)&lt;&gt;""),"N/A – JUSTIFIED","INVALID – N/A needs justification, PIC and verifier")),IF(OR(TRIM(U159)="Pass",TRIM(U159)="Pass after CA"),IF(NOT(ISNUMBER(AD159)),"INVALID – completion time missing",IF(TRIM(T159)="","INVALID – PIC missing",IF(TRIM(Z159)="","INVALID – evidence missing",IF(TRIM(AE159)="","INVALID – verifier missing",IF(AND(AQ159=1,TRIM(W159)=""),"INVALID – batch ID missing",IF(AND(AR159=1,OR(NOT(ISNUMBER(X159)),NOT(ISNUMBER(Y159)))),"INVALID – expected/actual qty missing",IF(IF(AND(TRIM(U159)="Pass",ISNUMBER(AF159)),IF(AF159&lt;&gt;0,"INVALID – qty variance: use Fail or Pass after CA",""),"")&amp;IF(AND(TRIM(U159)="Pass",AB159="Open"),"INVALID – corrective action still open: use Fail, then Pass after CA","")&amp;IF(AND(TRIM(U159)="Pass after CA",OR(TRIM(AA159)="",AB159&lt;&gt;"Closed")),"INVALID – corrective action not recorded/closed","")&lt;&gt;"",IF(AND(TRIM(U159)="Pass",ISNUMBER(AF159)),IF(AF159&lt;&gt;0,"INVALID – qty variance: use Fail or Pass after CA",""),"")&amp;IF(AND(TRIM(U159)="Pass",AB159="Open"),"INVALID – corrective action still open: use Fail, then Pass after CA","")&amp;IF(AND(TRIM(U159)="Pass after CA",OR(TRIM(AA159)="",AB159&lt;&gt;"Closed")),"INVALID – corrective action not recorded/closed",""),IF(AND(AS159=1,Documents!$J$9&lt;&gt;"ON FILE"),"INVALID – GLD not on file (Documents sheet)",IF(AND(AS159=2,Documents!$O$9&lt;&gt;"ON FILE"),"INVALID – menu checklist not on file (Documents sheet)",IF(AND(AS159=3,NOT(ISNUMBER(Flights!$AX$9))),"INVALID – enter carrying flight KUL departure (Flights AX)",IF(AG159&gt;AsOfUTC,"INVALID – completion time is in the future",IF(AND(ISNUMBER(S159),AG159&lt;S159),IF(H159="Physical uplift","INVALID – before uplift window (cannot confirm loading)","INVALID – before valid window"),IF(AG159&gt;Flights!$AA$9,"INVALID – completed after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f>
        <v>OPEN</v>
      </c>
      <c r="AI159" s="61" t="n">
        <f aca="false">IF(OR(AH159="N/A – RULE",AH159="N/A – JUSTIFIED"),0,1)</f>
        <v>1</v>
      </c>
      <c r="AJ159" s="61" t="n">
        <f aca="false">IF(LEFT(AH159,8)="COMPLETE",1,0)</f>
        <v>0</v>
      </c>
      <c r="AK159" s="61" t="n">
        <f aca="false">IF(AND(AI159=1,AJ159=0,AsOfUTC&gt;Q159),1,0)</f>
        <v>0</v>
      </c>
      <c r="AL159" s="61" t="n">
        <f aca="false">IF(AND(AI159=1,OR(TRIM(U159)="Fail",AB159="Open",AND(ISNUMBER(AF159),AF159&lt;&gt;0,TRIM(U159)&lt;&gt;"Pass after CA"))),1,0)</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row>
    <row r="160" customFormat="false" ht="39.75" hidden="false" customHeight="true" outlineLevel="0" collapsed="false">
      <c r="A160" s="57" t="s">
        <v>658</v>
      </c>
      <c r="B160" s="57" t="s">
        <v>218</v>
      </c>
      <c r="C160" s="57" t="str">
        <f aca="false">Flights!$F$9</f>
        <v>MH0089</v>
      </c>
      <c r="D160" s="58" t="n">
        <f aca="false">Flights!$D$9</f>
        <v>46310</v>
      </c>
      <c r="E160" s="57" t="str">
        <f aca="false">Flights!$G$9&amp;"-"&amp;Flights!$H$9</f>
        <v>NRT-KUL</v>
      </c>
      <c r="F160" s="57" t="str">
        <f aca="false">Flights!$K$9</f>
        <v>EY</v>
      </c>
      <c r="G160" s="57" t="s">
        <v>422</v>
      </c>
      <c r="H160" s="57" t="s">
        <v>423</v>
      </c>
      <c r="I160" s="57" t="s">
        <v>391</v>
      </c>
      <c r="J160" s="57" t="s">
        <v>428</v>
      </c>
      <c r="K160" s="67" t="s">
        <v>389</v>
      </c>
      <c r="L160" s="67" t="s">
        <v>425</v>
      </c>
      <c r="M160" s="67"/>
      <c r="N160" s="67" t="s">
        <v>346</v>
      </c>
      <c r="O160" s="67" t="s">
        <v>426</v>
      </c>
      <c r="P160" s="57" t="s">
        <v>210</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IF(N160="N/A – rule","N/A – RULE",IF(TRIM(U160)="N/A",IF(AT160=0,"INVALID – N/A not permitted for this mandatory check",IF(AND(TRIM(AC160)&lt;&gt;"",TRIM(AE160)&lt;&gt;"",TRIM(T160)&lt;&gt;""),"N/A – JUSTIFIED","INVALID – N/A needs justification, PIC and verifier")),IF(OR(TRIM(U160)="Pass",TRIM(U160)="Pass after CA"),IF(NOT(ISNUMBER(AD160)),"INVALID – completion time missing",IF(TRIM(T160)="","INVALID – PIC missing",IF(TRIM(Z160)="","INVALID – evidence missing",IF(TRIM(AE160)="","INVALID – verifier missing",IF(AND(AQ160=1,TRIM(W160)=""),"INVALID – batch ID missing",IF(AND(AR160=1,OR(NOT(ISNUMBER(X160)),NOT(ISNUMBER(Y160)))),"INVALID – expected/actual qty missing",IF(IF(AND(TRIM(U160)="Pass",ISNUMBER(AF160)),IF(AF160&lt;&gt;0,"INVALID – qty variance: use Fail or Pass after CA",""),"")&amp;IF(AND(TRIM(U160)="Pass",AB160="Open"),"INVALID – corrective action still open: use Fail, then Pass after CA","")&amp;IF(AND(TRIM(U160)="Pass after CA",OR(TRIM(AA160)="",AB160&lt;&gt;"Closed")),"INVALID – corrective action not recorded/closed","")&lt;&gt;"",IF(AND(TRIM(U160)="Pass",ISNUMBER(AF160)),IF(AF160&lt;&gt;0,"INVALID – qty variance: use Fail or Pass after CA",""),"")&amp;IF(AND(TRIM(U160)="Pass",AB160="Open"),"INVALID – corrective action still open: use Fail, then Pass after CA","")&amp;IF(AND(TRIM(U160)="Pass after CA",OR(TRIM(AA160)="",AB160&lt;&gt;"Closed")),"INVALID – corrective action not recorded/closed",""),IF(AND(AS160=1,Documents!$J$9&lt;&gt;"ON FILE"),"INVALID – GLD not on file (Documents sheet)",IF(AND(AS160=2,Documents!$O$9&lt;&gt;"ON FILE"),"INVALID – menu checklist not on file (Documents sheet)",IF(AND(AS160=3,NOT(ISNUMBER(Flights!$AX$9))),"INVALID – enter carrying flight KUL departure (Flights AX)",IF(AG160&gt;AsOfUTC,"INVALID – completion time is in the future",IF(AND(ISNUMBER(S160),AG160&lt;S160),IF(H160="Physical uplift","INVALID – before uplift window (cannot confirm loading)","INVALID – before valid window"),IF(AG160&gt;Flights!$AA$9,"INVALID – completed after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f>
        <v>OPEN</v>
      </c>
      <c r="AI160" s="61" t="n">
        <f aca="false">IF(OR(AH160="N/A – RULE",AH160="N/A – JUSTIFIED"),0,1)</f>
        <v>1</v>
      </c>
      <c r="AJ160" s="61" t="n">
        <f aca="false">IF(LEFT(AH160,8)="COMPLETE",1,0)</f>
        <v>0</v>
      </c>
      <c r="AK160" s="61" t="n">
        <f aca="false">IF(AND(AI160=1,AJ160=0,AsOfUTC&gt;Q160),1,0)</f>
        <v>0</v>
      </c>
      <c r="AL160" s="61" t="n">
        <f aca="false">IF(AND(AI160=1,OR(TRIM(U160)="Fail",AB160="Open",AND(ISNUMBER(AF160),AF160&lt;&gt;0,TRIM(U160)&lt;&gt;"Pass after CA"))),1,0)</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row>
    <row r="161" customFormat="false" ht="41.25" hidden="false" customHeight="true" outlineLevel="0" collapsed="false">
      <c r="A161" s="57" t="s">
        <v>659</v>
      </c>
      <c r="B161" s="57" t="s">
        <v>218</v>
      </c>
      <c r="C161" s="57" t="str">
        <f aca="false">Flights!$F$9</f>
        <v>MH0089</v>
      </c>
      <c r="D161" s="58" t="n">
        <f aca="false">Flights!$D$9</f>
        <v>46310</v>
      </c>
      <c r="E161" s="57" t="str">
        <f aca="false">Flights!$G$9&amp;"-"&amp;Flights!$H$9</f>
        <v>NRT-KUL</v>
      </c>
      <c r="F161" s="57" t="str">
        <f aca="false">Flights!$K$9</f>
        <v>EY</v>
      </c>
      <c r="G161" s="57" t="s">
        <v>422</v>
      </c>
      <c r="H161" s="57" t="s">
        <v>423</v>
      </c>
      <c r="I161" s="57" t="s">
        <v>374</v>
      </c>
      <c r="J161" s="57" t="s">
        <v>660</v>
      </c>
      <c r="K161" s="67" t="s">
        <v>661</v>
      </c>
      <c r="L161" s="67" t="s">
        <v>662</v>
      </c>
      <c r="M161" s="67"/>
      <c r="N161" s="67" t="s">
        <v>346</v>
      </c>
      <c r="O161" s="67" t="s">
        <v>663</v>
      </c>
      <c r="P161" s="57" t="s">
        <v>177</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IF(N161="N/A – rule","N/A – RULE",IF(TRIM(U161)="N/A",IF(AT161=0,"INVALID – N/A not permitted for this mandatory check",IF(AND(TRIM(AC161)&lt;&gt;"",TRIM(AE161)&lt;&gt;"",TRIM(T161)&lt;&gt;""),"N/A – JUSTIFIED","INVALID – N/A needs justification, PIC and verifier")),IF(OR(TRIM(U161)="Pass",TRIM(U161)="Pass after CA"),IF(NOT(ISNUMBER(AD161)),"INVALID – completion time missing",IF(TRIM(T161)="","INVALID – PIC missing",IF(TRIM(Z161)="","INVALID – evidence missing",IF(TRIM(AE161)="","INVALID – verifier missing",IF(AND(AQ161=1,TRIM(W161)=""),"INVALID – batch ID missing",IF(AND(AR161=1,OR(NOT(ISNUMBER(X161)),NOT(ISNUMBER(Y161)))),"INVALID – expected/actual qty missing",IF(IF(AND(TRIM(U161)="Pass",ISNUMBER(AF161)),IF(AF161&lt;&gt;0,"INVALID – qty variance: use Fail or Pass after CA",""),"")&amp;IF(AND(TRIM(U161)="Pass",AB161="Open"),"INVALID – corrective action still open: use Fail, then Pass after CA","")&amp;IF(AND(TRIM(U161)="Pass after CA",OR(TRIM(AA161)="",AB161&lt;&gt;"Closed")),"INVALID – corrective action not recorded/closed","")&lt;&gt;"",IF(AND(TRIM(U161)="Pass",ISNUMBER(AF161)),IF(AF161&lt;&gt;0,"INVALID – qty variance: use Fail or Pass after CA",""),"")&amp;IF(AND(TRIM(U161)="Pass",AB161="Open"),"INVALID – corrective action still open: use Fail, then Pass after CA","")&amp;IF(AND(TRIM(U161)="Pass after CA",OR(TRIM(AA161)="",AB161&lt;&gt;"Closed")),"INVALID – corrective action not recorded/closed",""),IF(AND(AS161=1,Documents!$J$9&lt;&gt;"ON FILE"),"INVALID – GLD not on file (Documents sheet)",IF(AND(AS161=2,Documents!$O$9&lt;&gt;"ON FILE"),"INVALID – menu checklist not on file (Documents sheet)",IF(AND(AS161=3,NOT(ISNUMBER(Flights!$AX$9))),"INVALID – enter carrying flight KUL departure (Flights AX)",IF(AG161&gt;AsOfUTC,"INVALID – completion time is in the future",IF(AND(ISNUMBER(S161),AG161&lt;S161),IF(H161="Physical uplift","INVALID – before uplift window (cannot confirm loading)","INVALID – before valid window"),IF(AG161&gt;Flights!$AA$9,"INVALID – completed after departure (cannot establish readiness)",IF(AND(H161="Physical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f>
        <v>OPEN</v>
      </c>
      <c r="AI161" s="61" t="n">
        <f aca="false">IF(OR(AH161="N/A – RULE",AH161="N/A – JUSTIFIED"),0,1)</f>
        <v>1</v>
      </c>
      <c r="AJ161" s="61" t="n">
        <f aca="false">IF(LEFT(AH161,8)="COMPLETE",1,0)</f>
        <v>0</v>
      </c>
      <c r="AK161" s="61" t="n">
        <f aca="false">IF(AND(AI161=1,AJ161=0,AsOfUTC&gt;Q161),1,0)</f>
        <v>0</v>
      </c>
      <c r="AL161" s="61" t="n">
        <f aca="false">IF(AND(AI161=1,OR(TRIM(U161)="Fail",AB161="Open",AND(ISNUMBER(AF161),AF161&lt;&gt;0,TRIM(U161)&lt;&gt;"Pass after CA"))),1,0)</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row>
    <row r="162" customFormat="false" ht="54" hidden="false" customHeight="true" outlineLevel="0" collapsed="false">
      <c r="A162" s="57" t="s">
        <v>664</v>
      </c>
      <c r="B162" s="57" t="s">
        <v>218</v>
      </c>
      <c r="C162" s="57" t="str">
        <f aca="false">Flights!$F$9</f>
        <v>MH0089</v>
      </c>
      <c r="D162" s="58" t="n">
        <f aca="false">Flights!$D$9</f>
        <v>46310</v>
      </c>
      <c r="E162" s="57" t="str">
        <f aca="false">Flights!$G$9&amp;"-"&amp;Flights!$H$9</f>
        <v>NRT-KUL</v>
      </c>
      <c r="F162" s="57" t="str">
        <f aca="false">Flights!$K$9</f>
        <v>EY</v>
      </c>
      <c r="G162" s="57" t="s">
        <v>422</v>
      </c>
      <c r="H162" s="57" t="s">
        <v>423</v>
      </c>
      <c r="I162" s="57" t="s">
        <v>403</v>
      </c>
      <c r="J162" s="57" t="s">
        <v>430</v>
      </c>
      <c r="K162" s="67" t="s">
        <v>405</v>
      </c>
      <c r="L162" s="67" t="s">
        <v>564</v>
      </c>
      <c r="M162" s="67" t="s">
        <v>177</v>
      </c>
      <c r="N162" s="67" t="s">
        <v>407</v>
      </c>
      <c r="O162" s="67" t="s">
        <v>408</v>
      </c>
      <c r="P162" s="57" t="s">
        <v>210</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IF(N162="N/A – rule","N/A – RULE",IF(TRIM(U162)="N/A",IF(AT162=0,"INVALID – N/A not permitted for this mandatory check",IF(AND(TRIM(AC162)&lt;&gt;"",TRIM(AE162)&lt;&gt;"",TRIM(T162)&lt;&gt;""),"N/A – JUSTIFIED","INVALID – N/A needs justification, PIC and verifier")),IF(OR(TRIM(U162)="Pass",TRIM(U162)="Pass after CA"),IF(NOT(ISNUMBER(AD162)),"INVALID – completion time missing",IF(TRIM(T162)="","INVALID – PIC missing",IF(TRIM(Z162)="","INVALID – evidence missing",IF(TRIM(AE162)="","INVALID – verifier missing",IF(AND(AQ162=1,TRIM(W162)=""),"INVALID – batch ID missing",IF(AND(AR162=1,OR(NOT(ISNUMBER(X162)),NOT(ISNUMBER(Y162)))),"INVALID – expected/actual qty missing",IF(IF(AND(TRIM(U162)="Pass",ISNUMBER(AF162)),IF(AF162&lt;&gt;0,"INVALID – qty variance: use Fail or Pass after CA",""),"")&amp;IF(AND(TRIM(U162)="Pass",AB162="Open"),"INVALID – corrective action still open: use Fail, then Pass after CA","")&amp;IF(AND(TRIM(U162)="Pass after CA",OR(TRIM(AA162)="",AB162&lt;&gt;"Closed")),"INVALID – corrective action not recorded/closed","")&lt;&gt;"",IF(AND(TRIM(U162)="Pass",ISNUMBER(AF162)),IF(AF162&lt;&gt;0,"INVALID – qty variance: use Fail or Pass after CA",""),"")&amp;IF(AND(TRIM(U162)="Pass",AB162="Open"),"INVALID – corrective action still open: use Fail, then Pass after CA","")&amp;IF(AND(TRIM(U162)="Pass after CA",OR(TRIM(AA162)="",AB162&lt;&gt;"Closed")),"INVALID – corrective action not recorded/closed",""),IF(AND(AS162=1,Documents!$J$9&lt;&gt;"ON FILE"),"INVALID – GLD not on file (Documents sheet)",IF(AND(AS162=2,Documents!$O$9&lt;&gt;"ON FILE"),"INVALID – menu checklist not on file (Documents sheet)",IF(AND(AS162=3,NOT(ISNUMBER(Flights!$AX$9))),"INVALID – enter carrying flight KUL departure (Flights AX)",IF(AG162&gt;AsOfUTC,"INVALID – completion time is in the future",IF(AND(ISNUMBER(S162),AG162&lt;S162),IF(H162="Physical uplift","INVALID – before uplift window (cannot confirm loading)","INVALID – before valid window"),IF(AG162&gt;Flights!$AA$9,"INVALID – completed after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f>
        <v>OPEN – CLARIFICATION</v>
      </c>
      <c r="AI162" s="61" t="n">
        <f aca="false">IF(OR(AH162="N/A – RULE",AH162="N/A – JUSTIFIED"),0,1)</f>
        <v>1</v>
      </c>
      <c r="AJ162" s="61" t="n">
        <f aca="false">IF(LEFT(AH162,8)="COMPLETE",1,0)</f>
        <v>0</v>
      </c>
      <c r="AK162" s="61" t="n">
        <f aca="false">IF(AND(AI162=1,AJ162=0,AsOfUTC&gt;Q162),1,0)</f>
        <v>0</v>
      </c>
      <c r="AL162" s="61" t="n">
        <f aca="false">IF(AND(AI162=1,OR(TRIM(U162)="Fail",AB162="Open",AND(ISNUMBER(AF162),AF162&lt;&gt;0,TRIM(U162)&lt;&gt;"Pass after CA"))),1,0)</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row>
    <row r="163" customFormat="false" ht="39.75" hidden="false" customHeight="true" outlineLevel="0" collapsed="false">
      <c r="A163" s="57" t="s">
        <v>665</v>
      </c>
      <c r="B163" s="57" t="s">
        <v>218</v>
      </c>
      <c r="C163" s="57" t="str">
        <f aca="false">Flights!$F$9</f>
        <v>MH0089</v>
      </c>
      <c r="D163" s="58" t="n">
        <f aca="false">Flights!$D$9</f>
        <v>46310</v>
      </c>
      <c r="E163" s="57" t="str">
        <f aca="false">Flights!$G$9&amp;"-"&amp;Flights!$H$9</f>
        <v>NRT-KUL</v>
      </c>
      <c r="F163" s="57" t="str">
        <f aca="false">Flights!$K$9</f>
        <v>EY</v>
      </c>
      <c r="G163" s="57" t="s">
        <v>422</v>
      </c>
      <c r="H163" s="57" t="s">
        <v>423</v>
      </c>
      <c r="I163" s="57" t="s">
        <v>410</v>
      </c>
      <c r="J163" s="57" t="s">
        <v>432</v>
      </c>
      <c r="K163" s="67" t="s">
        <v>412</v>
      </c>
      <c r="L163" s="67" t="s">
        <v>650</v>
      </c>
      <c r="M163" s="67" t="s">
        <v>414</v>
      </c>
      <c r="N163" s="67" t="s">
        <v>346</v>
      </c>
      <c r="O163" s="67"/>
      <c r="P163" s="57" t="s">
        <v>210</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IF(N163="N/A – rule","N/A – RULE",IF(TRIM(U163)="N/A",IF(AT163=0,"INVALID – N/A not permitted for this mandatory check",IF(AND(TRIM(AC163)&lt;&gt;"",TRIM(AE163)&lt;&gt;"",TRIM(T163)&lt;&gt;""),"N/A – JUSTIFIED","INVALID – N/A needs justification, PIC and verifier")),IF(OR(TRIM(U163)="Pass",TRIM(U163)="Pass after CA"),IF(NOT(ISNUMBER(AD163)),"INVALID – completion time missing",IF(TRIM(T163)="","INVALID – PIC missing",IF(TRIM(Z163)="","INVALID – evidence missing",IF(TRIM(AE163)="","INVALID – verifier missing",IF(AND(AQ163=1,TRIM(W163)=""),"INVALID – batch ID missing",IF(AND(AR163=1,OR(NOT(ISNUMBER(X163)),NOT(ISNUMBER(Y163)))),"INVALID – expected/actual qty missing",IF(IF(AND(TRIM(U163)="Pass",ISNUMBER(AF163)),IF(AF163&lt;&gt;0,"INVALID – qty variance: use Fail or Pass after CA",""),"")&amp;IF(AND(TRIM(U163)="Pass",AB163="Open"),"INVALID – corrective action still open: use Fail, then Pass after CA","")&amp;IF(AND(TRIM(U163)="Pass after CA",OR(TRIM(AA163)="",AB163&lt;&gt;"Closed")),"INVALID – corrective action not recorded/closed","")&lt;&gt;"",IF(AND(TRIM(U163)="Pass",ISNUMBER(AF163)),IF(AF163&lt;&gt;0,"INVALID – qty variance: use Fail or Pass after CA",""),"")&amp;IF(AND(TRIM(U163)="Pass",AB163="Open"),"INVALID – corrective action still open: use Fail, then Pass after CA","")&amp;IF(AND(TRIM(U163)="Pass after CA",OR(TRIM(AA163)="",AB163&lt;&gt;"Closed")),"INVALID – corrective action not recorded/closed",""),IF(AND(AS163=1,Documents!$J$9&lt;&gt;"ON FILE"),"INVALID – GLD not on file (Documents sheet)",IF(AND(AS163=2,Documents!$O$9&lt;&gt;"ON FILE"),"INVALID – menu checklist not on file (Documents sheet)",IF(AND(AS163=3,NOT(ISNUMBER(Flights!$AX$9))),"INVALID – enter carrying flight KUL departure (Flights AX)",IF(AG163&gt;AsOfUTC,"INVALID – completion time is in the future",IF(AND(ISNUMBER(S163),AG163&lt;S163),IF(H163="Physical uplift","INVALID – before uplift window (cannot confirm loading)","INVALID – before valid window"),IF(AG163&gt;Flights!$AA$9,"INVALID – completed after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f>
        <v>OPEN</v>
      </c>
      <c r="AI163" s="61" t="n">
        <f aca="false">IF(OR(AH163="N/A – RULE",AH163="N/A – JUSTIFIED"),0,1)</f>
        <v>1</v>
      </c>
      <c r="AJ163" s="61" t="n">
        <f aca="false">IF(LEFT(AH163,8)="COMPLETE",1,0)</f>
        <v>0</v>
      </c>
      <c r="AK163" s="61" t="n">
        <f aca="false">IF(AND(AI163=1,AJ163=0,AsOfUTC&gt;Q163),1,0)</f>
        <v>0</v>
      </c>
      <c r="AL163" s="61" t="n">
        <f aca="false">IF(AND(AI163=1,OR(TRIM(U163)="Fail",AB163="Open",AND(ISNUMBER(AF163),AF163&lt;&gt;0,TRIM(U163)&lt;&gt;"Pass after CA"))),1,0)</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1</v>
      </c>
    </row>
    <row r="164" customFormat="false" ht="54" hidden="false" customHeight="true" outlineLevel="0" collapsed="false">
      <c r="A164" s="57" t="s">
        <v>666</v>
      </c>
      <c r="B164" s="57" t="s">
        <v>218</v>
      </c>
      <c r="C164" s="57" t="str">
        <f aca="false">Flights!$F$9</f>
        <v>MH0089</v>
      </c>
      <c r="D164" s="58" t="n">
        <f aca="false">Flights!$D$9</f>
        <v>46310</v>
      </c>
      <c r="E164" s="57" t="str">
        <f aca="false">Flights!$G$9&amp;"-"&amp;Flights!$H$9</f>
        <v>NRT-KUL</v>
      </c>
      <c r="F164" s="57" t="str">
        <f aca="false">Flights!$K$9</f>
        <v>EY</v>
      </c>
      <c r="G164" s="57" t="s">
        <v>422</v>
      </c>
      <c r="H164" s="57" t="s">
        <v>423</v>
      </c>
      <c r="I164" s="57" t="s">
        <v>410</v>
      </c>
      <c r="J164" s="57" t="s">
        <v>434</v>
      </c>
      <c r="K164" s="67" t="s">
        <v>418</v>
      </c>
      <c r="L164" s="67" t="s">
        <v>653</v>
      </c>
      <c r="M164" s="67" t="s">
        <v>414</v>
      </c>
      <c r="N164" s="67" t="s">
        <v>346</v>
      </c>
      <c r="O164" s="67" t="s">
        <v>667</v>
      </c>
      <c r="P164" s="57" t="s">
        <v>210</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IF(N164="N/A – rule","N/A – RULE",IF(TRIM(U164)="N/A",IF(AT164=0,"INVALID – N/A not permitted for this mandatory check",IF(AND(TRIM(AC164)&lt;&gt;"",TRIM(AE164)&lt;&gt;"",TRIM(T164)&lt;&gt;""),"N/A – JUSTIFIED","INVALID – N/A needs justification, PIC and verifier")),IF(OR(TRIM(U164)="Pass",TRIM(U164)="Pass after CA"),IF(NOT(ISNUMBER(AD164)),"INVALID – completion time missing",IF(TRIM(T164)="","INVALID – PIC missing",IF(TRIM(Z164)="","INVALID – evidence missing",IF(TRIM(AE164)="","INVALID – verifier missing",IF(AND(AQ164=1,TRIM(W164)=""),"INVALID – batch ID missing",IF(AND(AR164=1,OR(NOT(ISNUMBER(X164)),NOT(ISNUMBER(Y164)))),"INVALID – expected/actual qty missing",IF(IF(AND(TRIM(U164)="Pass",ISNUMBER(AF164)),IF(AF164&lt;&gt;0,"INVALID – qty variance: use Fail or Pass after CA",""),"")&amp;IF(AND(TRIM(U164)="Pass",AB164="Open"),"INVALID – corrective action still open: use Fail, then Pass after CA","")&amp;IF(AND(TRIM(U164)="Pass after CA",OR(TRIM(AA164)="",AB164&lt;&gt;"Closed")),"INVALID – corrective action not recorded/closed","")&lt;&gt;"",IF(AND(TRIM(U164)="Pass",ISNUMBER(AF164)),IF(AF164&lt;&gt;0,"INVALID – qty variance: use Fail or Pass after CA",""),"")&amp;IF(AND(TRIM(U164)="Pass",AB164="Open"),"INVALID – corrective action still open: use Fail, then Pass after CA","")&amp;IF(AND(TRIM(U164)="Pass after CA",OR(TRIM(AA164)="",AB164&lt;&gt;"Closed")),"INVALID – corrective action not recorded/closed",""),IF(AND(AS164=1,Documents!$J$9&lt;&gt;"ON FILE"),"INVALID – GLD not on file (Documents sheet)",IF(AND(AS164=2,Documents!$O$9&lt;&gt;"ON FILE"),"INVALID – menu checklist not on file (Documents sheet)",IF(AND(AS164=3,NOT(ISNUMBER(Flights!$AX$9))),"INVALID – enter carrying flight KUL departure (Flights AX)",IF(AG164&gt;AsOfUTC,"INVALID – completion time is in the future",IF(AND(ISNUMBER(S164),AG164&lt;S164),IF(H164="Physical uplift","INVALID – before uplift window (cannot confirm loading)","INVALID – before valid window"),IF(AG164&gt;Flights!$AA$9,"INVALID – completed after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f>
        <v>OPEN</v>
      </c>
      <c r="AI164" s="61" t="n">
        <f aca="false">IF(OR(AH164="N/A – RULE",AH164="N/A – JUSTIFIED"),0,1)</f>
        <v>1</v>
      </c>
      <c r="AJ164" s="61" t="n">
        <f aca="false">IF(LEFT(AH164,8)="COMPLETE",1,0)</f>
        <v>0</v>
      </c>
      <c r="AK164" s="61" t="n">
        <f aca="false">IF(AND(AI164=1,AJ164=0,AsOfUTC&gt;Q164),1,0)</f>
        <v>0</v>
      </c>
      <c r="AL164" s="61" t="n">
        <f aca="false">IF(AND(AI164=1,OR(TRIM(U164)="Fail",AB164="Open",AND(ISNUMBER(AF164),AF164&lt;&gt;0,TRIM(U164)&lt;&gt;"Pass after CA"))),1,0)</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1</v>
      </c>
    </row>
    <row r="165" customFormat="false" ht="66" hidden="false" customHeight="true" outlineLevel="0" collapsed="false">
      <c r="A165" s="57" t="s">
        <v>668</v>
      </c>
      <c r="B165" s="57" t="s">
        <v>218</v>
      </c>
      <c r="C165" s="57" t="str">
        <f aca="false">Flights!$F$9</f>
        <v>MH0089</v>
      </c>
      <c r="D165" s="58" t="n">
        <f aca="false">Flights!$D$9</f>
        <v>46310</v>
      </c>
      <c r="E165" s="57" t="str">
        <f aca="false">Flights!$G$9&amp;"-"&amp;Flights!$H$9</f>
        <v>NRT-KUL</v>
      </c>
      <c r="F165" s="57" t="str">
        <f aca="false">Flights!$K$9</f>
        <v>EY</v>
      </c>
      <c r="G165" s="57" t="s">
        <v>422</v>
      </c>
      <c r="H165" s="57" t="s">
        <v>423</v>
      </c>
      <c r="I165" s="57" t="s">
        <v>597</v>
      </c>
      <c r="J165" s="57" t="s">
        <v>622</v>
      </c>
      <c r="K165" s="67" t="s">
        <v>599</v>
      </c>
      <c r="L165" s="67" t="s">
        <v>600</v>
      </c>
      <c r="M165" s="67" t="s">
        <v>414</v>
      </c>
      <c r="N165" s="67" t="s">
        <v>407</v>
      </c>
      <c r="O165" s="67" t="s">
        <v>669</v>
      </c>
      <c r="P165" s="57" t="s">
        <v>210</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IF(N165="N/A – rule","N/A – RULE",IF(TRIM(U165)="N/A",IF(AT165=0,"INVALID – N/A not permitted for this mandatory check",IF(AND(TRIM(AC165)&lt;&gt;"",TRIM(AE165)&lt;&gt;"",TRIM(T165)&lt;&gt;""),"N/A – JUSTIFIED","INVALID – N/A needs justification, PIC and verifier")),IF(OR(TRIM(U165)="Pass",TRIM(U165)="Pass after CA"),IF(NOT(ISNUMBER(AD165)),"INVALID – completion time missing",IF(TRIM(T165)="","INVALID – PIC missing",IF(TRIM(Z165)="","INVALID – evidence missing",IF(TRIM(AE165)="","INVALID – verifier missing",IF(AND(AQ165=1,TRIM(W165)=""),"INVALID – batch ID missing",IF(AND(AR165=1,OR(NOT(ISNUMBER(X165)),NOT(ISNUMBER(Y165)))),"INVALID – expected/actual qty missing",IF(IF(AND(TRIM(U165)="Pass",ISNUMBER(AF165)),IF(AF165&lt;&gt;0,"INVALID – qty variance: use Fail or Pass after CA",""),"")&amp;IF(AND(TRIM(U165)="Pass",AB165="Open"),"INVALID – corrective action still open: use Fail, then Pass after CA","")&amp;IF(AND(TRIM(U165)="Pass after CA",OR(TRIM(AA165)="",AB165&lt;&gt;"Closed")),"INVALID – corrective action not recorded/closed","")&lt;&gt;"",IF(AND(TRIM(U165)="Pass",ISNUMBER(AF165)),IF(AF165&lt;&gt;0,"INVALID – qty variance: use Fail or Pass after CA",""),"")&amp;IF(AND(TRIM(U165)="Pass",AB165="Open"),"INVALID – corrective action still open: use Fail, then Pass after CA","")&amp;IF(AND(TRIM(U165)="Pass after CA",OR(TRIM(AA165)="",AB165&lt;&gt;"Closed")),"INVALID – corrective action not recorded/closed",""),IF(AND(AS165=1,Documents!$J$9&lt;&gt;"ON FILE"),"INVALID – GLD not on file (Documents sheet)",IF(AND(AS165=2,Documents!$O$9&lt;&gt;"ON FILE"),"INVALID – menu checklist not on file (Documents sheet)",IF(AND(AS165=3,NOT(ISNUMBER(Flights!$AX$9))),"INVALID – enter carrying flight KUL departure (Flights AX)",IF(AG165&gt;AsOfUTC,"INVALID – completion time is in the future",IF(AND(ISNUMBER(S165),AG165&lt;S165),IF(H165="Physical uplift","INVALID – before uplift window (cannot confirm loading)","INVALID – before valid window"),IF(AG165&gt;Flights!$AA$9,"INVALID – completed after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f>
        <v>OPEN – CLARIFICATION</v>
      </c>
      <c r="AI165" s="61" t="n">
        <f aca="false">IF(OR(AH165="N/A – RULE",AH165="N/A – JUSTIFIED"),0,1)</f>
        <v>1</v>
      </c>
      <c r="AJ165" s="61" t="n">
        <f aca="false">IF(LEFT(AH165,8)="COMPLETE",1,0)</f>
        <v>0</v>
      </c>
      <c r="AK165" s="61" t="n">
        <f aca="false">IF(AND(AI165=1,AJ165=0,AsOfUTC&gt;Q165),1,0)</f>
        <v>0</v>
      </c>
      <c r="AL165" s="61" t="n">
        <f aca="false">IF(AND(AI165=1,OR(TRIM(U165)="Fail",AB165="Open",AND(ISNUMBER(AF165),AF165&lt;&gt;0,TRIM(U165)&lt;&gt;"Pass after CA"))),1,0)</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row>
    <row r="166" customFormat="false" ht="39.75" hidden="false" customHeight="true" outlineLevel="0" collapsed="false">
      <c r="A166" s="57" t="s">
        <v>670</v>
      </c>
      <c r="B166" s="57" t="s">
        <v>221</v>
      </c>
      <c r="C166" s="57" t="str">
        <f aca="false">Flights!$F$10</f>
        <v>MH0002</v>
      </c>
      <c r="D166" s="58" t="n">
        <f aca="false">Flights!$D$10</f>
        <v>46310</v>
      </c>
      <c r="E166" s="57" t="str">
        <f aca="false">Flights!$G$10&amp;"-"&amp;Flights!$H$10</f>
        <v>KUL-LHR</v>
      </c>
      <c r="F166" s="57" t="str">
        <f aca="false">Flights!$K$10</f>
        <v>BC</v>
      </c>
      <c r="G166" s="57" t="s">
        <v>74</v>
      </c>
      <c r="H166" s="57" t="s">
        <v>341</v>
      </c>
      <c r="I166" s="57" t="s">
        <v>342</v>
      </c>
      <c r="J166" s="57" t="s">
        <v>343</v>
      </c>
      <c r="K166" s="67" t="s">
        <v>344</v>
      </c>
      <c r="L166" s="67" t="s">
        <v>345</v>
      </c>
      <c r="M166" s="67"/>
      <c r="N166" s="67" t="s">
        <v>346</v>
      </c>
      <c r="O166" s="67"/>
      <c r="P166" s="57" t="s">
        <v>177</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IF(N166="N/A – rule","N/A – RULE",IF(TRIM(U166)="N/A",IF(AT166=0,"INVALID – N/A not permitted for this mandatory check",IF(AND(TRIM(AC166)&lt;&gt;"",TRIM(AE166)&lt;&gt;"",TRIM(T166)&lt;&gt;""),"N/A – JUSTIFIED","INVALID – N/A needs justification, PIC and verifier")),IF(OR(TRIM(U166)="Pass",TRIM(U166)="Pass after CA"),IF(NOT(ISNUMBER(AD166)),"INVALID – completion time missing",IF(TRIM(T166)="","INVALID – PIC missing",IF(TRIM(Z166)="","INVALID – evidence missing",IF(TRIM(AE166)="","INVALID – verifier missing",IF(AND(AQ166=1,TRIM(W166)=""),"INVALID – batch ID missing",IF(AND(AR166=1,OR(NOT(ISNUMBER(X166)),NOT(ISNUMBER(Y166)))),"INVALID – expected/actual qty missing",IF(IF(AND(TRIM(U166)="Pass",ISNUMBER(AF166)),IF(AF166&lt;&gt;0,"INVALID – qty variance: use Fail or Pass after CA",""),"")&amp;IF(AND(TRIM(U166)="Pass",AB166="Open"),"INVALID – corrective action still open: use Fail, then Pass after CA","")&amp;IF(AND(TRIM(U166)="Pass after CA",OR(TRIM(AA166)="",AB166&lt;&gt;"Closed")),"INVALID – corrective action not recorded/closed","")&lt;&gt;"",IF(AND(TRIM(U166)="Pass",ISNUMBER(AF166)),IF(AF166&lt;&gt;0,"INVALID – qty variance: use Fail or Pass after CA",""),"")&amp;IF(AND(TRIM(U166)="Pass",AB166="Open"),"INVALID – corrective action still open: use Fail, then Pass after CA","")&amp;IF(AND(TRIM(U166)="Pass after CA",OR(TRIM(AA166)="",AB166&lt;&gt;"Closed")),"INVALID – corrective action not recorded/closed",""),IF(AND(AS166=1,Documents!$J$10&lt;&gt;"ON FILE"),"INVALID – GLD not on file (Documents sheet)",IF(AND(AS166=2,Documents!$O$10&lt;&gt;"ON FILE"),"INVALID – menu checklist not on file (Documents sheet)",IF(AND(AS166=3,NOT(ISNUMBER(Flights!$AX$10))),"INVALID – enter carrying flight KUL departure (Flights AX)",IF(AG166&gt;AsOfUTC,"INVALID – completion time is in the future",IF(AND(ISNUMBER(S166),AG166&lt;S166),IF(H166="Physical uplift","INVALID – before uplift window (cannot confirm loading)","INVALID – before valid window"),IF(AG166&gt;Flights!$AA$10,"INVALID – completed after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f>
        <v>OPEN</v>
      </c>
      <c r="AI166" s="61" t="n">
        <f aca="false">IF(OR(AH166="N/A – RULE",AH166="N/A – JUSTIFIED"),0,1)</f>
        <v>1</v>
      </c>
      <c r="AJ166" s="61" t="n">
        <f aca="false">IF(LEFT(AH166,8)="COMPLETE",1,0)</f>
        <v>0</v>
      </c>
      <c r="AK166" s="61" t="n">
        <f aca="false">IF(AND(AI166=1,AJ166=0,AsOfUTC&gt;Q166),1,0)</f>
        <v>0</v>
      </c>
      <c r="AL166" s="61" t="n">
        <f aca="false">IF(AND(AI166=1,OR(TRIM(U166)="Fail",AB166="Open",AND(ISNUMBER(AF166),AF166&lt;&gt;0,TRIM(U166)&lt;&gt;"Pass after CA"))),1,0)</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row>
    <row r="167" customFormat="false" ht="39.75" hidden="false" customHeight="true" outlineLevel="0" collapsed="false">
      <c r="A167" s="57" t="s">
        <v>671</v>
      </c>
      <c r="B167" s="57" t="s">
        <v>221</v>
      </c>
      <c r="C167" s="57" t="str">
        <f aca="false">Flights!$F$10</f>
        <v>MH0002</v>
      </c>
      <c r="D167" s="58" t="n">
        <f aca="false">Flights!$D$10</f>
        <v>46310</v>
      </c>
      <c r="E167" s="57" t="str">
        <f aca="false">Flights!$G$10&amp;"-"&amp;Flights!$H$10</f>
        <v>KUL-LHR</v>
      </c>
      <c r="F167" s="57" t="str">
        <f aca="false">Flights!$K$10</f>
        <v>BC</v>
      </c>
      <c r="G167" s="57" t="s">
        <v>74</v>
      </c>
      <c r="H167" s="57" t="s">
        <v>341</v>
      </c>
      <c r="I167" s="57" t="s">
        <v>348</v>
      </c>
      <c r="J167" s="57" t="s">
        <v>349</v>
      </c>
      <c r="K167" s="67" t="s">
        <v>350</v>
      </c>
      <c r="L167" s="67" t="s">
        <v>345</v>
      </c>
      <c r="M167" s="67"/>
      <c r="N167" s="67" t="s">
        <v>346</v>
      </c>
      <c r="O167" s="67"/>
      <c r="P167" s="57" t="s">
        <v>177</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IF(N167="N/A – rule","N/A – RULE",IF(TRIM(U167)="N/A",IF(AT167=0,"INVALID – N/A not permitted for this mandatory check",IF(AND(TRIM(AC167)&lt;&gt;"",TRIM(AE167)&lt;&gt;"",TRIM(T167)&lt;&gt;""),"N/A – JUSTIFIED","INVALID – N/A needs justification, PIC and verifier")),IF(OR(TRIM(U167)="Pass",TRIM(U167)="Pass after CA"),IF(NOT(ISNUMBER(AD167)),"INVALID – completion time missing",IF(TRIM(T167)="","INVALID – PIC missing",IF(TRIM(Z167)="","INVALID – evidence missing",IF(TRIM(AE167)="","INVALID – verifier missing",IF(AND(AQ167=1,TRIM(W167)=""),"INVALID – batch ID missing",IF(AND(AR167=1,OR(NOT(ISNUMBER(X167)),NOT(ISNUMBER(Y167)))),"INVALID – expected/actual qty missing",IF(IF(AND(TRIM(U167)="Pass",ISNUMBER(AF167)),IF(AF167&lt;&gt;0,"INVALID – qty variance: use Fail or Pass after CA",""),"")&amp;IF(AND(TRIM(U167)="Pass",AB167="Open"),"INVALID – corrective action still open: use Fail, then Pass after CA","")&amp;IF(AND(TRIM(U167)="Pass after CA",OR(TRIM(AA167)="",AB167&lt;&gt;"Closed")),"INVALID – corrective action not recorded/closed","")&lt;&gt;"",IF(AND(TRIM(U167)="Pass",ISNUMBER(AF167)),IF(AF167&lt;&gt;0,"INVALID – qty variance: use Fail or Pass after CA",""),"")&amp;IF(AND(TRIM(U167)="Pass",AB167="Open"),"INVALID – corrective action still open: use Fail, then Pass after CA","")&amp;IF(AND(TRIM(U167)="Pass after CA",OR(TRIM(AA167)="",AB167&lt;&gt;"Closed")),"INVALID – corrective action not recorded/closed",""),IF(AND(AS167=1,Documents!$J$10&lt;&gt;"ON FILE"),"INVALID – GLD not on file (Documents sheet)",IF(AND(AS167=2,Documents!$O$10&lt;&gt;"ON FILE"),"INVALID – menu checklist not on file (Documents sheet)",IF(AND(AS167=3,NOT(ISNUMBER(Flights!$AX$10))),"INVALID – enter carrying flight KUL departure (Flights AX)",IF(AG167&gt;AsOfUTC,"INVALID – completion time is in the future",IF(AND(ISNUMBER(S167),AG167&lt;S167),IF(H167="Physical uplift","INVALID – before uplift window (cannot confirm loading)","INVALID – before valid window"),IF(AG167&gt;Flights!$AA$10,"INVALID – completed after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f>
        <v>OPEN</v>
      </c>
      <c r="AI167" s="61" t="n">
        <f aca="false">IF(OR(AH167="N/A – RULE",AH167="N/A – JUSTIFIED"),0,1)</f>
        <v>1</v>
      </c>
      <c r="AJ167" s="61" t="n">
        <f aca="false">IF(LEFT(AH167,8)="COMPLETE",1,0)</f>
        <v>0</v>
      </c>
      <c r="AK167" s="61" t="n">
        <f aca="false">IF(AND(AI167=1,AJ167=0,AsOfUTC&gt;Q167),1,0)</f>
        <v>0</v>
      </c>
      <c r="AL167" s="61" t="n">
        <f aca="false">IF(AND(AI167=1,OR(TRIM(U167)="Fail",AB167="Open",AND(ISNUMBER(AF167),AF167&lt;&gt;0,TRIM(U167)&lt;&gt;"Pass after CA"))),1,0)</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1</v>
      </c>
    </row>
    <row r="168" customFormat="false" ht="41.25" hidden="false" customHeight="true" outlineLevel="0" collapsed="false">
      <c r="A168" s="57" t="s">
        <v>672</v>
      </c>
      <c r="B168" s="57" t="s">
        <v>221</v>
      </c>
      <c r="C168" s="57" t="str">
        <f aca="false">Flights!$F$10</f>
        <v>MH0002</v>
      </c>
      <c r="D168" s="58" t="n">
        <f aca="false">Flights!$D$10</f>
        <v>46310</v>
      </c>
      <c r="E168" s="57" t="str">
        <f aca="false">Flights!$G$10&amp;"-"&amp;Flights!$H$10</f>
        <v>KUL-LHR</v>
      </c>
      <c r="F168" s="57" t="str">
        <f aca="false">Flights!$K$10</f>
        <v>BC</v>
      </c>
      <c r="G168" s="57" t="s">
        <v>74</v>
      </c>
      <c r="H168" s="57" t="s">
        <v>341</v>
      </c>
      <c r="I168" s="57" t="s">
        <v>352</v>
      </c>
      <c r="J168" s="57" t="s">
        <v>353</v>
      </c>
      <c r="K168" s="67" t="s">
        <v>354</v>
      </c>
      <c r="L168" s="67" t="s">
        <v>345</v>
      </c>
      <c r="M168" s="67"/>
      <c r="N168" s="67" t="str">
        <f aca="false">IF(TRIM(Flights!$L$10)="A339","Required","N/A – rule")</f>
        <v>N/A – rule</v>
      </c>
      <c r="O168" s="67" t="s">
        <v>355</v>
      </c>
      <c r="P168" s="57" t="s">
        <v>177</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IF(N168="N/A – rule","N/A – RULE",IF(TRIM(U168)="N/A",IF(AT168=0,"INVALID – N/A not permitted for this mandatory check",IF(AND(TRIM(AC168)&lt;&gt;"",TRIM(AE168)&lt;&gt;"",TRIM(T168)&lt;&gt;""),"N/A – JUSTIFIED","INVALID – N/A needs justification, PIC and verifier")),IF(OR(TRIM(U168)="Pass",TRIM(U168)="Pass after CA"),IF(NOT(ISNUMBER(AD168)),"INVALID – completion time missing",IF(TRIM(T168)="","INVALID – PIC missing",IF(TRIM(Z168)="","INVALID – evidence missing",IF(TRIM(AE168)="","INVALID – verifier missing",IF(AND(AQ168=1,TRIM(W168)=""),"INVALID – batch ID missing",IF(AND(AR168=1,OR(NOT(ISNUMBER(X168)),NOT(ISNUMBER(Y168)))),"INVALID – expected/actual qty missing",IF(IF(AND(TRIM(U168)="Pass",ISNUMBER(AF168)),IF(AF168&lt;&gt;0,"INVALID – qty variance: use Fail or Pass after CA",""),"")&amp;IF(AND(TRIM(U168)="Pass",AB168="Open"),"INVALID – corrective action still open: use Fail, then Pass after CA","")&amp;IF(AND(TRIM(U168)="Pass after CA",OR(TRIM(AA168)="",AB168&lt;&gt;"Closed")),"INVALID – corrective action not recorded/closed","")&lt;&gt;"",IF(AND(TRIM(U168)="Pass",ISNUMBER(AF168)),IF(AF168&lt;&gt;0,"INVALID – qty variance: use Fail or Pass after CA",""),"")&amp;IF(AND(TRIM(U168)="Pass",AB168="Open"),"INVALID – corrective action still open: use Fail, then Pass after CA","")&amp;IF(AND(TRIM(U168)="Pass after CA",OR(TRIM(AA168)="",AB168&lt;&gt;"Closed")),"INVALID – corrective action not recorded/closed",""),IF(AND(AS168=1,Documents!$J$10&lt;&gt;"ON FILE"),"INVALID – GLD not on file (Documents sheet)",IF(AND(AS168=2,Documents!$O$10&lt;&gt;"ON FILE"),"INVALID – menu checklist not on file (Documents sheet)",IF(AND(AS168=3,NOT(ISNUMBER(Flights!$AX$10))),"INVALID – enter carrying flight KUL departure (Flights AX)",IF(AG168&gt;AsOfUTC,"INVALID – completion time is in the future",IF(AND(ISNUMBER(S168),AG168&lt;S168),IF(H168="Physical uplift","INVALID – before uplift window (cannot confirm loading)","INVALID – before valid window"),IF(AG168&gt;Flights!$AA$10,"INVALID – completed after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f>
        <v>N/A – RULE</v>
      </c>
      <c r="AI168" s="61" t="n">
        <f aca="false">IF(OR(AH168="N/A – RULE",AH168="N/A – JUSTIFIED"),0,1)</f>
        <v>0</v>
      </c>
      <c r="AJ168" s="61" t="n">
        <f aca="false">IF(LEFT(AH168,8)="COMPLETE",1,0)</f>
        <v>0</v>
      </c>
      <c r="AK168" s="61" t="n">
        <f aca="false">IF(AND(AI168=1,AJ168=0,AsOfUTC&gt;Q168),1,0)</f>
        <v>0</v>
      </c>
      <c r="AL168" s="61" t="n">
        <f aca="false">IF(AND(AI168=1,OR(TRIM(U168)="Fail",AB168="Open",AND(ISNUMBER(AF168),AF168&lt;&gt;0,TRIM(U168)&lt;&gt;"Pass after CA"))),1,0)</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row>
    <row r="169" customFormat="false" ht="39.75" hidden="false" customHeight="true" outlineLevel="0" collapsed="false">
      <c r="A169" s="57" t="s">
        <v>673</v>
      </c>
      <c r="B169" s="57" t="s">
        <v>221</v>
      </c>
      <c r="C169" s="57" t="str">
        <f aca="false">Flights!$F$10</f>
        <v>MH0002</v>
      </c>
      <c r="D169" s="58" t="n">
        <f aca="false">Flights!$D$10</f>
        <v>46310</v>
      </c>
      <c r="E169" s="57" t="str">
        <f aca="false">Flights!$G$10&amp;"-"&amp;Flights!$H$10</f>
        <v>KUL-LHR</v>
      </c>
      <c r="F169" s="57" t="str">
        <f aca="false">Flights!$K$10</f>
        <v>BC</v>
      </c>
      <c r="G169" s="57" t="s">
        <v>74</v>
      </c>
      <c r="H169" s="57" t="s">
        <v>341</v>
      </c>
      <c r="I169" s="57" t="s">
        <v>357</v>
      </c>
      <c r="J169" s="57" t="s">
        <v>358</v>
      </c>
      <c r="K169" s="67" t="s">
        <v>359</v>
      </c>
      <c r="L169" s="67" t="s">
        <v>345</v>
      </c>
      <c r="M169" s="67"/>
      <c r="N169" s="67" t="s">
        <v>346</v>
      </c>
      <c r="O169" s="67"/>
      <c r="P169" s="57" t="s">
        <v>177</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IF(N169="N/A – rule","N/A – RULE",IF(TRIM(U169)="N/A",IF(AT169=0,"INVALID – N/A not permitted for this mandatory check",IF(AND(TRIM(AC169)&lt;&gt;"",TRIM(AE169)&lt;&gt;"",TRIM(T169)&lt;&gt;""),"N/A – JUSTIFIED","INVALID – N/A needs justification, PIC and verifier")),IF(OR(TRIM(U169)="Pass",TRIM(U169)="Pass after CA"),IF(NOT(ISNUMBER(AD169)),"INVALID – completion time missing",IF(TRIM(T169)="","INVALID – PIC missing",IF(TRIM(Z169)="","INVALID – evidence missing",IF(TRIM(AE169)="","INVALID – verifier missing",IF(AND(AQ169=1,TRIM(W169)=""),"INVALID – batch ID missing",IF(AND(AR169=1,OR(NOT(ISNUMBER(X169)),NOT(ISNUMBER(Y169)))),"INVALID – expected/actual qty missing",IF(IF(AND(TRIM(U169)="Pass",ISNUMBER(AF169)),IF(AF169&lt;&gt;0,"INVALID – qty variance: use Fail or Pass after CA",""),"")&amp;IF(AND(TRIM(U169)="Pass",AB169="Open"),"INVALID – corrective action still open: use Fail, then Pass after CA","")&amp;IF(AND(TRIM(U169)="Pass after CA",OR(TRIM(AA169)="",AB169&lt;&gt;"Closed")),"INVALID – corrective action not recorded/closed","")&lt;&gt;"",IF(AND(TRIM(U169)="Pass",ISNUMBER(AF169)),IF(AF169&lt;&gt;0,"INVALID – qty variance: use Fail or Pass after CA",""),"")&amp;IF(AND(TRIM(U169)="Pass",AB169="Open"),"INVALID – corrective action still open: use Fail, then Pass after CA","")&amp;IF(AND(TRIM(U169)="Pass after CA",OR(TRIM(AA169)="",AB169&lt;&gt;"Closed")),"INVALID – corrective action not recorded/closed",""),IF(AND(AS169=1,Documents!$J$10&lt;&gt;"ON FILE"),"INVALID – GLD not on file (Documents sheet)",IF(AND(AS169=2,Documents!$O$10&lt;&gt;"ON FILE"),"INVALID – menu checklist not on file (Documents sheet)",IF(AND(AS169=3,NOT(ISNUMBER(Flights!$AX$10))),"INVALID – enter carrying flight KUL departure (Flights AX)",IF(AG169&gt;AsOfUTC,"INVALID – completion time is in the future",IF(AND(ISNUMBER(S169),AG169&lt;S169),IF(H169="Physical uplift","INVALID – before uplift window (cannot confirm loading)","INVALID – before valid window"),IF(AG169&gt;Flights!$AA$10,"INVALID – completed after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f>
        <v>OPEN</v>
      </c>
      <c r="AI169" s="61" t="n">
        <f aca="false">IF(OR(AH169="N/A – RULE",AH169="N/A – JUSTIFIED"),0,1)</f>
        <v>1</v>
      </c>
      <c r="AJ169" s="61" t="n">
        <f aca="false">IF(LEFT(AH169,8)="COMPLETE",1,0)</f>
        <v>0</v>
      </c>
      <c r="AK169" s="61" t="n">
        <f aca="false">IF(AND(AI169=1,AJ169=0,AsOfUTC&gt;Q169),1,0)</f>
        <v>0</v>
      </c>
      <c r="AL169" s="61" t="n">
        <f aca="false">IF(AND(AI169=1,OR(TRIM(U169)="Fail",AB169="Open",AND(ISNUMBER(AF169),AF169&lt;&gt;0,TRIM(U169)&lt;&gt;"Pass after CA"))),1,0)</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row>
    <row r="170" customFormat="false" ht="39.75" hidden="false" customHeight="true" outlineLevel="0" collapsed="false">
      <c r="A170" s="57" t="s">
        <v>674</v>
      </c>
      <c r="B170" s="57" t="s">
        <v>221</v>
      </c>
      <c r="C170" s="57" t="str">
        <f aca="false">Flights!$F$10</f>
        <v>MH0002</v>
      </c>
      <c r="D170" s="58" t="n">
        <f aca="false">Flights!$D$10</f>
        <v>46310</v>
      </c>
      <c r="E170" s="57" t="str">
        <f aca="false">Flights!$G$10&amp;"-"&amp;Flights!$H$10</f>
        <v>KUL-LHR</v>
      </c>
      <c r="F170" s="57" t="str">
        <f aca="false">Flights!$K$10</f>
        <v>BC</v>
      </c>
      <c r="G170" s="57" t="s">
        <v>74</v>
      </c>
      <c r="H170" s="57" t="s">
        <v>341</v>
      </c>
      <c r="I170" s="57" t="s">
        <v>361</v>
      </c>
      <c r="J170" s="57" t="s">
        <v>362</v>
      </c>
      <c r="K170" s="67" t="s">
        <v>363</v>
      </c>
      <c r="L170" s="67" t="s">
        <v>345</v>
      </c>
      <c r="M170" s="67"/>
      <c r="N170" s="67" t="s">
        <v>346</v>
      </c>
      <c r="O170" s="67"/>
      <c r="P170" s="57" t="s">
        <v>177</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IF(N170="N/A – rule","N/A – RULE",IF(TRIM(U170)="N/A",IF(AT170=0,"INVALID – N/A not permitted for this mandatory check",IF(AND(TRIM(AC170)&lt;&gt;"",TRIM(AE170)&lt;&gt;"",TRIM(T170)&lt;&gt;""),"N/A – JUSTIFIED","INVALID – N/A needs justification, PIC and verifier")),IF(OR(TRIM(U170)="Pass",TRIM(U170)="Pass after CA"),IF(NOT(ISNUMBER(AD170)),"INVALID – completion time missing",IF(TRIM(T170)="","INVALID – PIC missing",IF(TRIM(Z170)="","INVALID – evidence missing",IF(TRIM(AE170)="","INVALID – verifier missing",IF(AND(AQ170=1,TRIM(W170)=""),"INVALID – batch ID missing",IF(AND(AR170=1,OR(NOT(ISNUMBER(X170)),NOT(ISNUMBER(Y170)))),"INVALID – expected/actual qty missing",IF(IF(AND(TRIM(U170)="Pass",ISNUMBER(AF170)),IF(AF170&lt;&gt;0,"INVALID – qty variance: use Fail or Pass after CA",""),"")&amp;IF(AND(TRIM(U170)="Pass",AB170="Open"),"INVALID – corrective action still open: use Fail, then Pass after CA","")&amp;IF(AND(TRIM(U170)="Pass after CA",OR(TRIM(AA170)="",AB170&lt;&gt;"Closed")),"INVALID – corrective action not recorded/closed","")&lt;&gt;"",IF(AND(TRIM(U170)="Pass",ISNUMBER(AF170)),IF(AF170&lt;&gt;0,"INVALID – qty variance: use Fail or Pass after CA",""),"")&amp;IF(AND(TRIM(U170)="Pass",AB170="Open"),"INVALID – corrective action still open: use Fail, then Pass after CA","")&amp;IF(AND(TRIM(U170)="Pass after CA",OR(TRIM(AA170)="",AB170&lt;&gt;"Closed")),"INVALID – corrective action not recorded/closed",""),IF(AND(AS170=1,Documents!$J$10&lt;&gt;"ON FILE"),"INVALID – GLD not on file (Documents sheet)",IF(AND(AS170=2,Documents!$O$10&lt;&gt;"ON FILE"),"INVALID – menu checklist not on file (Documents sheet)",IF(AND(AS170=3,NOT(ISNUMBER(Flights!$AX$10))),"INVALID – enter carrying flight KUL departure (Flights AX)",IF(AG170&gt;AsOfUTC,"INVALID – completion time is in the future",IF(AND(ISNUMBER(S170),AG170&lt;S170),IF(H170="Physical uplift","INVALID – before uplift window (cannot confirm loading)","INVALID – before valid window"),IF(AG170&gt;Flights!$AA$10,"INVALID – completed after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f>
        <v>OPEN</v>
      </c>
      <c r="AI170" s="61" t="n">
        <f aca="false">IF(OR(AH170="N/A – RULE",AH170="N/A – JUSTIFIED"),0,1)</f>
        <v>1</v>
      </c>
      <c r="AJ170" s="61" t="n">
        <f aca="false">IF(LEFT(AH170,8)="COMPLETE",1,0)</f>
        <v>0</v>
      </c>
      <c r="AK170" s="61" t="n">
        <f aca="false">IF(AND(AI170=1,AJ170=0,AsOfUTC&gt;Q170),1,0)</f>
        <v>0</v>
      </c>
      <c r="AL170" s="61" t="n">
        <f aca="false">IF(AND(AI170=1,OR(TRIM(U170)="Fail",AB170="Open",AND(ISNUMBER(AF170),AF170&lt;&gt;0,TRIM(U170)&lt;&gt;"Pass after CA"))),1,0)</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row>
    <row r="171" customFormat="false" ht="39.75" hidden="false" customHeight="true" outlineLevel="0" collapsed="false">
      <c r="A171" s="57" t="s">
        <v>675</v>
      </c>
      <c r="B171" s="57" t="s">
        <v>221</v>
      </c>
      <c r="C171" s="57" t="str">
        <f aca="false">Flights!$F$10</f>
        <v>MH0002</v>
      </c>
      <c r="D171" s="58" t="n">
        <f aca="false">Flights!$D$10</f>
        <v>46310</v>
      </c>
      <c r="E171" s="57" t="str">
        <f aca="false">Flights!$G$10&amp;"-"&amp;Flights!$H$10</f>
        <v>KUL-LHR</v>
      </c>
      <c r="F171" s="57" t="str">
        <f aca="false">Flights!$K$10</f>
        <v>BC</v>
      </c>
      <c r="G171" s="57" t="s">
        <v>74</v>
      </c>
      <c r="H171" s="57" t="s">
        <v>341</v>
      </c>
      <c r="I171" s="57" t="s">
        <v>361</v>
      </c>
      <c r="J171" s="57" t="s">
        <v>365</v>
      </c>
      <c r="K171" s="67" t="s">
        <v>366</v>
      </c>
      <c r="L171" s="67" t="s">
        <v>345</v>
      </c>
      <c r="M171" s="67"/>
      <c r="N171" s="67" t="s">
        <v>346</v>
      </c>
      <c r="O171" s="67"/>
      <c r="P171" s="57" t="s">
        <v>177</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IF(N171="N/A – rule","N/A – RULE",IF(TRIM(U171)="N/A",IF(AT171=0,"INVALID – N/A not permitted for this mandatory check",IF(AND(TRIM(AC171)&lt;&gt;"",TRIM(AE171)&lt;&gt;"",TRIM(T171)&lt;&gt;""),"N/A – JUSTIFIED","INVALID – N/A needs justification, PIC and verifier")),IF(OR(TRIM(U171)="Pass",TRIM(U171)="Pass after CA"),IF(NOT(ISNUMBER(AD171)),"INVALID – completion time missing",IF(TRIM(T171)="","INVALID – PIC missing",IF(TRIM(Z171)="","INVALID – evidence missing",IF(TRIM(AE171)="","INVALID – verifier missing",IF(AND(AQ171=1,TRIM(W171)=""),"INVALID – batch ID missing",IF(AND(AR171=1,OR(NOT(ISNUMBER(X171)),NOT(ISNUMBER(Y171)))),"INVALID – expected/actual qty missing",IF(IF(AND(TRIM(U171)="Pass",ISNUMBER(AF171)),IF(AF171&lt;&gt;0,"INVALID – qty variance: use Fail or Pass after CA",""),"")&amp;IF(AND(TRIM(U171)="Pass",AB171="Open"),"INVALID – corrective action still open: use Fail, then Pass after CA","")&amp;IF(AND(TRIM(U171)="Pass after CA",OR(TRIM(AA171)="",AB171&lt;&gt;"Closed")),"INVALID – corrective action not recorded/closed","")&lt;&gt;"",IF(AND(TRIM(U171)="Pass",ISNUMBER(AF171)),IF(AF171&lt;&gt;0,"INVALID – qty variance: use Fail or Pass after CA",""),"")&amp;IF(AND(TRIM(U171)="Pass",AB171="Open"),"INVALID – corrective action still open: use Fail, then Pass after CA","")&amp;IF(AND(TRIM(U171)="Pass after CA",OR(TRIM(AA171)="",AB171&lt;&gt;"Closed")),"INVALID – corrective action not recorded/closed",""),IF(AND(AS171=1,Documents!$J$10&lt;&gt;"ON FILE"),"INVALID – GLD not on file (Documents sheet)",IF(AND(AS171=2,Documents!$O$10&lt;&gt;"ON FILE"),"INVALID – menu checklist not on file (Documents sheet)",IF(AND(AS171=3,NOT(ISNUMBER(Flights!$AX$10))),"INVALID – enter carrying flight KUL departure (Flights AX)",IF(AG171&gt;AsOfUTC,"INVALID – completion time is in the future",IF(AND(ISNUMBER(S171),AG171&lt;S171),IF(H171="Physical uplift","INVALID – before uplift window (cannot confirm loading)","INVALID – before valid window"),IF(AG171&gt;Flights!$AA$10,"INVALID – completed after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f>
        <v>OPEN</v>
      </c>
      <c r="AI171" s="61" t="n">
        <f aca="false">IF(OR(AH171="N/A – RULE",AH171="N/A – JUSTIFIED"),0,1)</f>
        <v>1</v>
      </c>
      <c r="AJ171" s="61" t="n">
        <f aca="false">IF(LEFT(AH171,8)="COMPLETE",1,0)</f>
        <v>0</v>
      </c>
      <c r="AK171" s="61" t="n">
        <f aca="false">IF(AND(AI171=1,AJ171=0,AsOfUTC&gt;Q171),1,0)</f>
        <v>0</v>
      </c>
      <c r="AL171" s="61" t="n">
        <f aca="false">IF(AND(AI171=1,OR(TRIM(U171)="Fail",AB171="Open",AND(ISNUMBER(AF171),AF171&lt;&gt;0,TRIM(U171)&lt;&gt;"Pass after CA"))),1,0)</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row>
    <row r="172" customFormat="false" ht="39.75" hidden="false" customHeight="true" outlineLevel="0" collapsed="false">
      <c r="A172" s="57" t="s">
        <v>676</v>
      </c>
      <c r="B172" s="57" t="s">
        <v>221</v>
      </c>
      <c r="C172" s="57" t="str">
        <f aca="false">Flights!$F$10</f>
        <v>MH0002</v>
      </c>
      <c r="D172" s="58" t="n">
        <f aca="false">Flights!$D$10</f>
        <v>46310</v>
      </c>
      <c r="E172" s="57" t="str">
        <f aca="false">Flights!$G$10&amp;"-"&amp;Flights!$H$10</f>
        <v>KUL-LHR</v>
      </c>
      <c r="F172" s="57" t="str">
        <f aca="false">Flights!$K$10</f>
        <v>BC</v>
      </c>
      <c r="G172" s="57" t="s">
        <v>74</v>
      </c>
      <c r="H172" s="57" t="s">
        <v>341</v>
      </c>
      <c r="I172" s="57" t="s">
        <v>368</v>
      </c>
      <c r="J172" s="57" t="s">
        <v>369</v>
      </c>
      <c r="K172" s="67" t="s">
        <v>370</v>
      </c>
      <c r="L172" s="67" t="s">
        <v>345</v>
      </c>
      <c r="M172" s="67"/>
      <c r="N172" s="67" t="s">
        <v>346</v>
      </c>
      <c r="O172" s="67"/>
      <c r="P172" s="57" t="s">
        <v>177</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IF(N172="N/A – rule","N/A – RULE",IF(TRIM(U172)="N/A",IF(AT172=0,"INVALID – N/A not permitted for this mandatory check",IF(AND(TRIM(AC172)&lt;&gt;"",TRIM(AE172)&lt;&gt;"",TRIM(T172)&lt;&gt;""),"N/A – JUSTIFIED","INVALID – N/A needs justification, PIC and verifier")),IF(OR(TRIM(U172)="Pass",TRIM(U172)="Pass after CA"),IF(NOT(ISNUMBER(AD172)),"INVALID – completion time missing",IF(TRIM(T172)="","INVALID – PIC missing",IF(TRIM(Z172)="","INVALID – evidence missing",IF(TRIM(AE172)="","INVALID – verifier missing",IF(AND(AQ172=1,TRIM(W172)=""),"INVALID – batch ID missing",IF(AND(AR172=1,OR(NOT(ISNUMBER(X172)),NOT(ISNUMBER(Y172)))),"INVALID – expected/actual qty missing",IF(IF(AND(TRIM(U172)="Pass",ISNUMBER(AF172)),IF(AF172&lt;&gt;0,"INVALID – qty variance: use Fail or Pass after CA",""),"")&amp;IF(AND(TRIM(U172)="Pass",AB172="Open"),"INVALID – corrective action still open: use Fail, then Pass after CA","")&amp;IF(AND(TRIM(U172)="Pass after CA",OR(TRIM(AA172)="",AB172&lt;&gt;"Closed")),"INVALID – corrective action not recorded/closed","")&lt;&gt;"",IF(AND(TRIM(U172)="Pass",ISNUMBER(AF172)),IF(AF172&lt;&gt;0,"INVALID – qty variance: use Fail or Pass after CA",""),"")&amp;IF(AND(TRIM(U172)="Pass",AB172="Open"),"INVALID – corrective action still open: use Fail, then Pass after CA","")&amp;IF(AND(TRIM(U172)="Pass after CA",OR(TRIM(AA172)="",AB172&lt;&gt;"Closed")),"INVALID – corrective action not recorded/closed",""),IF(AND(AS172=1,Documents!$J$10&lt;&gt;"ON FILE"),"INVALID – GLD not on file (Documents sheet)",IF(AND(AS172=2,Documents!$O$10&lt;&gt;"ON FILE"),"INVALID – menu checklist not on file (Documents sheet)",IF(AND(AS172=3,NOT(ISNUMBER(Flights!$AX$10))),"INVALID – enter carrying flight KUL departure (Flights AX)",IF(AG172&gt;AsOfUTC,"INVALID – completion time is in the future",IF(AND(ISNUMBER(S172),AG172&lt;S172),IF(H172="Physical uplift","INVALID – before uplift window (cannot confirm loading)","INVALID – before valid window"),IF(AG172&gt;Flights!$AA$10,"INVALID – completed after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f>
        <v>OPEN</v>
      </c>
      <c r="AI172" s="61" t="n">
        <f aca="false">IF(OR(AH172="N/A – RULE",AH172="N/A – JUSTIFIED"),0,1)</f>
        <v>1</v>
      </c>
      <c r="AJ172" s="61" t="n">
        <f aca="false">IF(LEFT(AH172,8)="COMPLETE",1,0)</f>
        <v>0</v>
      </c>
      <c r="AK172" s="61" t="n">
        <f aca="false">IF(AND(AI172=1,AJ172=0,AsOfUTC&gt;Q172),1,0)</f>
        <v>0</v>
      </c>
      <c r="AL172" s="61" t="n">
        <f aca="false">IF(AND(AI172=1,OR(TRIM(U172)="Fail",AB172="Open",AND(ISNUMBER(AF172),AF172&lt;&gt;0,TRIM(U172)&lt;&gt;"Pass after CA"))),1,0)</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row>
    <row r="173" customFormat="false" ht="39.75" hidden="false" customHeight="true" outlineLevel="0" collapsed="false">
      <c r="A173" s="57" t="s">
        <v>677</v>
      </c>
      <c r="B173" s="57" t="s">
        <v>221</v>
      </c>
      <c r="C173" s="57" t="str">
        <f aca="false">Flights!$F$10</f>
        <v>MH0002</v>
      </c>
      <c r="D173" s="58" t="n">
        <f aca="false">Flights!$D$10</f>
        <v>46310</v>
      </c>
      <c r="E173" s="57" t="str">
        <f aca="false">Flights!$G$10&amp;"-"&amp;Flights!$H$10</f>
        <v>KUL-LHR</v>
      </c>
      <c r="F173" s="57" t="str">
        <f aca="false">Flights!$K$10</f>
        <v>BC</v>
      </c>
      <c r="G173" s="57" t="s">
        <v>74</v>
      </c>
      <c r="H173" s="57" t="s">
        <v>341</v>
      </c>
      <c r="I173" s="57" t="s">
        <v>368</v>
      </c>
      <c r="J173" s="57" t="s">
        <v>372</v>
      </c>
      <c r="K173" s="67" t="s">
        <v>370</v>
      </c>
      <c r="L173" s="67" t="s">
        <v>345</v>
      </c>
      <c r="M173" s="67"/>
      <c r="N173" s="67" t="s">
        <v>346</v>
      </c>
      <c r="O173" s="67"/>
      <c r="P173" s="57" t="s">
        <v>177</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IF(N173="N/A – rule","N/A – RULE",IF(TRIM(U173)="N/A",IF(AT173=0,"INVALID – N/A not permitted for this mandatory check",IF(AND(TRIM(AC173)&lt;&gt;"",TRIM(AE173)&lt;&gt;"",TRIM(T173)&lt;&gt;""),"N/A – JUSTIFIED","INVALID – N/A needs justification, PIC and verifier")),IF(OR(TRIM(U173)="Pass",TRIM(U173)="Pass after CA"),IF(NOT(ISNUMBER(AD173)),"INVALID – completion time missing",IF(TRIM(T173)="","INVALID – PIC missing",IF(TRIM(Z173)="","INVALID – evidence missing",IF(TRIM(AE173)="","INVALID – verifier missing",IF(AND(AQ173=1,TRIM(W173)=""),"INVALID – batch ID missing",IF(AND(AR173=1,OR(NOT(ISNUMBER(X173)),NOT(ISNUMBER(Y173)))),"INVALID – expected/actual qty missing",IF(IF(AND(TRIM(U173)="Pass",ISNUMBER(AF173)),IF(AF173&lt;&gt;0,"INVALID – qty variance: use Fail or Pass after CA",""),"")&amp;IF(AND(TRIM(U173)="Pass",AB173="Open"),"INVALID – corrective action still open: use Fail, then Pass after CA","")&amp;IF(AND(TRIM(U173)="Pass after CA",OR(TRIM(AA173)="",AB173&lt;&gt;"Closed")),"INVALID – corrective action not recorded/closed","")&lt;&gt;"",IF(AND(TRIM(U173)="Pass",ISNUMBER(AF173)),IF(AF173&lt;&gt;0,"INVALID – qty variance: use Fail or Pass after CA",""),"")&amp;IF(AND(TRIM(U173)="Pass",AB173="Open"),"INVALID – corrective action still open: use Fail, then Pass after CA","")&amp;IF(AND(TRIM(U173)="Pass after CA",OR(TRIM(AA173)="",AB173&lt;&gt;"Closed")),"INVALID – corrective action not recorded/closed",""),IF(AND(AS173=1,Documents!$J$10&lt;&gt;"ON FILE"),"INVALID – GLD not on file (Documents sheet)",IF(AND(AS173=2,Documents!$O$10&lt;&gt;"ON FILE"),"INVALID – menu checklist not on file (Documents sheet)",IF(AND(AS173=3,NOT(ISNUMBER(Flights!$AX$10))),"INVALID – enter carrying flight KUL departure (Flights AX)",IF(AG173&gt;AsOfUTC,"INVALID – completion time is in the future",IF(AND(ISNUMBER(S173),AG173&lt;S173),IF(H173="Physical uplift","INVALID – before uplift window (cannot confirm loading)","INVALID – before valid window"),IF(AG173&gt;Flights!$AA$10,"INVALID – completed after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f>
        <v>OPEN</v>
      </c>
      <c r="AI173" s="61" t="n">
        <f aca="false">IF(OR(AH173="N/A – RULE",AH173="N/A – JUSTIFIED"),0,1)</f>
        <v>1</v>
      </c>
      <c r="AJ173" s="61" t="n">
        <f aca="false">IF(LEFT(AH173,8)="COMPLETE",1,0)</f>
        <v>0</v>
      </c>
      <c r="AK173" s="61" t="n">
        <f aca="false">IF(AND(AI173=1,AJ173=0,AsOfUTC&gt;Q173),1,0)</f>
        <v>0</v>
      </c>
      <c r="AL173" s="61" t="n">
        <f aca="false">IF(AND(AI173=1,OR(TRIM(U173)="Fail",AB173="Open",AND(ISNUMBER(AF173),AF173&lt;&gt;0,TRIM(U173)&lt;&gt;"Pass after CA"))),1,0)</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row>
    <row r="174" customFormat="false" ht="39.75" hidden="false" customHeight="true" outlineLevel="0" collapsed="false">
      <c r="A174" s="57" t="s">
        <v>678</v>
      </c>
      <c r="B174" s="57" t="s">
        <v>221</v>
      </c>
      <c r="C174" s="57" t="str">
        <f aca="false">Flights!$F$10</f>
        <v>MH0002</v>
      </c>
      <c r="D174" s="58" t="n">
        <f aca="false">Flights!$D$10</f>
        <v>46310</v>
      </c>
      <c r="E174" s="57" t="str">
        <f aca="false">Flights!$G$10&amp;"-"&amp;Flights!$H$10</f>
        <v>KUL-LHR</v>
      </c>
      <c r="F174" s="57" t="str">
        <f aca="false">Flights!$K$10</f>
        <v>BC</v>
      </c>
      <c r="G174" s="57" t="s">
        <v>74</v>
      </c>
      <c r="H174" s="57" t="s">
        <v>341</v>
      </c>
      <c r="I174" s="57" t="s">
        <v>374</v>
      </c>
      <c r="J174" s="57" t="s">
        <v>375</v>
      </c>
      <c r="K174" s="67" t="s">
        <v>679</v>
      </c>
      <c r="L174" s="67" t="s">
        <v>377</v>
      </c>
      <c r="M174" s="67"/>
      <c r="N174" s="67" t="s">
        <v>346</v>
      </c>
      <c r="O174" s="67"/>
      <c r="P174" s="57" t="s">
        <v>177</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IF(N174="N/A – rule","N/A – RULE",IF(TRIM(U174)="N/A",IF(AT174=0,"INVALID – N/A not permitted for this mandatory check",IF(AND(TRIM(AC174)&lt;&gt;"",TRIM(AE174)&lt;&gt;"",TRIM(T174)&lt;&gt;""),"N/A – JUSTIFIED","INVALID – N/A needs justification, PIC and verifier")),IF(OR(TRIM(U174)="Pass",TRIM(U174)="Pass after CA"),IF(NOT(ISNUMBER(AD174)),"INVALID – completion time missing",IF(TRIM(T174)="","INVALID – PIC missing",IF(TRIM(Z174)="","INVALID – evidence missing",IF(TRIM(AE174)="","INVALID – verifier missing",IF(AND(AQ174=1,TRIM(W174)=""),"INVALID – batch ID missing",IF(AND(AR174=1,OR(NOT(ISNUMBER(X174)),NOT(ISNUMBER(Y174)))),"INVALID – expected/actual qty missing",IF(IF(AND(TRIM(U174)="Pass",ISNUMBER(AF174)),IF(AF174&lt;&gt;0,"INVALID – qty variance: use Fail or Pass after CA",""),"")&amp;IF(AND(TRIM(U174)="Pass",AB174="Open"),"INVALID – corrective action still open: use Fail, then Pass after CA","")&amp;IF(AND(TRIM(U174)="Pass after CA",OR(TRIM(AA174)="",AB174&lt;&gt;"Closed")),"INVALID – corrective action not recorded/closed","")&lt;&gt;"",IF(AND(TRIM(U174)="Pass",ISNUMBER(AF174)),IF(AF174&lt;&gt;0,"INVALID – qty variance: use Fail or Pass after CA",""),"")&amp;IF(AND(TRIM(U174)="Pass",AB174="Open"),"INVALID – corrective action still open: use Fail, then Pass after CA","")&amp;IF(AND(TRIM(U174)="Pass after CA",OR(TRIM(AA174)="",AB174&lt;&gt;"Closed")),"INVALID – corrective action not recorded/closed",""),IF(AND(AS174=1,Documents!$J$10&lt;&gt;"ON FILE"),"INVALID – GLD not on file (Documents sheet)",IF(AND(AS174=2,Documents!$O$10&lt;&gt;"ON FILE"),"INVALID – menu checklist not on file (Documents sheet)",IF(AND(AS174=3,NOT(ISNUMBER(Flights!$AX$10))),"INVALID – enter carrying flight KUL departure (Flights AX)",IF(AG174&gt;AsOfUTC,"INVALID – completion time is in the future",IF(AND(ISNUMBER(S174),AG174&lt;S174),IF(H174="Physical uplift","INVALID – before uplift window (cannot confirm loading)","INVALID – before valid window"),IF(AG174&gt;Flights!$AA$10,"INVALID – completed after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f>
        <v>OPEN</v>
      </c>
      <c r="AI174" s="61" t="n">
        <f aca="false">IF(OR(AH174="N/A – RULE",AH174="N/A – JUSTIFIED"),0,1)</f>
        <v>1</v>
      </c>
      <c r="AJ174" s="61" t="n">
        <f aca="false">IF(LEFT(AH174,8)="COMPLETE",1,0)</f>
        <v>0</v>
      </c>
      <c r="AK174" s="61" t="n">
        <f aca="false">IF(AND(AI174=1,AJ174=0,AsOfUTC&gt;Q174),1,0)</f>
        <v>0</v>
      </c>
      <c r="AL174" s="61" t="n">
        <f aca="false">IF(AND(AI174=1,OR(TRIM(U174)="Fail",AB174="Open",AND(ISNUMBER(AF174),AF174&lt;&gt;0,TRIM(U174)&lt;&gt;"Pass after CA"))),1,0)</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row>
    <row r="175" customFormat="false" ht="39.75" hidden="false" customHeight="true" outlineLevel="0" collapsed="false">
      <c r="A175" s="57" t="s">
        <v>680</v>
      </c>
      <c r="B175" s="57" t="s">
        <v>221</v>
      </c>
      <c r="C175" s="57" t="str">
        <f aca="false">Flights!$F$10</f>
        <v>MH0002</v>
      </c>
      <c r="D175" s="58" t="n">
        <f aca="false">Flights!$D$10</f>
        <v>46310</v>
      </c>
      <c r="E175" s="57" t="str">
        <f aca="false">Flights!$G$10&amp;"-"&amp;Flights!$H$10</f>
        <v>KUL-LHR</v>
      </c>
      <c r="F175" s="57" t="str">
        <f aca="false">Flights!$K$10</f>
        <v>BC</v>
      </c>
      <c r="G175" s="57" t="s">
        <v>76</v>
      </c>
      <c r="H175" s="57" t="s">
        <v>341</v>
      </c>
      <c r="I175" s="57" t="s">
        <v>342</v>
      </c>
      <c r="J175" s="57" t="s">
        <v>379</v>
      </c>
      <c r="K175" s="67" t="s">
        <v>380</v>
      </c>
      <c r="L175" s="67" t="s">
        <v>381</v>
      </c>
      <c r="M175" s="67"/>
      <c r="N175" s="67" t="s">
        <v>346</v>
      </c>
      <c r="O175" s="67"/>
      <c r="P175" s="57" t="s">
        <v>177</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IF(N175="N/A – rule","N/A – RULE",IF(TRIM(U175)="N/A",IF(AT175=0,"INVALID – N/A not permitted for this mandatory check",IF(AND(TRIM(AC175)&lt;&gt;"",TRIM(AE175)&lt;&gt;"",TRIM(T175)&lt;&gt;""),"N/A – JUSTIFIED","INVALID – N/A needs justification, PIC and verifier")),IF(OR(TRIM(U175)="Pass",TRIM(U175)="Pass after CA"),IF(NOT(ISNUMBER(AD175)),"INVALID – completion time missing",IF(TRIM(T175)="","INVALID – PIC missing",IF(TRIM(Z175)="","INVALID – evidence missing",IF(TRIM(AE175)="","INVALID – verifier missing",IF(AND(AQ175=1,TRIM(W175)=""),"INVALID – batch ID missing",IF(AND(AR175=1,OR(NOT(ISNUMBER(X175)),NOT(ISNUMBER(Y175)))),"INVALID – expected/actual qty missing",IF(IF(AND(TRIM(U175)="Pass",ISNUMBER(AF175)),IF(AF175&lt;&gt;0,"INVALID – qty variance: use Fail or Pass after CA",""),"")&amp;IF(AND(TRIM(U175)="Pass",AB175="Open"),"INVALID – corrective action still open: use Fail, then Pass after CA","")&amp;IF(AND(TRIM(U175)="Pass after CA",OR(TRIM(AA175)="",AB175&lt;&gt;"Closed")),"INVALID – corrective action not recorded/closed","")&lt;&gt;"",IF(AND(TRIM(U175)="Pass",ISNUMBER(AF175)),IF(AF175&lt;&gt;0,"INVALID – qty variance: use Fail or Pass after CA",""),"")&amp;IF(AND(TRIM(U175)="Pass",AB175="Open"),"INVALID – corrective action still open: use Fail, then Pass after CA","")&amp;IF(AND(TRIM(U175)="Pass after CA",OR(TRIM(AA175)="",AB175&lt;&gt;"Closed")),"INVALID – corrective action not recorded/closed",""),IF(AND(AS175=1,Documents!$J$10&lt;&gt;"ON FILE"),"INVALID – GLD not on file (Documents sheet)",IF(AND(AS175=2,Documents!$O$10&lt;&gt;"ON FILE"),"INVALID – menu checklist not on file (Documents sheet)",IF(AND(AS175=3,NOT(ISNUMBER(Flights!$AX$10))),"INVALID – enter carrying flight KUL departure (Flights AX)",IF(AG175&gt;AsOfUTC,"INVALID – completion time is in the future",IF(AND(ISNUMBER(S175),AG175&lt;S175),IF(H175="Physical uplift","INVALID – before uplift window (cannot confirm loading)","INVALID – before valid window"),IF(AG175&gt;Flights!$AA$10,"INVALID – completed after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f>
        <v>OPEN</v>
      </c>
      <c r="AI175" s="61" t="n">
        <f aca="false">IF(OR(AH175="N/A – RULE",AH175="N/A – JUSTIFIED"),0,1)</f>
        <v>1</v>
      </c>
      <c r="AJ175" s="61" t="n">
        <f aca="false">IF(LEFT(AH175,8)="COMPLETE",1,0)</f>
        <v>0</v>
      </c>
      <c r="AK175" s="61" t="n">
        <f aca="false">IF(AND(AI175=1,AJ175=0,AsOfUTC&gt;Q175),1,0)</f>
        <v>0</v>
      </c>
      <c r="AL175" s="61" t="n">
        <f aca="false">IF(AND(AI175=1,OR(TRIM(U175)="Fail",AB175="Open",AND(ISNUMBER(AF175),AF175&lt;&gt;0,TRIM(U175)&lt;&gt;"Pass after CA"))),1,0)</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row>
    <row r="176" customFormat="false" ht="39.75" hidden="false" customHeight="true" outlineLevel="0" collapsed="false">
      <c r="A176" s="57" t="s">
        <v>681</v>
      </c>
      <c r="B176" s="57" t="s">
        <v>221</v>
      </c>
      <c r="C176" s="57" t="str">
        <f aca="false">Flights!$F$10</f>
        <v>MH0002</v>
      </c>
      <c r="D176" s="58" t="n">
        <f aca="false">Flights!$D$10</f>
        <v>46310</v>
      </c>
      <c r="E176" s="57" t="str">
        <f aca="false">Flights!$G$10&amp;"-"&amp;Flights!$H$10</f>
        <v>KUL-LHR</v>
      </c>
      <c r="F176" s="57" t="str">
        <f aca="false">Flights!$K$10</f>
        <v>BC</v>
      </c>
      <c r="G176" s="57" t="s">
        <v>383</v>
      </c>
      <c r="H176" s="57" t="s">
        <v>341</v>
      </c>
      <c r="I176" s="57" t="s">
        <v>342</v>
      </c>
      <c r="J176" s="57" t="s">
        <v>384</v>
      </c>
      <c r="K176" s="67"/>
      <c r="L176" s="67" t="s">
        <v>385</v>
      </c>
      <c r="M176" s="67"/>
      <c r="N176" s="67" t="s">
        <v>346</v>
      </c>
      <c r="O176" s="67" t="s">
        <v>386</v>
      </c>
      <c r="P176" s="57" t="s">
        <v>177</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IF(N176="N/A – rule","N/A – RULE",IF(TRIM(U176)="N/A",IF(AT176=0,"INVALID – N/A not permitted for this mandatory check",IF(AND(TRIM(AC176)&lt;&gt;"",TRIM(AE176)&lt;&gt;"",TRIM(T176)&lt;&gt;""),"N/A – JUSTIFIED","INVALID – N/A needs justification, PIC and verifier")),IF(OR(TRIM(U176)="Pass",TRIM(U176)="Pass after CA"),IF(NOT(ISNUMBER(AD176)),"INVALID – completion time missing",IF(TRIM(T176)="","INVALID – PIC missing",IF(TRIM(Z176)="","INVALID – evidence missing",IF(TRIM(AE176)="","INVALID – verifier missing",IF(AND(AQ176=1,TRIM(W176)=""),"INVALID – batch ID missing",IF(AND(AR176=1,OR(NOT(ISNUMBER(X176)),NOT(ISNUMBER(Y176)))),"INVALID – expected/actual qty missing",IF(IF(AND(TRIM(U176)="Pass",ISNUMBER(AF176)),IF(AF176&lt;&gt;0,"INVALID – qty variance: use Fail or Pass after CA",""),"")&amp;IF(AND(TRIM(U176)="Pass",AB176="Open"),"INVALID – corrective action still open: use Fail, then Pass after CA","")&amp;IF(AND(TRIM(U176)="Pass after CA",OR(TRIM(AA176)="",AB176&lt;&gt;"Closed")),"INVALID – corrective action not recorded/closed","")&lt;&gt;"",IF(AND(TRIM(U176)="Pass",ISNUMBER(AF176)),IF(AF176&lt;&gt;0,"INVALID – qty variance: use Fail or Pass after CA",""),"")&amp;IF(AND(TRIM(U176)="Pass",AB176="Open"),"INVALID – corrective action still open: use Fail, then Pass after CA","")&amp;IF(AND(TRIM(U176)="Pass after CA",OR(TRIM(AA176)="",AB176&lt;&gt;"Closed")),"INVALID – corrective action not recorded/closed",""),IF(AND(AS176=1,Documents!$J$10&lt;&gt;"ON FILE"),"INVALID – GLD not on file (Documents sheet)",IF(AND(AS176=2,Documents!$O$10&lt;&gt;"ON FILE"),"INVALID – menu checklist not on file (Documents sheet)",IF(AND(AS176=3,NOT(ISNUMBER(Flights!$AX$10))),"INVALID – enter carrying flight KUL departure (Flights AX)",IF(AG176&gt;AsOfUTC,"INVALID – completion time is in the future",IF(AND(ISNUMBER(S176),AG176&lt;S176),IF(H176="Physical uplift","INVALID – before uplift window (cannot confirm loading)","INVALID – before valid window"),IF(AG176&gt;Flights!$AA$10,"INVALID – completed after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f>
        <v>OPEN</v>
      </c>
      <c r="AI176" s="61" t="n">
        <f aca="false">IF(OR(AH176="N/A – RULE",AH176="N/A – JUSTIFIED"),0,1)</f>
        <v>1</v>
      </c>
      <c r="AJ176" s="61" t="n">
        <f aca="false">IF(LEFT(AH176,8)="COMPLETE",1,0)</f>
        <v>0</v>
      </c>
      <c r="AK176" s="61" t="n">
        <f aca="false">IF(AND(AI176=1,AJ176=0,AsOfUTC&gt;Q176),1,0)</f>
        <v>0</v>
      </c>
      <c r="AL176" s="61" t="n">
        <f aca="false">IF(AND(AI176=1,OR(TRIM(U176)="Fail",AB176="Open",AND(ISNUMBER(AF176),AF176&lt;&gt;0,TRIM(U176)&lt;&gt;"Pass after CA"))),1,0)</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row>
    <row r="177" customFormat="false" ht="39.75" hidden="false" customHeight="true" outlineLevel="0" collapsed="false">
      <c r="A177" s="57" t="s">
        <v>682</v>
      </c>
      <c r="B177" s="57" t="s">
        <v>221</v>
      </c>
      <c r="C177" s="57" t="str">
        <f aca="false">Flights!$F$10</f>
        <v>MH0002</v>
      </c>
      <c r="D177" s="58" t="n">
        <f aca="false">Flights!$D$10</f>
        <v>46310</v>
      </c>
      <c r="E177" s="57" t="str">
        <f aca="false">Flights!$G$10&amp;"-"&amp;Flights!$H$10</f>
        <v>KUL-LHR</v>
      </c>
      <c r="F177" s="57" t="str">
        <f aca="false">Flights!$K$10</f>
        <v>BC</v>
      </c>
      <c r="G177" s="57" t="s">
        <v>383</v>
      </c>
      <c r="H177" s="57" t="s">
        <v>341</v>
      </c>
      <c r="I177" s="57" t="s">
        <v>342</v>
      </c>
      <c r="J177" s="57" t="s">
        <v>388</v>
      </c>
      <c r="K177" s="67" t="s">
        <v>389</v>
      </c>
      <c r="L177" s="67" t="s">
        <v>385</v>
      </c>
      <c r="M177" s="67"/>
      <c r="N177" s="67" t="s">
        <v>346</v>
      </c>
      <c r="O177" s="67" t="s">
        <v>386</v>
      </c>
      <c r="P177" s="57" t="s">
        <v>177</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IF(N177="N/A – rule","N/A – RULE",IF(TRIM(U177)="N/A",IF(AT177=0,"INVALID – N/A not permitted for this mandatory check",IF(AND(TRIM(AC177)&lt;&gt;"",TRIM(AE177)&lt;&gt;"",TRIM(T177)&lt;&gt;""),"N/A – JUSTIFIED","INVALID – N/A needs justification, PIC and verifier")),IF(OR(TRIM(U177)="Pass",TRIM(U177)="Pass after CA"),IF(NOT(ISNUMBER(AD177)),"INVALID – completion time missing",IF(TRIM(T177)="","INVALID – PIC missing",IF(TRIM(Z177)="","INVALID – evidence missing",IF(TRIM(AE177)="","INVALID – verifier missing",IF(AND(AQ177=1,TRIM(W177)=""),"INVALID – batch ID missing",IF(AND(AR177=1,OR(NOT(ISNUMBER(X177)),NOT(ISNUMBER(Y177)))),"INVALID – expected/actual qty missing",IF(IF(AND(TRIM(U177)="Pass",ISNUMBER(AF177)),IF(AF177&lt;&gt;0,"INVALID – qty variance: use Fail or Pass after CA",""),"")&amp;IF(AND(TRIM(U177)="Pass",AB177="Open"),"INVALID – corrective action still open: use Fail, then Pass after CA","")&amp;IF(AND(TRIM(U177)="Pass after CA",OR(TRIM(AA177)="",AB177&lt;&gt;"Closed")),"INVALID – corrective action not recorded/closed","")&lt;&gt;"",IF(AND(TRIM(U177)="Pass",ISNUMBER(AF177)),IF(AF177&lt;&gt;0,"INVALID – qty variance: use Fail or Pass after CA",""),"")&amp;IF(AND(TRIM(U177)="Pass",AB177="Open"),"INVALID – corrective action still open: use Fail, then Pass after CA","")&amp;IF(AND(TRIM(U177)="Pass after CA",OR(TRIM(AA177)="",AB177&lt;&gt;"Closed")),"INVALID – corrective action not recorded/closed",""),IF(AND(AS177=1,Documents!$J$10&lt;&gt;"ON FILE"),"INVALID – GLD not on file (Documents sheet)",IF(AND(AS177=2,Documents!$O$10&lt;&gt;"ON FILE"),"INVALID – menu checklist not on file (Documents sheet)",IF(AND(AS177=3,NOT(ISNUMBER(Flights!$AX$10))),"INVALID – enter carrying flight KUL departure (Flights AX)",IF(AG177&gt;AsOfUTC,"INVALID – completion time is in the future",IF(AND(ISNUMBER(S177),AG177&lt;S177),IF(H177="Physical uplift","INVALID – before uplift window (cannot confirm loading)","INVALID – before valid window"),IF(AG177&gt;Flights!$AA$10,"INVALID – completed after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f>
        <v>OPEN</v>
      </c>
      <c r="AI177" s="61" t="n">
        <f aca="false">IF(OR(AH177="N/A – RULE",AH177="N/A – JUSTIFIED"),0,1)</f>
        <v>1</v>
      </c>
      <c r="AJ177" s="61" t="n">
        <f aca="false">IF(LEFT(AH177,8)="COMPLETE",1,0)</f>
        <v>0</v>
      </c>
      <c r="AK177" s="61" t="n">
        <f aca="false">IF(AND(AI177=1,AJ177=0,AsOfUTC&gt;Q177),1,0)</f>
        <v>0</v>
      </c>
      <c r="AL177" s="61" t="n">
        <f aca="false">IF(AND(AI177=1,OR(TRIM(U177)="Fail",AB177="Open",AND(ISNUMBER(AF177),AF177&lt;&gt;0,TRIM(U177)&lt;&gt;"Pass after CA"))),1,0)</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row>
    <row r="178" customFormat="false" ht="39.75" hidden="false" customHeight="true" outlineLevel="0" collapsed="false">
      <c r="A178" s="57" t="s">
        <v>683</v>
      </c>
      <c r="B178" s="57" t="s">
        <v>221</v>
      </c>
      <c r="C178" s="57" t="str">
        <f aca="false">Flights!$F$10</f>
        <v>MH0002</v>
      </c>
      <c r="D178" s="58" t="n">
        <f aca="false">Flights!$D$10</f>
        <v>46310</v>
      </c>
      <c r="E178" s="57" t="str">
        <f aca="false">Flights!$G$10&amp;"-"&amp;Flights!$H$10</f>
        <v>KUL-LHR</v>
      </c>
      <c r="F178" s="57" t="str">
        <f aca="false">Flights!$K$10</f>
        <v>BC</v>
      </c>
      <c r="G178" s="57" t="s">
        <v>383</v>
      </c>
      <c r="H178" s="57" t="s">
        <v>341</v>
      </c>
      <c r="I178" s="57" t="s">
        <v>391</v>
      </c>
      <c r="J178" s="57" t="s">
        <v>392</v>
      </c>
      <c r="K178" s="67"/>
      <c r="L178" s="67" t="s">
        <v>385</v>
      </c>
      <c r="M178" s="67"/>
      <c r="N178" s="67" t="s">
        <v>346</v>
      </c>
      <c r="O178" s="67" t="s">
        <v>386</v>
      </c>
      <c r="P178" s="57" t="s">
        <v>177</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IF(N178="N/A – rule","N/A – RULE",IF(TRIM(U178)="N/A",IF(AT178=0,"INVALID – N/A not permitted for this mandatory check",IF(AND(TRIM(AC178)&lt;&gt;"",TRIM(AE178)&lt;&gt;"",TRIM(T178)&lt;&gt;""),"N/A – JUSTIFIED","INVALID – N/A needs justification, PIC and verifier")),IF(OR(TRIM(U178)="Pass",TRIM(U178)="Pass after CA"),IF(NOT(ISNUMBER(AD178)),"INVALID – completion time missing",IF(TRIM(T178)="","INVALID – PIC missing",IF(TRIM(Z178)="","INVALID – evidence missing",IF(TRIM(AE178)="","INVALID – verifier missing",IF(AND(AQ178=1,TRIM(W178)=""),"INVALID – batch ID missing",IF(AND(AR178=1,OR(NOT(ISNUMBER(X178)),NOT(ISNUMBER(Y178)))),"INVALID – expected/actual qty missing",IF(IF(AND(TRIM(U178)="Pass",ISNUMBER(AF178)),IF(AF178&lt;&gt;0,"INVALID – qty variance: use Fail or Pass after CA",""),"")&amp;IF(AND(TRIM(U178)="Pass",AB178="Open"),"INVALID – corrective action still open: use Fail, then Pass after CA","")&amp;IF(AND(TRIM(U178)="Pass after CA",OR(TRIM(AA178)="",AB178&lt;&gt;"Closed")),"INVALID – corrective action not recorded/closed","")&lt;&gt;"",IF(AND(TRIM(U178)="Pass",ISNUMBER(AF178)),IF(AF178&lt;&gt;0,"INVALID – qty variance: use Fail or Pass after CA",""),"")&amp;IF(AND(TRIM(U178)="Pass",AB178="Open"),"INVALID – corrective action still open: use Fail, then Pass after CA","")&amp;IF(AND(TRIM(U178)="Pass after CA",OR(TRIM(AA178)="",AB178&lt;&gt;"Closed")),"INVALID – corrective action not recorded/closed",""),IF(AND(AS178=1,Documents!$J$10&lt;&gt;"ON FILE"),"INVALID – GLD not on file (Documents sheet)",IF(AND(AS178=2,Documents!$O$10&lt;&gt;"ON FILE"),"INVALID – menu checklist not on file (Documents sheet)",IF(AND(AS178=3,NOT(ISNUMBER(Flights!$AX$10))),"INVALID – enter carrying flight KUL departure (Flights AX)",IF(AG178&gt;AsOfUTC,"INVALID – completion time is in the future",IF(AND(ISNUMBER(S178),AG178&lt;S178),IF(H178="Physical uplift","INVALID – before uplift window (cannot confirm loading)","INVALID – before valid window"),IF(AG178&gt;Flights!$AA$10,"INVALID – completed after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f>
        <v>OPEN</v>
      </c>
      <c r="AI178" s="61" t="n">
        <f aca="false">IF(OR(AH178="N/A – RULE",AH178="N/A – JUSTIFIED"),0,1)</f>
        <v>1</v>
      </c>
      <c r="AJ178" s="61" t="n">
        <f aca="false">IF(LEFT(AH178,8)="COMPLETE",1,0)</f>
        <v>0</v>
      </c>
      <c r="AK178" s="61" t="n">
        <f aca="false">IF(AND(AI178=1,AJ178=0,AsOfUTC&gt;Q178),1,0)</f>
        <v>0</v>
      </c>
      <c r="AL178" s="61" t="n">
        <f aca="false">IF(AND(AI178=1,OR(TRIM(U178)="Fail",AB178="Open",AND(ISNUMBER(AF178),AF178&lt;&gt;0,TRIM(U178)&lt;&gt;"Pass after CA"))),1,0)</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row>
    <row r="179" customFormat="false" ht="39.75" hidden="false" customHeight="true" outlineLevel="0" collapsed="false">
      <c r="A179" s="57" t="s">
        <v>684</v>
      </c>
      <c r="B179" s="57" t="s">
        <v>221</v>
      </c>
      <c r="C179" s="57" t="str">
        <f aca="false">Flights!$F$10</f>
        <v>MH0002</v>
      </c>
      <c r="D179" s="58" t="n">
        <f aca="false">Flights!$D$10</f>
        <v>46310</v>
      </c>
      <c r="E179" s="57" t="str">
        <f aca="false">Flights!$G$10&amp;"-"&amp;Flights!$H$10</f>
        <v>KUL-LHR</v>
      </c>
      <c r="F179" s="57" t="str">
        <f aca="false">Flights!$K$10</f>
        <v>BC</v>
      </c>
      <c r="G179" s="57" t="s">
        <v>383</v>
      </c>
      <c r="H179" s="57" t="s">
        <v>341</v>
      </c>
      <c r="I179" s="57" t="s">
        <v>391</v>
      </c>
      <c r="J179" s="57" t="s">
        <v>394</v>
      </c>
      <c r="K179" s="67"/>
      <c r="L179" s="67" t="s">
        <v>385</v>
      </c>
      <c r="M179" s="67"/>
      <c r="N179" s="67" t="s">
        <v>346</v>
      </c>
      <c r="O179" s="67" t="s">
        <v>386</v>
      </c>
      <c r="P179" s="57" t="s">
        <v>177</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IF(N179="N/A – rule","N/A – RULE",IF(TRIM(U179)="N/A",IF(AT179=0,"INVALID – N/A not permitted for this mandatory check",IF(AND(TRIM(AC179)&lt;&gt;"",TRIM(AE179)&lt;&gt;"",TRIM(T179)&lt;&gt;""),"N/A – JUSTIFIED","INVALID – N/A needs justification, PIC and verifier")),IF(OR(TRIM(U179)="Pass",TRIM(U179)="Pass after CA"),IF(NOT(ISNUMBER(AD179)),"INVALID – completion time missing",IF(TRIM(T179)="","INVALID – PIC missing",IF(TRIM(Z179)="","INVALID – evidence missing",IF(TRIM(AE179)="","INVALID – verifier missing",IF(AND(AQ179=1,TRIM(W179)=""),"INVALID – batch ID missing",IF(AND(AR179=1,OR(NOT(ISNUMBER(X179)),NOT(ISNUMBER(Y179)))),"INVALID – expected/actual qty missing",IF(IF(AND(TRIM(U179)="Pass",ISNUMBER(AF179)),IF(AF179&lt;&gt;0,"INVALID – qty variance: use Fail or Pass after CA",""),"")&amp;IF(AND(TRIM(U179)="Pass",AB179="Open"),"INVALID – corrective action still open: use Fail, then Pass after CA","")&amp;IF(AND(TRIM(U179)="Pass after CA",OR(TRIM(AA179)="",AB179&lt;&gt;"Closed")),"INVALID – corrective action not recorded/closed","")&lt;&gt;"",IF(AND(TRIM(U179)="Pass",ISNUMBER(AF179)),IF(AF179&lt;&gt;0,"INVALID – qty variance: use Fail or Pass after CA",""),"")&amp;IF(AND(TRIM(U179)="Pass",AB179="Open"),"INVALID – corrective action still open: use Fail, then Pass after CA","")&amp;IF(AND(TRIM(U179)="Pass after CA",OR(TRIM(AA179)="",AB179&lt;&gt;"Closed")),"INVALID – corrective action not recorded/closed",""),IF(AND(AS179=1,Documents!$J$10&lt;&gt;"ON FILE"),"INVALID – GLD not on file (Documents sheet)",IF(AND(AS179=2,Documents!$O$10&lt;&gt;"ON FILE"),"INVALID – menu checklist not on file (Documents sheet)",IF(AND(AS179=3,NOT(ISNUMBER(Flights!$AX$10))),"INVALID – enter carrying flight KUL departure (Flights AX)",IF(AG179&gt;AsOfUTC,"INVALID – completion time is in the future",IF(AND(ISNUMBER(S179),AG179&lt;S179),IF(H179="Physical uplift","INVALID – before uplift window (cannot confirm loading)","INVALID – before valid window"),IF(AG179&gt;Flights!$AA$10,"INVALID – completed after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f>
        <v>OPEN</v>
      </c>
      <c r="AI179" s="61" t="n">
        <f aca="false">IF(OR(AH179="N/A – RULE",AH179="N/A – JUSTIFIED"),0,1)</f>
        <v>1</v>
      </c>
      <c r="AJ179" s="61" t="n">
        <f aca="false">IF(LEFT(AH179,8)="COMPLETE",1,0)</f>
        <v>0</v>
      </c>
      <c r="AK179" s="61" t="n">
        <f aca="false">IF(AND(AI179=1,AJ179=0,AsOfUTC&gt;Q179),1,0)</f>
        <v>0</v>
      </c>
      <c r="AL179" s="61" t="n">
        <f aca="false">IF(AND(AI179=1,OR(TRIM(U179)="Fail",AB179="Open",AND(ISNUMBER(AF179),AF179&lt;&gt;0,TRIM(U179)&lt;&gt;"Pass after CA"))),1,0)</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row>
    <row r="180" customFormat="false" ht="39.75" hidden="false" customHeight="true" outlineLevel="0" collapsed="false">
      <c r="A180" s="57" t="s">
        <v>685</v>
      </c>
      <c r="B180" s="57" t="s">
        <v>221</v>
      </c>
      <c r="C180" s="57" t="str">
        <f aca="false">Flights!$F$10</f>
        <v>MH0002</v>
      </c>
      <c r="D180" s="58" t="n">
        <f aca="false">Flights!$D$10</f>
        <v>46310</v>
      </c>
      <c r="E180" s="57" t="str">
        <f aca="false">Flights!$G$10&amp;"-"&amp;Flights!$H$10</f>
        <v>KUL-LHR</v>
      </c>
      <c r="F180" s="57" t="str">
        <f aca="false">Flights!$K$10</f>
        <v>BC</v>
      </c>
      <c r="G180" s="57" t="s">
        <v>383</v>
      </c>
      <c r="H180" s="57" t="s">
        <v>341</v>
      </c>
      <c r="I180" s="57" t="s">
        <v>391</v>
      </c>
      <c r="J180" s="57" t="s">
        <v>396</v>
      </c>
      <c r="K180" s="67"/>
      <c r="L180" s="67" t="s">
        <v>385</v>
      </c>
      <c r="M180" s="67"/>
      <c r="N180" s="67" t="s">
        <v>346</v>
      </c>
      <c r="O180" s="67" t="s">
        <v>386</v>
      </c>
      <c r="P180" s="57" t="s">
        <v>177</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IF(N180="N/A – rule","N/A – RULE",IF(TRIM(U180)="N/A",IF(AT180=0,"INVALID – N/A not permitted for this mandatory check",IF(AND(TRIM(AC180)&lt;&gt;"",TRIM(AE180)&lt;&gt;"",TRIM(T180)&lt;&gt;""),"N/A – JUSTIFIED","INVALID – N/A needs justification, PIC and verifier")),IF(OR(TRIM(U180)="Pass",TRIM(U180)="Pass after CA"),IF(NOT(ISNUMBER(AD180)),"INVALID – completion time missing",IF(TRIM(T180)="","INVALID – PIC missing",IF(TRIM(Z180)="","INVALID – evidence missing",IF(TRIM(AE180)="","INVALID – verifier missing",IF(AND(AQ180=1,TRIM(W180)=""),"INVALID – batch ID missing",IF(AND(AR180=1,OR(NOT(ISNUMBER(X180)),NOT(ISNUMBER(Y180)))),"INVALID – expected/actual qty missing",IF(IF(AND(TRIM(U180)="Pass",ISNUMBER(AF180)),IF(AF180&lt;&gt;0,"INVALID – qty variance: use Fail or Pass after CA",""),"")&amp;IF(AND(TRIM(U180)="Pass",AB180="Open"),"INVALID – corrective action still open: use Fail, then Pass after CA","")&amp;IF(AND(TRIM(U180)="Pass after CA",OR(TRIM(AA180)="",AB180&lt;&gt;"Closed")),"INVALID – corrective action not recorded/closed","")&lt;&gt;"",IF(AND(TRIM(U180)="Pass",ISNUMBER(AF180)),IF(AF180&lt;&gt;0,"INVALID – qty variance: use Fail or Pass after CA",""),"")&amp;IF(AND(TRIM(U180)="Pass",AB180="Open"),"INVALID – corrective action still open: use Fail, then Pass after CA","")&amp;IF(AND(TRIM(U180)="Pass after CA",OR(TRIM(AA180)="",AB180&lt;&gt;"Closed")),"INVALID – corrective action not recorded/closed",""),IF(AND(AS180=1,Documents!$J$10&lt;&gt;"ON FILE"),"INVALID – GLD not on file (Documents sheet)",IF(AND(AS180=2,Documents!$O$10&lt;&gt;"ON FILE"),"INVALID – menu checklist not on file (Documents sheet)",IF(AND(AS180=3,NOT(ISNUMBER(Flights!$AX$10))),"INVALID – enter carrying flight KUL departure (Flights AX)",IF(AG180&gt;AsOfUTC,"INVALID – completion time is in the future",IF(AND(ISNUMBER(S180),AG180&lt;S180),IF(H180="Physical uplift","INVALID – before uplift window (cannot confirm loading)","INVALID – before valid window"),IF(AG180&gt;Flights!$AA$10,"INVALID – completed after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f>
        <v>OPEN</v>
      </c>
      <c r="AI180" s="61" t="n">
        <f aca="false">IF(OR(AH180="N/A – RULE",AH180="N/A – JUSTIFIED"),0,1)</f>
        <v>1</v>
      </c>
      <c r="AJ180" s="61" t="n">
        <f aca="false">IF(LEFT(AH180,8)="COMPLETE",1,0)</f>
        <v>0</v>
      </c>
      <c r="AK180" s="61" t="n">
        <f aca="false">IF(AND(AI180=1,AJ180=0,AsOfUTC&gt;Q180),1,0)</f>
        <v>0</v>
      </c>
      <c r="AL180" s="61" t="n">
        <f aca="false">IF(AND(AI180=1,OR(TRIM(U180)="Fail",AB180="Open",AND(ISNUMBER(AF180),AF180&lt;&gt;0,TRIM(U180)&lt;&gt;"Pass after CA"))),1,0)</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row>
    <row r="181" customFormat="false" ht="141" hidden="false" customHeight="true" outlineLevel="0" collapsed="false">
      <c r="A181" s="57" t="s">
        <v>686</v>
      </c>
      <c r="B181" s="57" t="s">
        <v>221</v>
      </c>
      <c r="C181" s="57" t="str">
        <f aca="false">Flights!$F$10</f>
        <v>MH0002</v>
      </c>
      <c r="D181" s="58" t="n">
        <f aca="false">Flights!$D$10</f>
        <v>46310</v>
      </c>
      <c r="E181" s="57" t="str">
        <f aca="false">Flights!$G$10&amp;"-"&amp;Flights!$H$10</f>
        <v>KUL-LHR</v>
      </c>
      <c r="F181" s="57" t="str">
        <f aca="false">Flights!$K$10</f>
        <v>BC</v>
      </c>
      <c r="G181" s="57" t="s">
        <v>383</v>
      </c>
      <c r="H181" s="57" t="s">
        <v>341</v>
      </c>
      <c r="I181" s="57" t="s">
        <v>391</v>
      </c>
      <c r="J181" s="57" t="s">
        <v>398</v>
      </c>
      <c r="K181" s="67" t="s">
        <v>399</v>
      </c>
      <c r="L181" s="67" t="s">
        <v>385</v>
      </c>
      <c r="M181" s="67"/>
      <c r="N181" s="67" t="s">
        <v>346</v>
      </c>
      <c r="O181" s="67" t="s">
        <v>386</v>
      </c>
      <c r="P181" s="57" t="s">
        <v>177</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IF(N181="N/A – rule","N/A – RULE",IF(TRIM(U181)="N/A",IF(AT181=0,"INVALID – N/A not permitted for this mandatory check",IF(AND(TRIM(AC181)&lt;&gt;"",TRIM(AE181)&lt;&gt;"",TRIM(T181)&lt;&gt;""),"N/A – JUSTIFIED","INVALID – N/A needs justification, PIC and verifier")),IF(OR(TRIM(U181)="Pass",TRIM(U181)="Pass after CA"),IF(NOT(ISNUMBER(AD181)),"INVALID – completion time missing",IF(TRIM(T181)="","INVALID – PIC missing",IF(TRIM(Z181)="","INVALID – evidence missing",IF(TRIM(AE181)="","INVALID – verifier missing",IF(AND(AQ181=1,TRIM(W181)=""),"INVALID – batch ID missing",IF(AND(AR181=1,OR(NOT(ISNUMBER(X181)),NOT(ISNUMBER(Y181)))),"INVALID – expected/actual qty missing",IF(IF(AND(TRIM(U181)="Pass",ISNUMBER(AF181)),IF(AF181&lt;&gt;0,"INVALID – qty variance: use Fail or Pass after CA",""),"")&amp;IF(AND(TRIM(U181)="Pass",AB181="Open"),"INVALID – corrective action still open: use Fail, then Pass after CA","")&amp;IF(AND(TRIM(U181)="Pass after CA",OR(TRIM(AA181)="",AB181&lt;&gt;"Closed")),"INVALID – corrective action not recorded/closed","")&lt;&gt;"",IF(AND(TRIM(U181)="Pass",ISNUMBER(AF181)),IF(AF181&lt;&gt;0,"INVALID – qty variance: use Fail or Pass after CA",""),"")&amp;IF(AND(TRIM(U181)="Pass",AB181="Open"),"INVALID – corrective action still open: use Fail, then Pass after CA","")&amp;IF(AND(TRIM(U181)="Pass after CA",OR(TRIM(AA181)="",AB181&lt;&gt;"Closed")),"INVALID – corrective action not recorded/closed",""),IF(AND(AS181=1,Documents!$J$10&lt;&gt;"ON FILE"),"INVALID – GLD not on file (Documents sheet)",IF(AND(AS181=2,Documents!$O$10&lt;&gt;"ON FILE"),"INVALID – menu checklist not on file (Documents sheet)",IF(AND(AS181=3,NOT(ISNUMBER(Flights!$AX$10))),"INVALID – enter carrying flight KUL departure (Flights AX)",IF(AG181&gt;AsOfUTC,"INVALID – completion time is in the future",IF(AND(ISNUMBER(S181),AG181&lt;S181),IF(H181="Physical uplift","INVALID – before uplift window (cannot confirm loading)","INVALID – before valid window"),IF(AG181&gt;Flights!$AA$10,"INVALID – completed after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f>
        <v>OPEN</v>
      </c>
      <c r="AI181" s="61" t="n">
        <f aca="false">IF(OR(AH181="N/A – RULE",AH181="N/A – JUSTIFIED"),0,1)</f>
        <v>1</v>
      </c>
      <c r="AJ181" s="61" t="n">
        <f aca="false">IF(LEFT(AH181,8)="COMPLETE",1,0)</f>
        <v>0</v>
      </c>
      <c r="AK181" s="61" t="n">
        <f aca="false">IF(AND(AI181=1,AJ181=0,AsOfUTC&gt;Q181),1,0)</f>
        <v>0</v>
      </c>
      <c r="AL181" s="61" t="n">
        <f aca="false">IF(AND(AI181=1,OR(TRIM(U181)="Fail",AB181="Open",AND(ISNUMBER(AF181),AF181&lt;&gt;0,TRIM(U181)&lt;&gt;"Pass after CA"))),1,0)</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row>
    <row r="182" customFormat="false" ht="39.75" hidden="false" customHeight="true" outlineLevel="0" collapsed="false">
      <c r="A182" s="57" t="s">
        <v>687</v>
      </c>
      <c r="B182" s="57" t="s">
        <v>221</v>
      </c>
      <c r="C182" s="57" t="str">
        <f aca="false">Flights!$F$10</f>
        <v>MH0002</v>
      </c>
      <c r="D182" s="58" t="n">
        <f aca="false">Flights!$D$10</f>
        <v>46310</v>
      </c>
      <c r="E182" s="57" t="str">
        <f aca="false">Flights!$G$10&amp;"-"&amp;Flights!$H$10</f>
        <v>KUL-LHR</v>
      </c>
      <c r="F182" s="57" t="str">
        <f aca="false">Flights!$K$10</f>
        <v>BC</v>
      </c>
      <c r="G182" s="57" t="s">
        <v>383</v>
      </c>
      <c r="H182" s="57" t="s">
        <v>341</v>
      </c>
      <c r="I182" s="57" t="s">
        <v>391</v>
      </c>
      <c r="J182" s="57" t="s">
        <v>401</v>
      </c>
      <c r="K182" s="67"/>
      <c r="L182" s="67" t="s">
        <v>385</v>
      </c>
      <c r="M182" s="67"/>
      <c r="N182" s="67" t="s">
        <v>346</v>
      </c>
      <c r="O182" s="67" t="s">
        <v>386</v>
      </c>
      <c r="P182" s="57" t="s">
        <v>177</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IF(N182="N/A – rule","N/A – RULE",IF(TRIM(U182)="N/A",IF(AT182=0,"INVALID – N/A not permitted for this mandatory check",IF(AND(TRIM(AC182)&lt;&gt;"",TRIM(AE182)&lt;&gt;"",TRIM(T182)&lt;&gt;""),"N/A – JUSTIFIED","INVALID – N/A needs justification, PIC and verifier")),IF(OR(TRIM(U182)="Pass",TRIM(U182)="Pass after CA"),IF(NOT(ISNUMBER(AD182)),"INVALID – completion time missing",IF(TRIM(T182)="","INVALID – PIC missing",IF(TRIM(Z182)="","INVALID – evidence missing",IF(TRIM(AE182)="","INVALID – verifier missing",IF(AND(AQ182=1,TRIM(W182)=""),"INVALID – batch ID missing",IF(AND(AR182=1,OR(NOT(ISNUMBER(X182)),NOT(ISNUMBER(Y182)))),"INVALID – expected/actual qty missing",IF(IF(AND(TRIM(U182)="Pass",ISNUMBER(AF182)),IF(AF182&lt;&gt;0,"INVALID – qty variance: use Fail or Pass after CA",""),"")&amp;IF(AND(TRIM(U182)="Pass",AB182="Open"),"INVALID – corrective action still open: use Fail, then Pass after CA","")&amp;IF(AND(TRIM(U182)="Pass after CA",OR(TRIM(AA182)="",AB182&lt;&gt;"Closed")),"INVALID – corrective action not recorded/closed","")&lt;&gt;"",IF(AND(TRIM(U182)="Pass",ISNUMBER(AF182)),IF(AF182&lt;&gt;0,"INVALID – qty variance: use Fail or Pass after CA",""),"")&amp;IF(AND(TRIM(U182)="Pass",AB182="Open"),"INVALID – corrective action still open: use Fail, then Pass after CA","")&amp;IF(AND(TRIM(U182)="Pass after CA",OR(TRIM(AA182)="",AB182&lt;&gt;"Closed")),"INVALID – corrective action not recorded/closed",""),IF(AND(AS182=1,Documents!$J$10&lt;&gt;"ON FILE"),"INVALID – GLD not on file (Documents sheet)",IF(AND(AS182=2,Documents!$O$10&lt;&gt;"ON FILE"),"INVALID – menu checklist not on file (Documents sheet)",IF(AND(AS182=3,NOT(ISNUMBER(Flights!$AX$10))),"INVALID – enter carrying flight KUL departure (Flights AX)",IF(AG182&gt;AsOfUTC,"INVALID – completion time is in the future",IF(AND(ISNUMBER(S182),AG182&lt;S182),IF(H182="Physical uplift","INVALID – before uplift window (cannot confirm loading)","INVALID – before valid window"),IF(AG182&gt;Flights!$AA$10,"INVALID – completed after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f>
        <v>OPEN</v>
      </c>
      <c r="AI182" s="61" t="n">
        <f aca="false">IF(OR(AH182="N/A – RULE",AH182="N/A – JUSTIFIED"),0,1)</f>
        <v>1</v>
      </c>
      <c r="AJ182" s="61" t="n">
        <f aca="false">IF(LEFT(AH182,8)="COMPLETE",1,0)</f>
        <v>0</v>
      </c>
      <c r="AK182" s="61" t="n">
        <f aca="false">IF(AND(AI182=1,AJ182=0,AsOfUTC&gt;Q182),1,0)</f>
        <v>0</v>
      </c>
      <c r="AL182" s="61" t="n">
        <f aca="false">IF(AND(AI182=1,OR(TRIM(U182)="Fail",AB182="Open",AND(ISNUMBER(AF182),AF182&lt;&gt;0,TRIM(U182)&lt;&gt;"Pass after CA"))),1,0)</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row>
    <row r="183" customFormat="false" ht="91.5" hidden="false" customHeight="true" outlineLevel="0" collapsed="false">
      <c r="A183" s="57" t="s">
        <v>688</v>
      </c>
      <c r="B183" s="57" t="s">
        <v>221</v>
      </c>
      <c r="C183" s="57" t="str">
        <f aca="false">Flights!$F$10</f>
        <v>MH0002</v>
      </c>
      <c r="D183" s="58" t="n">
        <f aca="false">Flights!$D$10</f>
        <v>46310</v>
      </c>
      <c r="E183" s="57" t="str">
        <f aca="false">Flights!$G$10&amp;"-"&amp;Flights!$H$10</f>
        <v>KUL-LHR</v>
      </c>
      <c r="F183" s="57" t="str">
        <f aca="false">Flights!$K$10</f>
        <v>BC</v>
      </c>
      <c r="G183" s="57" t="s">
        <v>383</v>
      </c>
      <c r="H183" s="57" t="s">
        <v>341</v>
      </c>
      <c r="I183" s="57" t="s">
        <v>403</v>
      </c>
      <c r="J183" s="57" t="s">
        <v>404</v>
      </c>
      <c r="K183" s="67" t="s">
        <v>464</v>
      </c>
      <c r="L183" s="67" t="s">
        <v>406</v>
      </c>
      <c r="M183" s="67" t="s">
        <v>689</v>
      </c>
      <c r="N183" s="67" t="s">
        <v>407</v>
      </c>
      <c r="O183" s="67" t="s">
        <v>690</v>
      </c>
      <c r="P183" s="57" t="s">
        <v>177</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IF(N183="N/A – rule","N/A – RULE",IF(TRIM(U183)="N/A",IF(AT183=0,"INVALID – N/A not permitted for this mandatory check",IF(AND(TRIM(AC183)&lt;&gt;"",TRIM(AE183)&lt;&gt;"",TRIM(T183)&lt;&gt;""),"N/A – JUSTIFIED","INVALID – N/A needs justification, PIC and verifier")),IF(OR(TRIM(U183)="Pass",TRIM(U183)="Pass after CA"),IF(NOT(ISNUMBER(AD183)),"INVALID – completion time missing",IF(TRIM(T183)="","INVALID – PIC missing",IF(TRIM(Z183)="","INVALID – evidence missing",IF(TRIM(AE183)="","INVALID – verifier missing",IF(AND(AQ183=1,TRIM(W183)=""),"INVALID – batch ID missing",IF(AND(AR183=1,OR(NOT(ISNUMBER(X183)),NOT(ISNUMBER(Y183)))),"INVALID – expected/actual qty missing",IF(IF(AND(TRIM(U183)="Pass",ISNUMBER(AF183)),IF(AF183&lt;&gt;0,"INVALID – qty variance: use Fail or Pass after CA",""),"")&amp;IF(AND(TRIM(U183)="Pass",AB183="Open"),"INVALID – corrective action still open: use Fail, then Pass after CA","")&amp;IF(AND(TRIM(U183)="Pass after CA",OR(TRIM(AA183)="",AB183&lt;&gt;"Closed")),"INVALID – corrective action not recorded/closed","")&lt;&gt;"",IF(AND(TRIM(U183)="Pass",ISNUMBER(AF183)),IF(AF183&lt;&gt;0,"INVALID – qty variance: use Fail or Pass after CA",""),"")&amp;IF(AND(TRIM(U183)="Pass",AB183="Open"),"INVALID – corrective action still open: use Fail, then Pass after CA","")&amp;IF(AND(TRIM(U183)="Pass after CA",OR(TRIM(AA183)="",AB183&lt;&gt;"Closed")),"INVALID – corrective action not recorded/closed",""),IF(AND(AS183=1,Documents!$J$10&lt;&gt;"ON FILE"),"INVALID – GLD not on file (Documents sheet)",IF(AND(AS183=2,Documents!$O$10&lt;&gt;"ON FILE"),"INVALID – menu checklist not on file (Documents sheet)",IF(AND(AS183=3,NOT(ISNUMBER(Flights!$AX$10))),"INVALID – enter carrying flight KUL departure (Flights AX)",IF(AG183&gt;AsOfUTC,"INVALID – completion time is in the future",IF(AND(ISNUMBER(S183),AG183&lt;S183),IF(H183="Physical uplift","INVALID – before uplift window (cannot confirm loading)","INVALID – before valid window"),IF(AG183&gt;Flights!$AA$10,"INVALID – completed after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f>
        <v>OPEN – CLARIFICATION</v>
      </c>
      <c r="AI183" s="61" t="n">
        <f aca="false">IF(OR(AH183="N/A – RULE",AH183="N/A – JUSTIFIED"),0,1)</f>
        <v>1</v>
      </c>
      <c r="AJ183" s="61" t="n">
        <f aca="false">IF(LEFT(AH183,8)="COMPLETE",1,0)</f>
        <v>0</v>
      </c>
      <c r="AK183" s="61" t="n">
        <f aca="false">IF(AND(AI183=1,AJ183=0,AsOfUTC&gt;Q183),1,0)</f>
        <v>0</v>
      </c>
      <c r="AL183" s="61" t="n">
        <f aca="false">IF(AND(AI183=1,OR(TRIM(U183)="Fail",AB183="Open",AND(ISNUMBER(AF183),AF183&lt;&gt;0,TRIM(U183)&lt;&gt;"Pass after CA"))),1,0)</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row>
    <row r="184" customFormat="false" ht="39.75" hidden="false" customHeight="true" outlineLevel="0" collapsed="false">
      <c r="A184" s="57" t="s">
        <v>691</v>
      </c>
      <c r="B184" s="57" t="s">
        <v>221</v>
      </c>
      <c r="C184" s="57" t="str">
        <f aca="false">Flights!$F$10</f>
        <v>MH0002</v>
      </c>
      <c r="D184" s="58" t="n">
        <f aca="false">Flights!$D$10</f>
        <v>46310</v>
      </c>
      <c r="E184" s="57" t="str">
        <f aca="false">Flights!$G$10&amp;"-"&amp;Flights!$H$10</f>
        <v>KUL-LHR</v>
      </c>
      <c r="F184" s="57" t="str">
        <f aca="false">Flights!$K$10</f>
        <v>BC</v>
      </c>
      <c r="G184" s="57" t="s">
        <v>383</v>
      </c>
      <c r="H184" s="57" t="s">
        <v>341</v>
      </c>
      <c r="I184" s="57" t="s">
        <v>403</v>
      </c>
      <c r="J184" s="57" t="s">
        <v>692</v>
      </c>
      <c r="K184" s="67" t="s">
        <v>693</v>
      </c>
      <c r="L184" s="67" t="s">
        <v>694</v>
      </c>
      <c r="M184" s="67" t="s">
        <v>177</v>
      </c>
      <c r="N184" s="67" t="s">
        <v>346</v>
      </c>
      <c r="O184" s="67" t="s">
        <v>695</v>
      </c>
      <c r="P184" s="57" t="s">
        <v>177</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IF(N184="N/A – rule","N/A – RULE",IF(TRIM(U184)="N/A",IF(AT184=0,"INVALID – N/A not permitted for this mandatory check",IF(AND(TRIM(AC184)&lt;&gt;"",TRIM(AE184)&lt;&gt;"",TRIM(T184)&lt;&gt;""),"N/A – JUSTIFIED","INVALID – N/A needs justification, PIC and verifier")),IF(OR(TRIM(U184)="Pass",TRIM(U184)="Pass after CA"),IF(NOT(ISNUMBER(AD184)),"INVALID – completion time missing",IF(TRIM(T184)="","INVALID – PIC missing",IF(TRIM(Z184)="","INVALID – evidence missing",IF(TRIM(AE184)="","INVALID – verifier missing",IF(AND(AQ184=1,TRIM(W184)=""),"INVALID – batch ID missing",IF(AND(AR184=1,OR(NOT(ISNUMBER(X184)),NOT(ISNUMBER(Y184)))),"INVALID – expected/actual qty missing",IF(IF(AND(TRIM(U184)="Pass",ISNUMBER(AF184)),IF(AF184&lt;&gt;0,"INVALID – qty variance: use Fail or Pass after CA",""),"")&amp;IF(AND(TRIM(U184)="Pass",AB184="Open"),"INVALID – corrective action still open: use Fail, then Pass after CA","")&amp;IF(AND(TRIM(U184)="Pass after CA",OR(TRIM(AA184)="",AB184&lt;&gt;"Closed")),"INVALID – corrective action not recorded/closed","")&lt;&gt;"",IF(AND(TRIM(U184)="Pass",ISNUMBER(AF184)),IF(AF184&lt;&gt;0,"INVALID – qty variance: use Fail or Pass after CA",""),"")&amp;IF(AND(TRIM(U184)="Pass",AB184="Open"),"INVALID – corrective action still open: use Fail, then Pass after CA","")&amp;IF(AND(TRIM(U184)="Pass after CA",OR(TRIM(AA184)="",AB184&lt;&gt;"Closed")),"INVALID – corrective action not recorded/closed",""),IF(AND(AS184=1,Documents!$J$10&lt;&gt;"ON FILE"),"INVALID – GLD not on file (Documents sheet)",IF(AND(AS184=2,Documents!$O$10&lt;&gt;"ON FILE"),"INVALID – menu checklist not on file (Documents sheet)",IF(AND(AS184=3,NOT(ISNUMBER(Flights!$AX$10))),"INVALID – enter carrying flight KUL departure (Flights AX)",IF(AG184&gt;AsOfUTC,"INVALID – completion time is in the future",IF(AND(ISNUMBER(S184),AG184&lt;S184),IF(H184="Physical uplift","INVALID – before uplift window (cannot confirm loading)","INVALID – before valid window"),IF(AG184&gt;Flights!$AA$10,"INVALID – completed after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f>
        <v>OPEN</v>
      </c>
      <c r="AI184" s="61" t="n">
        <f aca="false">IF(OR(AH184="N/A – RULE",AH184="N/A – JUSTIFIED"),0,1)</f>
        <v>1</v>
      </c>
      <c r="AJ184" s="61" t="n">
        <f aca="false">IF(LEFT(AH184,8)="COMPLETE",1,0)</f>
        <v>0</v>
      </c>
      <c r="AK184" s="61" t="n">
        <f aca="false">IF(AND(AI184=1,AJ184=0,AsOfUTC&gt;Q184),1,0)</f>
        <v>0</v>
      </c>
      <c r="AL184" s="61" t="n">
        <f aca="false">IF(AND(AI184=1,OR(TRIM(U184)="Fail",AB184="Open",AND(ISNUMBER(AF184),AF184&lt;&gt;0,TRIM(U184)&lt;&gt;"Pass after CA"))),1,0)</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1</v>
      </c>
    </row>
    <row r="185" customFormat="false" ht="39.75" hidden="false" customHeight="true" outlineLevel="0" collapsed="false">
      <c r="A185" s="57" t="s">
        <v>696</v>
      </c>
      <c r="B185" s="57" t="s">
        <v>221</v>
      </c>
      <c r="C185" s="57" t="str">
        <f aca="false">Flights!$F$10</f>
        <v>MH0002</v>
      </c>
      <c r="D185" s="58" t="n">
        <f aca="false">Flights!$D$10</f>
        <v>46310</v>
      </c>
      <c r="E185" s="57" t="str">
        <f aca="false">Flights!$G$10&amp;"-"&amp;Flights!$H$10</f>
        <v>KUL-LHR</v>
      </c>
      <c r="F185" s="57" t="str">
        <f aca="false">Flights!$K$10</f>
        <v>BC</v>
      </c>
      <c r="G185" s="57" t="s">
        <v>383</v>
      </c>
      <c r="H185" s="57" t="s">
        <v>341</v>
      </c>
      <c r="I185" s="57" t="s">
        <v>403</v>
      </c>
      <c r="J185" s="57" t="s">
        <v>566</v>
      </c>
      <c r="K185" s="67" t="s">
        <v>464</v>
      </c>
      <c r="L185" s="67" t="s">
        <v>697</v>
      </c>
      <c r="M185" s="67" t="s">
        <v>177</v>
      </c>
      <c r="N185" s="67" t="s">
        <v>346</v>
      </c>
      <c r="O185" s="67"/>
      <c r="P185" s="57" t="s">
        <v>177</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IF(N185="N/A – rule","N/A – RULE",IF(TRIM(U185)="N/A",IF(AT185=0,"INVALID – N/A not permitted for this mandatory check",IF(AND(TRIM(AC185)&lt;&gt;"",TRIM(AE185)&lt;&gt;"",TRIM(T185)&lt;&gt;""),"N/A – JUSTIFIED","INVALID – N/A needs justification, PIC and verifier")),IF(OR(TRIM(U185)="Pass",TRIM(U185)="Pass after CA"),IF(NOT(ISNUMBER(AD185)),"INVALID – completion time missing",IF(TRIM(T185)="","INVALID – PIC missing",IF(TRIM(Z185)="","INVALID – evidence missing",IF(TRIM(AE185)="","INVALID – verifier missing",IF(AND(AQ185=1,TRIM(W185)=""),"INVALID – batch ID missing",IF(AND(AR185=1,OR(NOT(ISNUMBER(X185)),NOT(ISNUMBER(Y185)))),"INVALID – expected/actual qty missing",IF(IF(AND(TRIM(U185)="Pass",ISNUMBER(AF185)),IF(AF185&lt;&gt;0,"INVALID – qty variance: use Fail or Pass after CA",""),"")&amp;IF(AND(TRIM(U185)="Pass",AB185="Open"),"INVALID – corrective action still open: use Fail, then Pass after CA","")&amp;IF(AND(TRIM(U185)="Pass after CA",OR(TRIM(AA185)="",AB185&lt;&gt;"Closed")),"INVALID – corrective action not recorded/closed","")&lt;&gt;"",IF(AND(TRIM(U185)="Pass",ISNUMBER(AF185)),IF(AF185&lt;&gt;0,"INVALID – qty variance: use Fail or Pass after CA",""),"")&amp;IF(AND(TRIM(U185)="Pass",AB185="Open"),"INVALID – corrective action still open: use Fail, then Pass after CA","")&amp;IF(AND(TRIM(U185)="Pass after CA",OR(TRIM(AA185)="",AB185&lt;&gt;"Closed")),"INVALID – corrective action not recorded/closed",""),IF(AND(AS185=1,Documents!$J$10&lt;&gt;"ON FILE"),"INVALID – GLD not on file (Documents sheet)",IF(AND(AS185=2,Documents!$O$10&lt;&gt;"ON FILE"),"INVALID – menu checklist not on file (Documents sheet)",IF(AND(AS185=3,NOT(ISNUMBER(Flights!$AX$10))),"INVALID – enter carrying flight KUL departure (Flights AX)",IF(AG185&gt;AsOfUTC,"INVALID – completion time is in the future",IF(AND(ISNUMBER(S185),AG185&lt;S185),IF(H185="Physical uplift","INVALID – before uplift window (cannot confirm loading)","INVALID – before valid window"),IF(AG185&gt;Flights!$AA$10,"INVALID – completed after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f>
        <v>OPEN</v>
      </c>
      <c r="AI185" s="61" t="n">
        <f aca="false">IF(OR(AH185="N/A – RULE",AH185="N/A – JUSTIFIED"),0,1)</f>
        <v>1</v>
      </c>
      <c r="AJ185" s="61" t="n">
        <f aca="false">IF(LEFT(AH185,8)="COMPLETE",1,0)</f>
        <v>0</v>
      </c>
      <c r="AK185" s="61" t="n">
        <f aca="false">IF(AND(AI185=1,AJ185=0,AsOfUTC&gt;Q185),1,0)</f>
        <v>0</v>
      </c>
      <c r="AL185" s="61" t="n">
        <f aca="false">IF(AND(AI185=1,OR(TRIM(U185)="Fail",AB185="Open",AND(ISNUMBER(AF185),AF185&lt;&gt;0,TRIM(U185)&lt;&gt;"Pass after CA"))),1,0)</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1</v>
      </c>
    </row>
    <row r="186" customFormat="false" ht="41.25" hidden="false" customHeight="true" outlineLevel="0" collapsed="false">
      <c r="A186" s="57" t="s">
        <v>698</v>
      </c>
      <c r="B186" s="57" t="s">
        <v>221</v>
      </c>
      <c r="C186" s="57" t="str">
        <f aca="false">Flights!$F$10</f>
        <v>MH0002</v>
      </c>
      <c r="D186" s="58" t="n">
        <f aca="false">Flights!$D$10</f>
        <v>46310</v>
      </c>
      <c r="E186" s="57" t="str">
        <f aca="false">Flights!$G$10&amp;"-"&amp;Flights!$H$10</f>
        <v>KUL-LHR</v>
      </c>
      <c r="F186" s="57" t="str">
        <f aca="false">Flights!$K$10</f>
        <v>BC</v>
      </c>
      <c r="G186" s="57" t="s">
        <v>383</v>
      </c>
      <c r="H186" s="57" t="s">
        <v>341</v>
      </c>
      <c r="I186" s="57" t="s">
        <v>462</v>
      </c>
      <c r="J186" s="57" t="s">
        <v>463</v>
      </c>
      <c r="K186" s="67" t="s">
        <v>464</v>
      </c>
      <c r="L186" s="67" t="s">
        <v>699</v>
      </c>
      <c r="M186" s="67" t="s">
        <v>414</v>
      </c>
      <c r="N186" s="67" t="s">
        <v>346</v>
      </c>
      <c r="O186" s="67" t="s">
        <v>466</v>
      </c>
      <c r="P186" s="57" t="s">
        <v>177</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IF(N186="N/A – rule","N/A – RULE",IF(TRIM(U186)="N/A",IF(AT186=0,"INVALID – N/A not permitted for this mandatory check",IF(AND(TRIM(AC186)&lt;&gt;"",TRIM(AE186)&lt;&gt;"",TRIM(T186)&lt;&gt;""),"N/A – JUSTIFIED","INVALID – N/A needs justification, PIC and verifier")),IF(OR(TRIM(U186)="Pass",TRIM(U186)="Pass after CA"),IF(NOT(ISNUMBER(AD186)),"INVALID – completion time missing",IF(TRIM(T186)="","INVALID – PIC missing",IF(TRIM(Z186)="","INVALID – evidence missing",IF(TRIM(AE186)="","INVALID – verifier missing",IF(AND(AQ186=1,TRIM(W186)=""),"INVALID – batch ID missing",IF(AND(AR186=1,OR(NOT(ISNUMBER(X186)),NOT(ISNUMBER(Y186)))),"INVALID – expected/actual qty missing",IF(IF(AND(TRIM(U186)="Pass",ISNUMBER(AF186)),IF(AF186&lt;&gt;0,"INVALID – qty variance: use Fail or Pass after CA",""),"")&amp;IF(AND(TRIM(U186)="Pass",AB186="Open"),"INVALID – corrective action still open: use Fail, then Pass after CA","")&amp;IF(AND(TRIM(U186)="Pass after CA",OR(TRIM(AA186)="",AB186&lt;&gt;"Closed")),"INVALID – corrective action not recorded/closed","")&lt;&gt;"",IF(AND(TRIM(U186)="Pass",ISNUMBER(AF186)),IF(AF186&lt;&gt;0,"INVALID – qty variance: use Fail or Pass after CA",""),"")&amp;IF(AND(TRIM(U186)="Pass",AB186="Open"),"INVALID – corrective action still open: use Fail, then Pass after CA","")&amp;IF(AND(TRIM(U186)="Pass after CA",OR(TRIM(AA186)="",AB186&lt;&gt;"Closed")),"INVALID – corrective action not recorded/closed",""),IF(AND(AS186=1,Documents!$J$10&lt;&gt;"ON FILE"),"INVALID – GLD not on file (Documents sheet)",IF(AND(AS186=2,Documents!$O$10&lt;&gt;"ON FILE"),"INVALID – menu checklist not on file (Documents sheet)",IF(AND(AS186=3,NOT(ISNUMBER(Flights!$AX$10))),"INVALID – enter carrying flight KUL departure (Flights AX)",IF(AG186&gt;AsOfUTC,"INVALID – completion time is in the future",IF(AND(ISNUMBER(S186),AG186&lt;S186),IF(H186="Physical uplift","INVALID – before uplift window (cannot confirm loading)","INVALID – before valid window"),IF(AG186&gt;Flights!$AA$10,"INVALID – completed after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f>
        <v>OPEN</v>
      </c>
      <c r="AI186" s="61" t="n">
        <f aca="false">IF(OR(AH186="N/A – RULE",AH186="N/A – JUSTIFIED"),0,1)</f>
        <v>1</v>
      </c>
      <c r="AJ186" s="61" t="n">
        <f aca="false">IF(LEFT(AH186,8)="COMPLETE",1,0)</f>
        <v>0</v>
      </c>
      <c r="AK186" s="61" t="n">
        <f aca="false">IF(AND(AI186=1,AJ186=0,AsOfUTC&gt;Q186),1,0)</f>
        <v>0</v>
      </c>
      <c r="AL186" s="61" t="n">
        <f aca="false">IF(AND(AI186=1,OR(TRIM(U186)="Fail",AB186="Open",AND(ISNUMBER(AF186),AF186&lt;&gt;0,TRIM(U186)&lt;&gt;"Pass after CA"))),1,0)</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1</v>
      </c>
    </row>
    <row r="187" customFormat="false" ht="41.25" hidden="false" customHeight="true" outlineLevel="0" collapsed="false">
      <c r="A187" s="57" t="s">
        <v>700</v>
      </c>
      <c r="B187" s="57" t="s">
        <v>221</v>
      </c>
      <c r="C187" s="57" t="str">
        <f aca="false">Flights!$F$10</f>
        <v>MH0002</v>
      </c>
      <c r="D187" s="58" t="n">
        <f aca="false">Flights!$D$10</f>
        <v>46310</v>
      </c>
      <c r="E187" s="57" t="str">
        <f aca="false">Flights!$G$10&amp;"-"&amp;Flights!$H$10</f>
        <v>KUL-LHR</v>
      </c>
      <c r="F187" s="57" t="str">
        <f aca="false">Flights!$K$10</f>
        <v>BC</v>
      </c>
      <c r="G187" s="57" t="s">
        <v>383</v>
      </c>
      <c r="H187" s="57" t="s">
        <v>341</v>
      </c>
      <c r="I187" s="57" t="s">
        <v>462</v>
      </c>
      <c r="J187" s="57" t="s">
        <v>468</v>
      </c>
      <c r="K187" s="67" t="s">
        <v>464</v>
      </c>
      <c r="L187" s="67" t="s">
        <v>701</v>
      </c>
      <c r="M187" s="67" t="s">
        <v>414</v>
      </c>
      <c r="N187" s="67" t="s">
        <v>346</v>
      </c>
      <c r="O187" s="67" t="s">
        <v>466</v>
      </c>
      <c r="P187" s="57" t="s">
        <v>177</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IF(N187="N/A – rule","N/A – RULE",IF(TRIM(U187)="N/A",IF(AT187=0,"INVALID – N/A not permitted for this mandatory check",IF(AND(TRIM(AC187)&lt;&gt;"",TRIM(AE187)&lt;&gt;"",TRIM(T187)&lt;&gt;""),"N/A – JUSTIFIED","INVALID – N/A needs justification, PIC and verifier")),IF(OR(TRIM(U187)="Pass",TRIM(U187)="Pass after CA"),IF(NOT(ISNUMBER(AD187)),"INVALID – completion time missing",IF(TRIM(T187)="","INVALID – PIC missing",IF(TRIM(Z187)="","INVALID – evidence missing",IF(TRIM(AE187)="","INVALID – verifier missing",IF(AND(AQ187=1,TRIM(W187)=""),"INVALID – batch ID missing",IF(AND(AR187=1,OR(NOT(ISNUMBER(X187)),NOT(ISNUMBER(Y187)))),"INVALID – expected/actual qty missing",IF(IF(AND(TRIM(U187)="Pass",ISNUMBER(AF187)),IF(AF187&lt;&gt;0,"INVALID – qty variance: use Fail or Pass after CA",""),"")&amp;IF(AND(TRIM(U187)="Pass",AB187="Open"),"INVALID – corrective action still open: use Fail, then Pass after CA","")&amp;IF(AND(TRIM(U187)="Pass after CA",OR(TRIM(AA187)="",AB187&lt;&gt;"Closed")),"INVALID – corrective action not recorded/closed","")&lt;&gt;"",IF(AND(TRIM(U187)="Pass",ISNUMBER(AF187)),IF(AF187&lt;&gt;0,"INVALID – qty variance: use Fail or Pass after CA",""),"")&amp;IF(AND(TRIM(U187)="Pass",AB187="Open"),"INVALID – corrective action still open: use Fail, then Pass after CA","")&amp;IF(AND(TRIM(U187)="Pass after CA",OR(TRIM(AA187)="",AB187&lt;&gt;"Closed")),"INVALID – corrective action not recorded/closed",""),IF(AND(AS187=1,Documents!$J$10&lt;&gt;"ON FILE"),"INVALID – GLD not on file (Documents sheet)",IF(AND(AS187=2,Documents!$O$10&lt;&gt;"ON FILE"),"INVALID – menu checklist not on file (Documents sheet)",IF(AND(AS187=3,NOT(ISNUMBER(Flights!$AX$10))),"INVALID – enter carrying flight KUL departure (Flights AX)",IF(AG187&gt;AsOfUTC,"INVALID – completion time is in the future",IF(AND(ISNUMBER(S187),AG187&lt;S187),IF(H187="Physical uplift","INVALID – before uplift window (cannot confirm loading)","INVALID – before valid window"),IF(AG187&gt;Flights!$AA$10,"INVALID – completed after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f>
        <v>OPEN</v>
      </c>
      <c r="AI187" s="61" t="n">
        <f aca="false">IF(OR(AH187="N/A – RULE",AH187="N/A – JUSTIFIED"),0,1)</f>
        <v>1</v>
      </c>
      <c r="AJ187" s="61" t="n">
        <f aca="false">IF(LEFT(AH187,8)="COMPLETE",1,0)</f>
        <v>0</v>
      </c>
      <c r="AK187" s="61" t="n">
        <f aca="false">IF(AND(AI187=1,AJ187=0,AsOfUTC&gt;Q187),1,0)</f>
        <v>0</v>
      </c>
      <c r="AL187" s="61" t="n">
        <f aca="false">IF(AND(AI187=1,OR(TRIM(U187)="Fail",AB187="Open",AND(ISNUMBER(AF187),AF187&lt;&gt;0,TRIM(U187)&lt;&gt;"Pass after CA"))),1,0)</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1</v>
      </c>
    </row>
    <row r="188" customFormat="false" ht="41.25" hidden="false" customHeight="true" outlineLevel="0" collapsed="false">
      <c r="A188" s="57" t="s">
        <v>702</v>
      </c>
      <c r="B188" s="57" t="s">
        <v>221</v>
      </c>
      <c r="C188" s="57" t="str">
        <f aca="false">Flights!$F$10</f>
        <v>MH0002</v>
      </c>
      <c r="D188" s="58" t="n">
        <f aca="false">Flights!$D$10</f>
        <v>46310</v>
      </c>
      <c r="E188" s="57" t="str">
        <f aca="false">Flights!$G$10&amp;"-"&amp;Flights!$H$10</f>
        <v>KUL-LHR</v>
      </c>
      <c r="F188" s="57" t="str">
        <f aca="false">Flights!$K$10</f>
        <v>BC</v>
      </c>
      <c r="G188" s="57" t="s">
        <v>383</v>
      </c>
      <c r="H188" s="57" t="s">
        <v>341</v>
      </c>
      <c r="I188" s="57" t="s">
        <v>462</v>
      </c>
      <c r="J188" s="57" t="s">
        <v>471</v>
      </c>
      <c r="K188" s="67" t="s">
        <v>464</v>
      </c>
      <c r="L188" s="67" t="s">
        <v>703</v>
      </c>
      <c r="M188" s="67" t="s">
        <v>414</v>
      </c>
      <c r="N188" s="67" t="s">
        <v>346</v>
      </c>
      <c r="O188" s="67" t="s">
        <v>466</v>
      </c>
      <c r="P188" s="57" t="s">
        <v>177</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IF(N188="N/A – rule","N/A – RULE",IF(TRIM(U188)="N/A",IF(AT188=0,"INVALID – N/A not permitted for this mandatory check",IF(AND(TRIM(AC188)&lt;&gt;"",TRIM(AE188)&lt;&gt;"",TRIM(T188)&lt;&gt;""),"N/A – JUSTIFIED","INVALID – N/A needs justification, PIC and verifier")),IF(OR(TRIM(U188)="Pass",TRIM(U188)="Pass after CA"),IF(NOT(ISNUMBER(AD188)),"INVALID – completion time missing",IF(TRIM(T188)="","INVALID – PIC missing",IF(TRIM(Z188)="","INVALID – evidence missing",IF(TRIM(AE188)="","INVALID – verifier missing",IF(AND(AQ188=1,TRIM(W188)=""),"INVALID – batch ID missing",IF(AND(AR188=1,OR(NOT(ISNUMBER(X188)),NOT(ISNUMBER(Y188)))),"INVALID – expected/actual qty missing",IF(IF(AND(TRIM(U188)="Pass",ISNUMBER(AF188)),IF(AF188&lt;&gt;0,"INVALID – qty variance: use Fail or Pass after CA",""),"")&amp;IF(AND(TRIM(U188)="Pass",AB188="Open"),"INVALID – corrective action still open: use Fail, then Pass after CA","")&amp;IF(AND(TRIM(U188)="Pass after CA",OR(TRIM(AA188)="",AB188&lt;&gt;"Closed")),"INVALID – corrective action not recorded/closed","")&lt;&gt;"",IF(AND(TRIM(U188)="Pass",ISNUMBER(AF188)),IF(AF188&lt;&gt;0,"INVALID – qty variance: use Fail or Pass after CA",""),"")&amp;IF(AND(TRIM(U188)="Pass",AB188="Open"),"INVALID – corrective action still open: use Fail, then Pass after CA","")&amp;IF(AND(TRIM(U188)="Pass after CA",OR(TRIM(AA188)="",AB188&lt;&gt;"Closed")),"INVALID – corrective action not recorded/closed",""),IF(AND(AS188=1,Documents!$J$10&lt;&gt;"ON FILE"),"INVALID – GLD not on file (Documents sheet)",IF(AND(AS188=2,Documents!$O$10&lt;&gt;"ON FILE"),"INVALID – menu checklist not on file (Documents sheet)",IF(AND(AS188=3,NOT(ISNUMBER(Flights!$AX$10))),"INVALID – enter carrying flight KUL departure (Flights AX)",IF(AG188&gt;AsOfUTC,"INVALID – completion time is in the future",IF(AND(ISNUMBER(S188),AG188&lt;S188),IF(H188="Physical uplift","INVALID – before uplift window (cannot confirm loading)","INVALID – before valid window"),IF(AG188&gt;Flights!$AA$10,"INVALID – completed after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f>
        <v>OPEN</v>
      </c>
      <c r="AI188" s="61" t="n">
        <f aca="false">IF(OR(AH188="N/A – RULE",AH188="N/A – JUSTIFIED"),0,1)</f>
        <v>1</v>
      </c>
      <c r="AJ188" s="61" t="n">
        <f aca="false">IF(LEFT(AH188,8)="COMPLETE",1,0)</f>
        <v>0</v>
      </c>
      <c r="AK188" s="61" t="n">
        <f aca="false">IF(AND(AI188=1,AJ188=0,AsOfUTC&gt;Q188),1,0)</f>
        <v>0</v>
      </c>
      <c r="AL188" s="61" t="n">
        <f aca="false">IF(AND(AI188=1,OR(TRIM(U188)="Fail",AB188="Open",AND(ISNUMBER(AF188),AF188&lt;&gt;0,TRIM(U188)&lt;&gt;"Pass after CA"))),1,0)</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1</v>
      </c>
    </row>
    <row r="189" customFormat="false" ht="41.25" hidden="false" customHeight="true" outlineLevel="0" collapsed="false">
      <c r="A189" s="57" t="s">
        <v>704</v>
      </c>
      <c r="B189" s="57" t="s">
        <v>221</v>
      </c>
      <c r="C189" s="57" t="str">
        <f aca="false">Flights!$F$10</f>
        <v>MH0002</v>
      </c>
      <c r="D189" s="58" t="n">
        <f aca="false">Flights!$D$10</f>
        <v>46310</v>
      </c>
      <c r="E189" s="57" t="str">
        <f aca="false">Flights!$G$10&amp;"-"&amp;Flights!$H$10</f>
        <v>KUL-LHR</v>
      </c>
      <c r="F189" s="57" t="str">
        <f aca="false">Flights!$K$10</f>
        <v>BC</v>
      </c>
      <c r="G189" s="57" t="s">
        <v>383</v>
      </c>
      <c r="H189" s="57" t="s">
        <v>341</v>
      </c>
      <c r="I189" s="57" t="s">
        <v>462</v>
      </c>
      <c r="J189" s="57" t="s">
        <v>474</v>
      </c>
      <c r="K189" s="67" t="s">
        <v>464</v>
      </c>
      <c r="L189" s="67" t="s">
        <v>705</v>
      </c>
      <c r="M189" s="67" t="s">
        <v>414</v>
      </c>
      <c r="N189" s="67" t="s">
        <v>346</v>
      </c>
      <c r="O189" s="67" t="s">
        <v>466</v>
      </c>
      <c r="P189" s="57" t="s">
        <v>177</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IF(N189="N/A – rule","N/A – RULE",IF(TRIM(U189)="N/A",IF(AT189=0,"INVALID – N/A not permitted for this mandatory check",IF(AND(TRIM(AC189)&lt;&gt;"",TRIM(AE189)&lt;&gt;"",TRIM(T189)&lt;&gt;""),"N/A – JUSTIFIED","INVALID – N/A needs justification, PIC and verifier")),IF(OR(TRIM(U189)="Pass",TRIM(U189)="Pass after CA"),IF(NOT(ISNUMBER(AD189)),"INVALID – completion time missing",IF(TRIM(T189)="","INVALID – PIC missing",IF(TRIM(Z189)="","INVALID – evidence missing",IF(TRIM(AE189)="","INVALID – verifier missing",IF(AND(AQ189=1,TRIM(W189)=""),"INVALID – batch ID missing",IF(AND(AR189=1,OR(NOT(ISNUMBER(X189)),NOT(ISNUMBER(Y189)))),"INVALID – expected/actual qty missing",IF(IF(AND(TRIM(U189)="Pass",ISNUMBER(AF189)),IF(AF189&lt;&gt;0,"INVALID – qty variance: use Fail or Pass after CA",""),"")&amp;IF(AND(TRIM(U189)="Pass",AB189="Open"),"INVALID – corrective action still open: use Fail, then Pass after CA","")&amp;IF(AND(TRIM(U189)="Pass after CA",OR(TRIM(AA189)="",AB189&lt;&gt;"Closed")),"INVALID – corrective action not recorded/closed","")&lt;&gt;"",IF(AND(TRIM(U189)="Pass",ISNUMBER(AF189)),IF(AF189&lt;&gt;0,"INVALID – qty variance: use Fail or Pass after CA",""),"")&amp;IF(AND(TRIM(U189)="Pass",AB189="Open"),"INVALID – corrective action still open: use Fail, then Pass after CA","")&amp;IF(AND(TRIM(U189)="Pass after CA",OR(TRIM(AA189)="",AB189&lt;&gt;"Closed")),"INVALID – corrective action not recorded/closed",""),IF(AND(AS189=1,Documents!$J$10&lt;&gt;"ON FILE"),"INVALID – GLD not on file (Documents sheet)",IF(AND(AS189=2,Documents!$O$10&lt;&gt;"ON FILE"),"INVALID – menu checklist not on file (Documents sheet)",IF(AND(AS189=3,NOT(ISNUMBER(Flights!$AX$10))),"INVALID – enter carrying flight KUL departure (Flights AX)",IF(AG189&gt;AsOfUTC,"INVALID – completion time is in the future",IF(AND(ISNUMBER(S189),AG189&lt;S189),IF(H189="Physical uplift","INVALID – before uplift window (cannot confirm loading)","INVALID – before valid window"),IF(AG189&gt;Flights!$AA$10,"INVALID – completed after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f>
        <v>OPEN</v>
      </c>
      <c r="AI189" s="61" t="n">
        <f aca="false">IF(OR(AH189="N/A – RULE",AH189="N/A – JUSTIFIED"),0,1)</f>
        <v>1</v>
      </c>
      <c r="AJ189" s="61" t="n">
        <f aca="false">IF(LEFT(AH189,8)="COMPLETE",1,0)</f>
        <v>0</v>
      </c>
      <c r="AK189" s="61" t="n">
        <f aca="false">IF(AND(AI189=1,AJ189=0,AsOfUTC&gt;Q189),1,0)</f>
        <v>0</v>
      </c>
      <c r="AL189" s="61" t="n">
        <f aca="false">IF(AND(AI189=1,OR(TRIM(U189)="Fail",AB189="Open",AND(ISNUMBER(AF189),AF189&lt;&gt;0,TRIM(U189)&lt;&gt;"Pass after CA"))),1,0)</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1</v>
      </c>
    </row>
    <row r="190" customFormat="false" ht="41.25" hidden="false" customHeight="true" outlineLevel="0" collapsed="false">
      <c r="A190" s="57" t="s">
        <v>706</v>
      </c>
      <c r="B190" s="57" t="s">
        <v>221</v>
      </c>
      <c r="C190" s="57" t="str">
        <f aca="false">Flights!$F$10</f>
        <v>MH0002</v>
      </c>
      <c r="D190" s="58" t="n">
        <f aca="false">Flights!$D$10</f>
        <v>46310</v>
      </c>
      <c r="E190" s="57" t="str">
        <f aca="false">Flights!$G$10&amp;"-"&amp;Flights!$H$10</f>
        <v>KUL-LHR</v>
      </c>
      <c r="F190" s="57" t="str">
        <f aca="false">Flights!$K$10</f>
        <v>BC</v>
      </c>
      <c r="G190" s="57" t="s">
        <v>383</v>
      </c>
      <c r="H190" s="57" t="s">
        <v>341</v>
      </c>
      <c r="I190" s="57" t="s">
        <v>462</v>
      </c>
      <c r="J190" s="57" t="s">
        <v>478</v>
      </c>
      <c r="K190" s="67" t="s">
        <v>464</v>
      </c>
      <c r="L190" s="67" t="s">
        <v>707</v>
      </c>
      <c r="M190" s="67" t="s">
        <v>414</v>
      </c>
      <c r="N190" s="67" t="s">
        <v>346</v>
      </c>
      <c r="O190" s="67" t="s">
        <v>466</v>
      </c>
      <c r="P190" s="57" t="s">
        <v>177</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IF(N190="N/A – rule","N/A – RULE",IF(TRIM(U190)="N/A",IF(AT190=0,"INVALID – N/A not permitted for this mandatory check",IF(AND(TRIM(AC190)&lt;&gt;"",TRIM(AE190)&lt;&gt;"",TRIM(T190)&lt;&gt;""),"N/A – JUSTIFIED","INVALID – N/A needs justification, PIC and verifier")),IF(OR(TRIM(U190)="Pass",TRIM(U190)="Pass after CA"),IF(NOT(ISNUMBER(AD190)),"INVALID – completion time missing",IF(TRIM(T190)="","INVALID – PIC missing",IF(TRIM(Z190)="","INVALID – evidence missing",IF(TRIM(AE190)="","INVALID – verifier missing",IF(AND(AQ190=1,TRIM(W190)=""),"INVALID – batch ID missing",IF(AND(AR190=1,OR(NOT(ISNUMBER(X190)),NOT(ISNUMBER(Y190)))),"INVALID – expected/actual qty missing",IF(IF(AND(TRIM(U190)="Pass",ISNUMBER(AF190)),IF(AF190&lt;&gt;0,"INVALID – qty variance: use Fail or Pass after CA",""),"")&amp;IF(AND(TRIM(U190)="Pass",AB190="Open"),"INVALID – corrective action still open: use Fail, then Pass after CA","")&amp;IF(AND(TRIM(U190)="Pass after CA",OR(TRIM(AA190)="",AB190&lt;&gt;"Closed")),"INVALID – corrective action not recorded/closed","")&lt;&gt;"",IF(AND(TRIM(U190)="Pass",ISNUMBER(AF190)),IF(AF190&lt;&gt;0,"INVALID – qty variance: use Fail or Pass after CA",""),"")&amp;IF(AND(TRIM(U190)="Pass",AB190="Open"),"INVALID – corrective action still open: use Fail, then Pass after CA","")&amp;IF(AND(TRIM(U190)="Pass after CA",OR(TRIM(AA190)="",AB190&lt;&gt;"Closed")),"INVALID – corrective action not recorded/closed",""),IF(AND(AS190=1,Documents!$J$10&lt;&gt;"ON FILE"),"INVALID – GLD not on file (Documents sheet)",IF(AND(AS190=2,Documents!$O$10&lt;&gt;"ON FILE"),"INVALID – menu checklist not on file (Documents sheet)",IF(AND(AS190=3,NOT(ISNUMBER(Flights!$AX$10))),"INVALID – enter carrying flight KUL departure (Flights AX)",IF(AG190&gt;AsOfUTC,"INVALID – completion time is in the future",IF(AND(ISNUMBER(S190),AG190&lt;S190),IF(H190="Physical uplift","INVALID – before uplift window (cannot confirm loading)","INVALID – before valid window"),IF(AG190&gt;Flights!$AA$10,"INVALID – completed after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f>
        <v>OPEN</v>
      </c>
      <c r="AI190" s="61" t="n">
        <f aca="false">IF(OR(AH190="N/A – RULE",AH190="N/A – JUSTIFIED"),0,1)</f>
        <v>1</v>
      </c>
      <c r="AJ190" s="61" t="n">
        <f aca="false">IF(LEFT(AH190,8)="COMPLETE",1,0)</f>
        <v>0</v>
      </c>
      <c r="AK190" s="61" t="n">
        <f aca="false">IF(AND(AI190=1,AJ190=0,AsOfUTC&gt;Q190),1,0)</f>
        <v>0</v>
      </c>
      <c r="AL190" s="61" t="n">
        <f aca="false">IF(AND(AI190=1,OR(TRIM(U190)="Fail",AB190="Open",AND(ISNUMBER(AF190),AF190&lt;&gt;0,TRIM(U190)&lt;&gt;"Pass after CA"))),1,0)</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1</v>
      </c>
    </row>
    <row r="191" customFormat="false" ht="54" hidden="false" customHeight="true" outlineLevel="0" collapsed="false">
      <c r="A191" s="57" t="s">
        <v>708</v>
      </c>
      <c r="B191" s="57" t="s">
        <v>221</v>
      </c>
      <c r="C191" s="57" t="str">
        <f aca="false">Flights!$F$10</f>
        <v>MH0002</v>
      </c>
      <c r="D191" s="58" t="n">
        <f aca="false">Flights!$D$10</f>
        <v>46310</v>
      </c>
      <c r="E191" s="57" t="str">
        <f aca="false">Flights!$G$10&amp;"-"&amp;Flights!$H$10</f>
        <v>KUL-LHR</v>
      </c>
      <c r="F191" s="57" t="str">
        <f aca="false">Flights!$K$10</f>
        <v>BC</v>
      </c>
      <c r="G191" s="57" t="s">
        <v>383</v>
      </c>
      <c r="H191" s="57" t="s">
        <v>341</v>
      </c>
      <c r="I191" s="57" t="s">
        <v>462</v>
      </c>
      <c r="J191" s="57" t="s">
        <v>481</v>
      </c>
      <c r="K191" s="67" t="s">
        <v>579</v>
      </c>
      <c r="L191" s="67" t="s">
        <v>709</v>
      </c>
      <c r="M191" s="67" t="s">
        <v>414</v>
      </c>
      <c r="N191" s="67" t="s">
        <v>346</v>
      </c>
      <c r="O191" s="67" t="s">
        <v>484</v>
      </c>
      <c r="P191" s="57" t="s">
        <v>177</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IF(N191="N/A – rule","N/A – RULE",IF(TRIM(U191)="N/A",IF(AT191=0,"INVALID – N/A not permitted for this mandatory check",IF(AND(TRIM(AC191)&lt;&gt;"",TRIM(AE191)&lt;&gt;"",TRIM(T191)&lt;&gt;""),"N/A – JUSTIFIED","INVALID – N/A needs justification, PIC and verifier")),IF(OR(TRIM(U191)="Pass",TRIM(U191)="Pass after CA"),IF(NOT(ISNUMBER(AD191)),"INVALID – completion time missing",IF(TRIM(T191)="","INVALID – PIC missing",IF(TRIM(Z191)="","INVALID – evidence missing",IF(TRIM(AE191)="","INVALID – verifier missing",IF(AND(AQ191=1,TRIM(W191)=""),"INVALID – batch ID missing",IF(AND(AR191=1,OR(NOT(ISNUMBER(X191)),NOT(ISNUMBER(Y191)))),"INVALID – expected/actual qty missing",IF(IF(AND(TRIM(U191)="Pass",ISNUMBER(AF191)),IF(AF191&lt;&gt;0,"INVALID – qty variance: use Fail or Pass after CA",""),"")&amp;IF(AND(TRIM(U191)="Pass",AB191="Open"),"INVALID – corrective action still open: use Fail, then Pass after CA","")&amp;IF(AND(TRIM(U191)="Pass after CA",OR(TRIM(AA191)="",AB191&lt;&gt;"Closed")),"INVALID – corrective action not recorded/closed","")&lt;&gt;"",IF(AND(TRIM(U191)="Pass",ISNUMBER(AF191)),IF(AF191&lt;&gt;0,"INVALID – qty variance: use Fail or Pass after CA",""),"")&amp;IF(AND(TRIM(U191)="Pass",AB191="Open"),"INVALID – corrective action still open: use Fail, then Pass after CA","")&amp;IF(AND(TRIM(U191)="Pass after CA",OR(TRIM(AA191)="",AB191&lt;&gt;"Closed")),"INVALID – corrective action not recorded/closed",""),IF(AND(AS191=1,Documents!$J$10&lt;&gt;"ON FILE"),"INVALID – GLD not on file (Documents sheet)",IF(AND(AS191=2,Documents!$O$10&lt;&gt;"ON FILE"),"INVALID – menu checklist not on file (Documents sheet)",IF(AND(AS191=3,NOT(ISNUMBER(Flights!$AX$10))),"INVALID – enter carrying flight KUL departure (Flights AX)",IF(AG191&gt;AsOfUTC,"INVALID – completion time is in the future",IF(AND(ISNUMBER(S191),AG191&lt;S191),IF(H191="Physical uplift","INVALID – before uplift window (cannot confirm loading)","INVALID – before valid window"),IF(AG191&gt;Flights!$AA$10,"INVALID – completed after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f>
        <v>OPEN</v>
      </c>
      <c r="AI191" s="61" t="n">
        <f aca="false">IF(OR(AH191="N/A – RULE",AH191="N/A – JUSTIFIED"),0,1)</f>
        <v>1</v>
      </c>
      <c r="AJ191" s="61" t="n">
        <f aca="false">IF(LEFT(AH191,8)="COMPLETE",1,0)</f>
        <v>0</v>
      </c>
      <c r="AK191" s="61" t="n">
        <f aca="false">IF(AND(AI191=1,AJ191=0,AsOfUTC&gt;Q191),1,0)</f>
        <v>0</v>
      </c>
      <c r="AL191" s="61" t="n">
        <f aca="false">IF(AND(AI191=1,OR(TRIM(U191)="Fail",AB191="Open",AND(ISNUMBER(AF191),AF191&lt;&gt;0,TRIM(U191)&lt;&gt;"Pass after CA"))),1,0)</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1</v>
      </c>
    </row>
    <row r="192" customFormat="false" ht="41.25" hidden="false" customHeight="true" outlineLevel="0" collapsed="false">
      <c r="A192" s="57" t="s">
        <v>710</v>
      </c>
      <c r="B192" s="57" t="s">
        <v>221</v>
      </c>
      <c r="C192" s="57" t="str">
        <f aca="false">Flights!$F$10</f>
        <v>MH0002</v>
      </c>
      <c r="D192" s="58" t="n">
        <f aca="false">Flights!$D$10</f>
        <v>46310</v>
      </c>
      <c r="E192" s="57" t="str">
        <f aca="false">Flights!$G$10&amp;"-"&amp;Flights!$H$10</f>
        <v>KUL-LHR</v>
      </c>
      <c r="F192" s="57" t="str">
        <f aca="false">Flights!$K$10</f>
        <v>BC</v>
      </c>
      <c r="G192" s="57" t="s">
        <v>383</v>
      </c>
      <c r="H192" s="57" t="s">
        <v>341</v>
      </c>
      <c r="I192" s="57" t="s">
        <v>462</v>
      </c>
      <c r="J192" s="57" t="s">
        <v>486</v>
      </c>
      <c r="K192" s="67" t="s">
        <v>464</v>
      </c>
      <c r="L192" s="67" t="s">
        <v>711</v>
      </c>
      <c r="M192" s="67" t="s">
        <v>414</v>
      </c>
      <c r="N192" s="67" t="s">
        <v>346</v>
      </c>
      <c r="O192" s="67" t="s">
        <v>466</v>
      </c>
      <c r="P192" s="57" t="s">
        <v>177</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IF(N192="N/A – rule","N/A – RULE",IF(TRIM(U192)="N/A",IF(AT192=0,"INVALID – N/A not permitted for this mandatory check",IF(AND(TRIM(AC192)&lt;&gt;"",TRIM(AE192)&lt;&gt;"",TRIM(T192)&lt;&gt;""),"N/A – JUSTIFIED","INVALID – N/A needs justification, PIC and verifier")),IF(OR(TRIM(U192)="Pass",TRIM(U192)="Pass after CA"),IF(NOT(ISNUMBER(AD192)),"INVALID – completion time missing",IF(TRIM(T192)="","INVALID – PIC missing",IF(TRIM(Z192)="","INVALID – evidence missing",IF(TRIM(AE192)="","INVALID – verifier missing",IF(AND(AQ192=1,TRIM(W192)=""),"INVALID – batch ID missing",IF(AND(AR192=1,OR(NOT(ISNUMBER(X192)),NOT(ISNUMBER(Y192)))),"INVALID – expected/actual qty missing",IF(IF(AND(TRIM(U192)="Pass",ISNUMBER(AF192)),IF(AF192&lt;&gt;0,"INVALID – qty variance: use Fail or Pass after CA",""),"")&amp;IF(AND(TRIM(U192)="Pass",AB192="Open"),"INVALID – corrective action still open: use Fail, then Pass after CA","")&amp;IF(AND(TRIM(U192)="Pass after CA",OR(TRIM(AA192)="",AB192&lt;&gt;"Closed")),"INVALID – corrective action not recorded/closed","")&lt;&gt;"",IF(AND(TRIM(U192)="Pass",ISNUMBER(AF192)),IF(AF192&lt;&gt;0,"INVALID – qty variance: use Fail or Pass after CA",""),"")&amp;IF(AND(TRIM(U192)="Pass",AB192="Open"),"INVALID – corrective action still open: use Fail, then Pass after CA","")&amp;IF(AND(TRIM(U192)="Pass after CA",OR(TRIM(AA192)="",AB192&lt;&gt;"Closed")),"INVALID – corrective action not recorded/closed",""),IF(AND(AS192=1,Documents!$J$10&lt;&gt;"ON FILE"),"INVALID – GLD not on file (Documents sheet)",IF(AND(AS192=2,Documents!$O$10&lt;&gt;"ON FILE"),"INVALID – menu checklist not on file (Documents sheet)",IF(AND(AS192=3,NOT(ISNUMBER(Flights!$AX$10))),"INVALID – enter carrying flight KUL departure (Flights AX)",IF(AG192&gt;AsOfUTC,"INVALID – completion time is in the future",IF(AND(ISNUMBER(S192),AG192&lt;S192),IF(H192="Physical uplift","INVALID – before uplift window (cannot confirm loading)","INVALID – before valid window"),IF(AG192&gt;Flights!$AA$10,"INVALID – completed after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f>
        <v>OPEN</v>
      </c>
      <c r="AI192" s="61" t="n">
        <f aca="false">IF(OR(AH192="N/A – RULE",AH192="N/A – JUSTIFIED"),0,1)</f>
        <v>1</v>
      </c>
      <c r="AJ192" s="61" t="n">
        <f aca="false">IF(LEFT(AH192,8)="COMPLETE",1,0)</f>
        <v>0</v>
      </c>
      <c r="AK192" s="61" t="n">
        <f aca="false">IF(AND(AI192=1,AJ192=0,AsOfUTC&gt;Q192),1,0)</f>
        <v>0</v>
      </c>
      <c r="AL192" s="61" t="n">
        <f aca="false">IF(AND(AI192=1,OR(TRIM(U192)="Fail",AB192="Open",AND(ISNUMBER(AF192),AF192&lt;&gt;0,TRIM(U192)&lt;&gt;"Pass after CA"))),1,0)</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1</v>
      </c>
    </row>
    <row r="193" customFormat="false" ht="41.25" hidden="false" customHeight="true" outlineLevel="0" collapsed="false">
      <c r="A193" s="57" t="s">
        <v>712</v>
      </c>
      <c r="B193" s="57" t="s">
        <v>221</v>
      </c>
      <c r="C193" s="57" t="str">
        <f aca="false">Flights!$F$10</f>
        <v>MH0002</v>
      </c>
      <c r="D193" s="58" t="n">
        <f aca="false">Flights!$D$10</f>
        <v>46310</v>
      </c>
      <c r="E193" s="57" t="str">
        <f aca="false">Flights!$G$10&amp;"-"&amp;Flights!$H$10</f>
        <v>KUL-LHR</v>
      </c>
      <c r="F193" s="57" t="str">
        <f aca="false">Flights!$K$10</f>
        <v>BC</v>
      </c>
      <c r="G193" s="57" t="s">
        <v>383</v>
      </c>
      <c r="H193" s="57" t="s">
        <v>341</v>
      </c>
      <c r="I193" s="57" t="s">
        <v>410</v>
      </c>
      <c r="J193" s="57" t="s">
        <v>489</v>
      </c>
      <c r="K193" s="67" t="s">
        <v>412</v>
      </c>
      <c r="L193" s="67" t="s">
        <v>713</v>
      </c>
      <c r="M193" s="67" t="s">
        <v>414</v>
      </c>
      <c r="N193" s="67" t="s">
        <v>346</v>
      </c>
      <c r="O193" s="67" t="s">
        <v>466</v>
      </c>
      <c r="P193" s="57" t="s">
        <v>177</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IF(N193="N/A – rule","N/A – RULE",IF(TRIM(U193)="N/A",IF(AT193=0,"INVALID – N/A not permitted for this mandatory check",IF(AND(TRIM(AC193)&lt;&gt;"",TRIM(AE193)&lt;&gt;"",TRIM(T193)&lt;&gt;""),"N/A – JUSTIFIED","INVALID – N/A needs justification, PIC and verifier")),IF(OR(TRIM(U193)="Pass",TRIM(U193)="Pass after CA"),IF(NOT(ISNUMBER(AD193)),"INVALID – completion time missing",IF(TRIM(T193)="","INVALID – PIC missing",IF(TRIM(Z193)="","INVALID – evidence missing",IF(TRIM(AE193)="","INVALID – verifier missing",IF(AND(AQ193=1,TRIM(W193)=""),"INVALID – batch ID missing",IF(AND(AR193=1,OR(NOT(ISNUMBER(X193)),NOT(ISNUMBER(Y193)))),"INVALID – expected/actual qty missing",IF(IF(AND(TRIM(U193)="Pass",ISNUMBER(AF193)),IF(AF193&lt;&gt;0,"INVALID – qty variance: use Fail or Pass after CA",""),"")&amp;IF(AND(TRIM(U193)="Pass",AB193="Open"),"INVALID – corrective action still open: use Fail, then Pass after CA","")&amp;IF(AND(TRIM(U193)="Pass after CA",OR(TRIM(AA193)="",AB193&lt;&gt;"Closed")),"INVALID – corrective action not recorded/closed","")&lt;&gt;"",IF(AND(TRIM(U193)="Pass",ISNUMBER(AF193)),IF(AF193&lt;&gt;0,"INVALID – qty variance: use Fail or Pass after CA",""),"")&amp;IF(AND(TRIM(U193)="Pass",AB193="Open"),"INVALID – corrective action still open: use Fail, then Pass after CA","")&amp;IF(AND(TRIM(U193)="Pass after CA",OR(TRIM(AA193)="",AB193&lt;&gt;"Closed")),"INVALID – corrective action not recorded/closed",""),IF(AND(AS193=1,Documents!$J$10&lt;&gt;"ON FILE"),"INVALID – GLD not on file (Documents sheet)",IF(AND(AS193=2,Documents!$O$10&lt;&gt;"ON FILE"),"INVALID – menu checklist not on file (Documents sheet)",IF(AND(AS193=3,NOT(ISNUMBER(Flights!$AX$10))),"INVALID – enter carrying flight KUL departure (Flights AX)",IF(AG193&gt;AsOfUTC,"INVALID – completion time is in the future",IF(AND(ISNUMBER(S193),AG193&lt;S193),IF(H193="Physical uplift","INVALID – before uplift window (cannot confirm loading)","INVALID – before valid window"),IF(AG193&gt;Flights!$AA$10,"INVALID – completed after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f>
        <v>OPEN</v>
      </c>
      <c r="AI193" s="61" t="n">
        <f aca="false">IF(OR(AH193="N/A – RULE",AH193="N/A – JUSTIFIED"),0,1)</f>
        <v>1</v>
      </c>
      <c r="AJ193" s="61" t="n">
        <f aca="false">IF(LEFT(AH193,8)="COMPLETE",1,0)</f>
        <v>0</v>
      </c>
      <c r="AK193" s="61" t="n">
        <f aca="false">IF(AND(AI193=1,AJ193=0,AsOfUTC&gt;Q193),1,0)</f>
        <v>0</v>
      </c>
      <c r="AL193" s="61" t="n">
        <f aca="false">IF(AND(AI193=1,OR(TRIM(U193)="Fail",AB193="Open",AND(ISNUMBER(AF193),AF193&lt;&gt;0,TRIM(U193)&lt;&gt;"Pass after CA"))),1,0)</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1</v>
      </c>
    </row>
    <row r="194" customFormat="false" ht="41.25" hidden="false" customHeight="true" outlineLevel="0" collapsed="false">
      <c r="A194" s="57" t="s">
        <v>714</v>
      </c>
      <c r="B194" s="57" t="s">
        <v>221</v>
      </c>
      <c r="C194" s="57" t="str">
        <f aca="false">Flights!$F$10</f>
        <v>MH0002</v>
      </c>
      <c r="D194" s="58" t="n">
        <f aca="false">Flights!$D$10</f>
        <v>46310</v>
      </c>
      <c r="E194" s="57" t="str">
        <f aca="false">Flights!$G$10&amp;"-"&amp;Flights!$H$10</f>
        <v>KUL-LHR</v>
      </c>
      <c r="F194" s="57" t="str">
        <f aca="false">Flights!$K$10</f>
        <v>BC</v>
      </c>
      <c r="G194" s="57" t="s">
        <v>383</v>
      </c>
      <c r="H194" s="57" t="s">
        <v>341</v>
      </c>
      <c r="I194" s="57" t="s">
        <v>410</v>
      </c>
      <c r="J194" s="57" t="s">
        <v>586</v>
      </c>
      <c r="K194" s="67" t="s">
        <v>412</v>
      </c>
      <c r="L194" s="67" t="s">
        <v>715</v>
      </c>
      <c r="M194" s="67" t="s">
        <v>414</v>
      </c>
      <c r="N194" s="67" t="s">
        <v>346</v>
      </c>
      <c r="O194" s="67" t="s">
        <v>466</v>
      </c>
      <c r="P194" s="57" t="s">
        <v>177</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IF(N194="N/A – rule","N/A – RULE",IF(TRIM(U194)="N/A",IF(AT194=0,"INVALID – N/A not permitted for this mandatory check",IF(AND(TRIM(AC194)&lt;&gt;"",TRIM(AE194)&lt;&gt;"",TRIM(T194)&lt;&gt;""),"N/A – JUSTIFIED","INVALID – N/A needs justification, PIC and verifier")),IF(OR(TRIM(U194)="Pass",TRIM(U194)="Pass after CA"),IF(NOT(ISNUMBER(AD194)),"INVALID – completion time missing",IF(TRIM(T194)="","INVALID – PIC missing",IF(TRIM(Z194)="","INVALID – evidence missing",IF(TRIM(AE194)="","INVALID – verifier missing",IF(AND(AQ194=1,TRIM(W194)=""),"INVALID – batch ID missing",IF(AND(AR194=1,OR(NOT(ISNUMBER(X194)),NOT(ISNUMBER(Y194)))),"INVALID – expected/actual qty missing",IF(IF(AND(TRIM(U194)="Pass",ISNUMBER(AF194)),IF(AF194&lt;&gt;0,"INVALID – qty variance: use Fail or Pass after CA",""),"")&amp;IF(AND(TRIM(U194)="Pass",AB194="Open"),"INVALID – corrective action still open: use Fail, then Pass after CA","")&amp;IF(AND(TRIM(U194)="Pass after CA",OR(TRIM(AA194)="",AB194&lt;&gt;"Closed")),"INVALID – corrective action not recorded/closed","")&lt;&gt;"",IF(AND(TRIM(U194)="Pass",ISNUMBER(AF194)),IF(AF194&lt;&gt;0,"INVALID – qty variance: use Fail or Pass after CA",""),"")&amp;IF(AND(TRIM(U194)="Pass",AB194="Open"),"INVALID – corrective action still open: use Fail, then Pass after CA","")&amp;IF(AND(TRIM(U194)="Pass after CA",OR(TRIM(AA194)="",AB194&lt;&gt;"Closed")),"INVALID – corrective action not recorded/closed",""),IF(AND(AS194=1,Documents!$J$10&lt;&gt;"ON FILE"),"INVALID – GLD not on file (Documents sheet)",IF(AND(AS194=2,Documents!$O$10&lt;&gt;"ON FILE"),"INVALID – menu checklist not on file (Documents sheet)",IF(AND(AS194=3,NOT(ISNUMBER(Flights!$AX$10))),"INVALID – enter carrying flight KUL departure (Flights AX)",IF(AG194&gt;AsOfUTC,"INVALID – completion time is in the future",IF(AND(ISNUMBER(S194),AG194&lt;S194),IF(H194="Physical uplift","INVALID – before uplift window (cannot confirm loading)","INVALID – before valid window"),IF(AG194&gt;Flights!$AA$10,"INVALID – completed after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f>
        <v>OPEN</v>
      </c>
      <c r="AI194" s="61" t="n">
        <f aca="false">IF(OR(AH194="N/A – RULE",AH194="N/A – JUSTIFIED"),0,1)</f>
        <v>1</v>
      </c>
      <c r="AJ194" s="61" t="n">
        <f aca="false">IF(LEFT(AH194,8)="COMPLETE",1,0)</f>
        <v>0</v>
      </c>
      <c r="AK194" s="61" t="n">
        <f aca="false">IF(AND(AI194=1,AJ194=0,AsOfUTC&gt;Q194),1,0)</f>
        <v>0</v>
      </c>
      <c r="AL194" s="61" t="n">
        <f aca="false">IF(AND(AI194=1,OR(TRIM(U194)="Fail",AB194="Open",AND(ISNUMBER(AF194),AF194&lt;&gt;0,TRIM(U194)&lt;&gt;"Pass after CA"))),1,0)</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1</v>
      </c>
    </row>
    <row r="195" customFormat="false" ht="41.25" hidden="false" customHeight="true" outlineLevel="0" collapsed="false">
      <c r="A195" s="57" t="s">
        <v>716</v>
      </c>
      <c r="B195" s="57" t="s">
        <v>221</v>
      </c>
      <c r="C195" s="57" t="str">
        <f aca="false">Flights!$F$10</f>
        <v>MH0002</v>
      </c>
      <c r="D195" s="58" t="n">
        <f aca="false">Flights!$D$10</f>
        <v>46310</v>
      </c>
      <c r="E195" s="57" t="str">
        <f aca="false">Flights!$G$10&amp;"-"&amp;Flights!$H$10</f>
        <v>KUL-LHR</v>
      </c>
      <c r="F195" s="57" t="str">
        <f aca="false">Flights!$K$10</f>
        <v>BC</v>
      </c>
      <c r="G195" s="57" t="s">
        <v>383</v>
      </c>
      <c r="H195" s="57" t="s">
        <v>341</v>
      </c>
      <c r="I195" s="57" t="s">
        <v>410</v>
      </c>
      <c r="J195" s="57" t="s">
        <v>589</v>
      </c>
      <c r="K195" s="67" t="s">
        <v>412</v>
      </c>
      <c r="L195" s="67" t="s">
        <v>717</v>
      </c>
      <c r="M195" s="67" t="s">
        <v>414</v>
      </c>
      <c r="N195" s="67" t="s">
        <v>346</v>
      </c>
      <c r="O195" s="67" t="s">
        <v>466</v>
      </c>
      <c r="P195" s="57" t="s">
        <v>177</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IF(N195="N/A – rule","N/A – RULE",IF(TRIM(U195)="N/A",IF(AT195=0,"INVALID – N/A not permitted for this mandatory check",IF(AND(TRIM(AC195)&lt;&gt;"",TRIM(AE195)&lt;&gt;"",TRIM(T195)&lt;&gt;""),"N/A – JUSTIFIED","INVALID – N/A needs justification, PIC and verifier")),IF(OR(TRIM(U195)="Pass",TRIM(U195)="Pass after CA"),IF(NOT(ISNUMBER(AD195)),"INVALID – completion time missing",IF(TRIM(T195)="","INVALID – PIC missing",IF(TRIM(Z195)="","INVALID – evidence missing",IF(TRIM(AE195)="","INVALID – verifier missing",IF(AND(AQ195=1,TRIM(W195)=""),"INVALID – batch ID missing",IF(AND(AR195=1,OR(NOT(ISNUMBER(X195)),NOT(ISNUMBER(Y195)))),"INVALID – expected/actual qty missing",IF(IF(AND(TRIM(U195)="Pass",ISNUMBER(AF195)),IF(AF195&lt;&gt;0,"INVALID – qty variance: use Fail or Pass after CA",""),"")&amp;IF(AND(TRIM(U195)="Pass",AB195="Open"),"INVALID – corrective action still open: use Fail, then Pass after CA","")&amp;IF(AND(TRIM(U195)="Pass after CA",OR(TRIM(AA195)="",AB195&lt;&gt;"Closed")),"INVALID – corrective action not recorded/closed","")&lt;&gt;"",IF(AND(TRIM(U195)="Pass",ISNUMBER(AF195)),IF(AF195&lt;&gt;0,"INVALID – qty variance: use Fail or Pass after CA",""),"")&amp;IF(AND(TRIM(U195)="Pass",AB195="Open"),"INVALID – corrective action still open: use Fail, then Pass after CA","")&amp;IF(AND(TRIM(U195)="Pass after CA",OR(TRIM(AA195)="",AB195&lt;&gt;"Closed")),"INVALID – corrective action not recorded/closed",""),IF(AND(AS195=1,Documents!$J$10&lt;&gt;"ON FILE"),"INVALID – GLD not on file (Documents sheet)",IF(AND(AS195=2,Documents!$O$10&lt;&gt;"ON FILE"),"INVALID – menu checklist not on file (Documents sheet)",IF(AND(AS195=3,NOT(ISNUMBER(Flights!$AX$10))),"INVALID – enter carrying flight KUL departure (Flights AX)",IF(AG195&gt;AsOfUTC,"INVALID – completion time is in the future",IF(AND(ISNUMBER(S195),AG195&lt;S195),IF(H195="Physical uplift","INVALID – before uplift window (cannot confirm loading)","INVALID – before valid window"),IF(AG195&gt;Flights!$AA$10,"INVALID – completed after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f>
        <v>OPEN</v>
      </c>
      <c r="AI195" s="61" t="n">
        <f aca="false">IF(OR(AH195="N/A – RULE",AH195="N/A – JUSTIFIED"),0,1)</f>
        <v>1</v>
      </c>
      <c r="AJ195" s="61" t="n">
        <f aca="false">IF(LEFT(AH195,8)="COMPLETE",1,0)</f>
        <v>0</v>
      </c>
      <c r="AK195" s="61" t="n">
        <f aca="false">IF(AND(AI195=1,AJ195=0,AsOfUTC&gt;Q195),1,0)</f>
        <v>0</v>
      </c>
      <c r="AL195" s="61" t="n">
        <f aca="false">IF(AND(AI195=1,OR(TRIM(U195)="Fail",AB195="Open",AND(ISNUMBER(AF195),AF195&lt;&gt;0,TRIM(U195)&lt;&gt;"Pass after CA"))),1,0)</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1</v>
      </c>
    </row>
    <row r="196" customFormat="false" ht="39.75" hidden="false" customHeight="true" outlineLevel="0" collapsed="false">
      <c r="A196" s="57" t="s">
        <v>718</v>
      </c>
      <c r="B196" s="57" t="s">
        <v>221</v>
      </c>
      <c r="C196" s="57" t="str">
        <f aca="false">Flights!$F$10</f>
        <v>MH0002</v>
      </c>
      <c r="D196" s="58" t="n">
        <f aca="false">Flights!$D$10</f>
        <v>46310</v>
      </c>
      <c r="E196" s="57" t="str">
        <f aca="false">Flights!$G$10&amp;"-"&amp;Flights!$H$10</f>
        <v>KUL-LHR</v>
      </c>
      <c r="F196" s="57" t="str">
        <f aca="false">Flights!$K$10</f>
        <v>BC</v>
      </c>
      <c r="G196" s="57" t="s">
        <v>383</v>
      </c>
      <c r="H196" s="57" t="s">
        <v>341</v>
      </c>
      <c r="I196" s="57" t="s">
        <v>592</v>
      </c>
      <c r="J196" s="57" t="s">
        <v>593</v>
      </c>
      <c r="K196" s="67" t="s">
        <v>464</v>
      </c>
      <c r="L196" s="67" t="s">
        <v>719</v>
      </c>
      <c r="M196" s="67" t="s">
        <v>177</v>
      </c>
      <c r="N196" s="67" t="s">
        <v>346</v>
      </c>
      <c r="O196" s="67" t="s">
        <v>595</v>
      </c>
      <c r="P196" s="57" t="s">
        <v>177</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IF(N196="N/A – rule","N/A – RULE",IF(TRIM(U196)="N/A",IF(AT196=0,"INVALID – N/A not permitted for this mandatory check",IF(AND(TRIM(AC196)&lt;&gt;"",TRIM(AE196)&lt;&gt;"",TRIM(T196)&lt;&gt;""),"N/A – JUSTIFIED","INVALID – N/A needs justification, PIC and verifier")),IF(OR(TRIM(U196)="Pass",TRIM(U196)="Pass after CA"),IF(NOT(ISNUMBER(AD196)),"INVALID – completion time missing",IF(TRIM(T196)="","INVALID – PIC missing",IF(TRIM(Z196)="","INVALID – evidence missing",IF(TRIM(AE196)="","INVALID – verifier missing",IF(AND(AQ196=1,TRIM(W196)=""),"INVALID – batch ID missing",IF(AND(AR196=1,OR(NOT(ISNUMBER(X196)),NOT(ISNUMBER(Y196)))),"INVALID – expected/actual qty missing",IF(IF(AND(TRIM(U196)="Pass",ISNUMBER(AF196)),IF(AF196&lt;&gt;0,"INVALID – qty variance: use Fail or Pass after CA",""),"")&amp;IF(AND(TRIM(U196)="Pass",AB196="Open"),"INVALID – corrective action still open: use Fail, then Pass after CA","")&amp;IF(AND(TRIM(U196)="Pass after CA",OR(TRIM(AA196)="",AB196&lt;&gt;"Closed")),"INVALID – corrective action not recorded/closed","")&lt;&gt;"",IF(AND(TRIM(U196)="Pass",ISNUMBER(AF196)),IF(AF196&lt;&gt;0,"INVALID – qty variance: use Fail or Pass after CA",""),"")&amp;IF(AND(TRIM(U196)="Pass",AB196="Open"),"INVALID – corrective action still open: use Fail, then Pass after CA","")&amp;IF(AND(TRIM(U196)="Pass after CA",OR(TRIM(AA196)="",AB196&lt;&gt;"Closed")),"INVALID – corrective action not recorded/closed",""),IF(AND(AS196=1,Documents!$J$10&lt;&gt;"ON FILE"),"INVALID – GLD not on file (Documents sheet)",IF(AND(AS196=2,Documents!$O$10&lt;&gt;"ON FILE"),"INVALID – menu checklist not on file (Documents sheet)",IF(AND(AS196=3,NOT(ISNUMBER(Flights!$AX$10))),"INVALID – enter carrying flight KUL departure (Flights AX)",IF(AG196&gt;AsOfUTC,"INVALID – completion time is in the future",IF(AND(ISNUMBER(S196),AG196&lt;S196),IF(H196="Physical uplift","INVALID – before uplift window (cannot confirm loading)","INVALID – before valid window"),IF(AG196&gt;Flights!$AA$10,"INVALID – completed after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f>
        <v>OPEN</v>
      </c>
      <c r="AI196" s="61" t="n">
        <f aca="false">IF(OR(AH196="N/A – RULE",AH196="N/A – JUSTIFIED"),0,1)</f>
        <v>1</v>
      </c>
      <c r="AJ196" s="61" t="n">
        <f aca="false">IF(LEFT(AH196,8)="COMPLETE",1,0)</f>
        <v>0</v>
      </c>
      <c r="AK196" s="61" t="n">
        <f aca="false">IF(AND(AI196=1,AJ196=0,AsOfUTC&gt;Q196),1,0)</f>
        <v>0</v>
      </c>
      <c r="AL196" s="61" t="n">
        <f aca="false">IF(AND(AI196=1,OR(TRIM(U196)="Fail",AB196="Open",AND(ISNUMBER(AF196),AF196&lt;&gt;0,TRIM(U196)&lt;&gt;"Pass after CA"))),1,0)</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1</v>
      </c>
    </row>
    <row r="197" customFormat="false" ht="39.75" hidden="false" customHeight="true" outlineLevel="0" collapsed="false">
      <c r="A197" s="57" t="s">
        <v>720</v>
      </c>
      <c r="B197" s="57" t="s">
        <v>221</v>
      </c>
      <c r="C197" s="57" t="str">
        <f aca="false">Flights!$F$10</f>
        <v>MH0002</v>
      </c>
      <c r="D197" s="58" t="n">
        <f aca="false">Flights!$D$10</f>
        <v>46310</v>
      </c>
      <c r="E197" s="57" t="str">
        <f aca="false">Flights!$G$10&amp;"-"&amp;Flights!$H$10</f>
        <v>KUL-LHR</v>
      </c>
      <c r="F197" s="57" t="str">
        <f aca="false">Flights!$K$10</f>
        <v>BC</v>
      </c>
      <c r="G197" s="57" t="s">
        <v>422</v>
      </c>
      <c r="H197" s="57" t="s">
        <v>423</v>
      </c>
      <c r="I197" s="57" t="s">
        <v>342</v>
      </c>
      <c r="J197" s="57" t="s">
        <v>424</v>
      </c>
      <c r="K197" s="67" t="s">
        <v>389</v>
      </c>
      <c r="L197" s="67" t="s">
        <v>425</v>
      </c>
      <c r="M197" s="67"/>
      <c r="N197" s="67" t="s">
        <v>346</v>
      </c>
      <c r="O197" s="67" t="s">
        <v>426</v>
      </c>
      <c r="P197" s="57" t="s">
        <v>177</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IF(N197="N/A – rule","N/A – RULE",IF(TRIM(U197)="N/A",IF(AT197=0,"INVALID – N/A not permitted for this mandatory check",IF(AND(TRIM(AC197)&lt;&gt;"",TRIM(AE197)&lt;&gt;"",TRIM(T197)&lt;&gt;""),"N/A – JUSTIFIED","INVALID – N/A needs justification, PIC and verifier")),IF(OR(TRIM(U197)="Pass",TRIM(U197)="Pass after CA"),IF(NOT(ISNUMBER(AD197)),"INVALID – completion time missing",IF(TRIM(T197)="","INVALID – PIC missing",IF(TRIM(Z197)="","INVALID – evidence missing",IF(TRIM(AE197)="","INVALID – verifier missing",IF(AND(AQ197=1,TRIM(W197)=""),"INVALID – batch ID missing",IF(AND(AR197=1,OR(NOT(ISNUMBER(X197)),NOT(ISNUMBER(Y197)))),"INVALID – expected/actual qty missing",IF(IF(AND(TRIM(U197)="Pass",ISNUMBER(AF197)),IF(AF197&lt;&gt;0,"INVALID – qty variance: use Fail or Pass after CA",""),"")&amp;IF(AND(TRIM(U197)="Pass",AB197="Open"),"INVALID – corrective action still open: use Fail, then Pass after CA","")&amp;IF(AND(TRIM(U197)="Pass after CA",OR(TRIM(AA197)="",AB197&lt;&gt;"Closed")),"INVALID – corrective action not recorded/closed","")&lt;&gt;"",IF(AND(TRIM(U197)="Pass",ISNUMBER(AF197)),IF(AF197&lt;&gt;0,"INVALID – qty variance: use Fail or Pass after CA",""),"")&amp;IF(AND(TRIM(U197)="Pass",AB197="Open"),"INVALID – corrective action still open: use Fail, then Pass after CA","")&amp;IF(AND(TRIM(U197)="Pass after CA",OR(TRIM(AA197)="",AB197&lt;&gt;"Closed")),"INVALID – corrective action not recorded/closed",""),IF(AND(AS197=1,Documents!$J$10&lt;&gt;"ON FILE"),"INVALID – GLD not on file (Documents sheet)",IF(AND(AS197=2,Documents!$O$10&lt;&gt;"ON FILE"),"INVALID – menu checklist not on file (Documents sheet)",IF(AND(AS197=3,NOT(ISNUMBER(Flights!$AX$10))),"INVALID – enter carrying flight KUL departure (Flights AX)",IF(AG197&gt;AsOfUTC,"INVALID – completion time is in the future",IF(AND(ISNUMBER(S197),AG197&lt;S197),IF(H197="Physical uplift","INVALID – before uplift window (cannot confirm loading)","INVALID – before valid window"),IF(AG197&gt;Flights!$AA$10,"INVALID – completed after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f>
        <v>OPEN</v>
      </c>
      <c r="AI197" s="61" t="n">
        <f aca="false">IF(OR(AH197="N/A – RULE",AH197="N/A – JUSTIFIED"),0,1)</f>
        <v>1</v>
      </c>
      <c r="AJ197" s="61" t="n">
        <f aca="false">IF(LEFT(AH197,8)="COMPLETE",1,0)</f>
        <v>0</v>
      </c>
      <c r="AK197" s="61" t="n">
        <f aca="false">IF(AND(AI197=1,AJ197=0,AsOfUTC&gt;Q197),1,0)</f>
        <v>0</v>
      </c>
      <c r="AL197" s="61" t="n">
        <f aca="false">IF(AND(AI197=1,OR(TRIM(U197)="Fail",AB197="Open",AND(ISNUMBER(AF197),AF197&lt;&gt;0,TRIM(U197)&lt;&gt;"Pass after CA"))),1,0)</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row>
    <row r="198" customFormat="false" ht="39.75" hidden="false" customHeight="true" outlineLevel="0" collapsed="false">
      <c r="A198" s="57" t="s">
        <v>721</v>
      </c>
      <c r="B198" s="57" t="s">
        <v>221</v>
      </c>
      <c r="C198" s="57" t="str">
        <f aca="false">Flights!$F$10</f>
        <v>MH0002</v>
      </c>
      <c r="D198" s="58" t="n">
        <f aca="false">Flights!$D$10</f>
        <v>46310</v>
      </c>
      <c r="E198" s="57" t="str">
        <f aca="false">Flights!$G$10&amp;"-"&amp;Flights!$H$10</f>
        <v>KUL-LHR</v>
      </c>
      <c r="F198" s="57" t="str">
        <f aca="false">Flights!$K$10</f>
        <v>BC</v>
      </c>
      <c r="G198" s="57" t="s">
        <v>422</v>
      </c>
      <c r="H198" s="57" t="s">
        <v>423</v>
      </c>
      <c r="I198" s="57" t="s">
        <v>391</v>
      </c>
      <c r="J198" s="57" t="s">
        <v>428</v>
      </c>
      <c r="K198" s="67" t="s">
        <v>389</v>
      </c>
      <c r="L198" s="67" t="s">
        <v>425</v>
      </c>
      <c r="M198" s="67"/>
      <c r="N198" s="67" t="s">
        <v>346</v>
      </c>
      <c r="O198" s="67" t="s">
        <v>426</v>
      </c>
      <c r="P198" s="57" t="s">
        <v>177</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IF(N198="N/A – rule","N/A – RULE",IF(TRIM(U198)="N/A",IF(AT198=0,"INVALID – N/A not permitted for this mandatory check",IF(AND(TRIM(AC198)&lt;&gt;"",TRIM(AE198)&lt;&gt;"",TRIM(T198)&lt;&gt;""),"N/A – JUSTIFIED","INVALID – N/A needs justification, PIC and verifier")),IF(OR(TRIM(U198)="Pass",TRIM(U198)="Pass after CA"),IF(NOT(ISNUMBER(AD198)),"INVALID – completion time missing",IF(TRIM(T198)="","INVALID – PIC missing",IF(TRIM(Z198)="","INVALID – evidence missing",IF(TRIM(AE198)="","INVALID – verifier missing",IF(AND(AQ198=1,TRIM(W198)=""),"INVALID – batch ID missing",IF(AND(AR198=1,OR(NOT(ISNUMBER(X198)),NOT(ISNUMBER(Y198)))),"INVALID – expected/actual qty missing",IF(IF(AND(TRIM(U198)="Pass",ISNUMBER(AF198)),IF(AF198&lt;&gt;0,"INVALID – qty variance: use Fail or Pass after CA",""),"")&amp;IF(AND(TRIM(U198)="Pass",AB198="Open"),"INVALID – corrective action still open: use Fail, then Pass after CA","")&amp;IF(AND(TRIM(U198)="Pass after CA",OR(TRIM(AA198)="",AB198&lt;&gt;"Closed")),"INVALID – corrective action not recorded/closed","")&lt;&gt;"",IF(AND(TRIM(U198)="Pass",ISNUMBER(AF198)),IF(AF198&lt;&gt;0,"INVALID – qty variance: use Fail or Pass after CA",""),"")&amp;IF(AND(TRIM(U198)="Pass",AB198="Open"),"INVALID – corrective action still open: use Fail, then Pass after CA","")&amp;IF(AND(TRIM(U198)="Pass after CA",OR(TRIM(AA198)="",AB198&lt;&gt;"Closed")),"INVALID – corrective action not recorded/closed",""),IF(AND(AS198=1,Documents!$J$10&lt;&gt;"ON FILE"),"INVALID – GLD not on file (Documents sheet)",IF(AND(AS198=2,Documents!$O$10&lt;&gt;"ON FILE"),"INVALID – menu checklist not on file (Documents sheet)",IF(AND(AS198=3,NOT(ISNUMBER(Flights!$AX$10))),"INVALID – enter carrying flight KUL departure (Flights AX)",IF(AG198&gt;AsOfUTC,"INVALID – completion time is in the future",IF(AND(ISNUMBER(S198),AG198&lt;S198),IF(H198="Physical uplift","INVALID – before uplift window (cannot confirm loading)","INVALID – before valid window"),IF(AG198&gt;Flights!$AA$10,"INVALID – completed after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f>
        <v>OPEN</v>
      </c>
      <c r="AI198" s="61" t="n">
        <f aca="false">IF(OR(AH198="N/A – RULE",AH198="N/A – JUSTIFIED"),0,1)</f>
        <v>1</v>
      </c>
      <c r="AJ198" s="61" t="n">
        <f aca="false">IF(LEFT(AH198,8)="COMPLETE",1,0)</f>
        <v>0</v>
      </c>
      <c r="AK198" s="61" t="n">
        <f aca="false">IF(AND(AI198=1,AJ198=0,AsOfUTC&gt;Q198),1,0)</f>
        <v>0</v>
      </c>
      <c r="AL198" s="61" t="n">
        <f aca="false">IF(AND(AI198=1,OR(TRIM(U198)="Fail",AB198="Open",AND(ISNUMBER(AF198),AF198&lt;&gt;0,TRIM(U198)&lt;&gt;"Pass after CA"))),1,0)</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row>
    <row r="199" customFormat="false" ht="91.5" hidden="false" customHeight="true" outlineLevel="0" collapsed="false">
      <c r="A199" s="57" t="s">
        <v>722</v>
      </c>
      <c r="B199" s="57" t="s">
        <v>221</v>
      </c>
      <c r="C199" s="57" t="str">
        <f aca="false">Flights!$F$10</f>
        <v>MH0002</v>
      </c>
      <c r="D199" s="58" t="n">
        <f aca="false">Flights!$D$10</f>
        <v>46310</v>
      </c>
      <c r="E199" s="57" t="str">
        <f aca="false">Flights!$G$10&amp;"-"&amp;Flights!$H$10</f>
        <v>KUL-LHR</v>
      </c>
      <c r="F199" s="57" t="str">
        <f aca="false">Flights!$K$10</f>
        <v>BC</v>
      </c>
      <c r="G199" s="57" t="s">
        <v>422</v>
      </c>
      <c r="H199" s="57" t="s">
        <v>423</v>
      </c>
      <c r="I199" s="57" t="s">
        <v>403</v>
      </c>
      <c r="J199" s="57" t="s">
        <v>430</v>
      </c>
      <c r="K199" s="67" t="s">
        <v>464</v>
      </c>
      <c r="L199" s="67" t="s">
        <v>406</v>
      </c>
      <c r="M199" s="67" t="s">
        <v>689</v>
      </c>
      <c r="N199" s="67" t="s">
        <v>407</v>
      </c>
      <c r="O199" s="67" t="s">
        <v>690</v>
      </c>
      <c r="P199" s="57" t="s">
        <v>177</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IF(N199="N/A – rule","N/A – RULE",IF(TRIM(U199)="N/A",IF(AT199=0,"INVALID – N/A not permitted for this mandatory check",IF(AND(TRIM(AC199)&lt;&gt;"",TRIM(AE199)&lt;&gt;"",TRIM(T199)&lt;&gt;""),"N/A – JUSTIFIED","INVALID – N/A needs justification, PIC and verifier")),IF(OR(TRIM(U199)="Pass",TRIM(U199)="Pass after CA"),IF(NOT(ISNUMBER(AD199)),"INVALID – completion time missing",IF(TRIM(T199)="","INVALID – PIC missing",IF(TRIM(Z199)="","INVALID – evidence missing",IF(TRIM(AE199)="","INVALID – verifier missing",IF(AND(AQ199=1,TRIM(W199)=""),"INVALID – batch ID missing",IF(AND(AR199=1,OR(NOT(ISNUMBER(X199)),NOT(ISNUMBER(Y199)))),"INVALID – expected/actual qty missing",IF(IF(AND(TRIM(U199)="Pass",ISNUMBER(AF199)),IF(AF199&lt;&gt;0,"INVALID – qty variance: use Fail or Pass after CA",""),"")&amp;IF(AND(TRIM(U199)="Pass",AB199="Open"),"INVALID – corrective action still open: use Fail, then Pass after CA","")&amp;IF(AND(TRIM(U199)="Pass after CA",OR(TRIM(AA199)="",AB199&lt;&gt;"Closed")),"INVALID – corrective action not recorded/closed","")&lt;&gt;"",IF(AND(TRIM(U199)="Pass",ISNUMBER(AF199)),IF(AF199&lt;&gt;0,"INVALID – qty variance: use Fail or Pass after CA",""),"")&amp;IF(AND(TRIM(U199)="Pass",AB199="Open"),"INVALID – corrective action still open: use Fail, then Pass after CA","")&amp;IF(AND(TRIM(U199)="Pass after CA",OR(TRIM(AA199)="",AB199&lt;&gt;"Closed")),"INVALID – corrective action not recorded/closed",""),IF(AND(AS199=1,Documents!$J$10&lt;&gt;"ON FILE"),"INVALID – GLD not on file (Documents sheet)",IF(AND(AS199=2,Documents!$O$10&lt;&gt;"ON FILE"),"INVALID – menu checklist not on file (Documents sheet)",IF(AND(AS199=3,NOT(ISNUMBER(Flights!$AX$10))),"INVALID – enter carrying flight KUL departure (Flights AX)",IF(AG199&gt;AsOfUTC,"INVALID – completion time is in the future",IF(AND(ISNUMBER(S199),AG199&lt;S199),IF(H199="Physical uplift","INVALID – before uplift window (cannot confirm loading)","INVALID – before valid window"),IF(AG199&gt;Flights!$AA$10,"INVALID – completed after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f>
        <v>OPEN – CLARIFICATION</v>
      </c>
      <c r="AI199" s="61" t="n">
        <f aca="false">IF(OR(AH199="N/A – RULE",AH199="N/A – JUSTIFIED"),0,1)</f>
        <v>1</v>
      </c>
      <c r="AJ199" s="61" t="n">
        <f aca="false">IF(LEFT(AH199,8)="COMPLETE",1,0)</f>
        <v>0</v>
      </c>
      <c r="AK199" s="61" t="n">
        <f aca="false">IF(AND(AI199=1,AJ199=0,AsOfUTC&gt;Q199),1,0)</f>
        <v>0</v>
      </c>
      <c r="AL199" s="61" t="n">
        <f aca="false">IF(AND(AI199=1,OR(TRIM(U199)="Fail",AB199="Open",AND(ISNUMBER(AF199),AF199&lt;&gt;0,TRIM(U199)&lt;&gt;"Pass after CA"))),1,0)</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row>
    <row r="200" customFormat="false" ht="39.75" hidden="false" customHeight="true" outlineLevel="0" collapsed="false">
      <c r="A200" s="57" t="s">
        <v>723</v>
      </c>
      <c r="B200" s="57" t="s">
        <v>221</v>
      </c>
      <c r="C200" s="57" t="str">
        <f aca="false">Flights!$F$10</f>
        <v>MH0002</v>
      </c>
      <c r="D200" s="58" t="n">
        <f aca="false">Flights!$D$10</f>
        <v>46310</v>
      </c>
      <c r="E200" s="57" t="str">
        <f aca="false">Flights!$G$10&amp;"-"&amp;Flights!$H$10</f>
        <v>KUL-LHR</v>
      </c>
      <c r="F200" s="57" t="str">
        <f aca="false">Flights!$K$10</f>
        <v>BC</v>
      </c>
      <c r="G200" s="57" t="s">
        <v>422</v>
      </c>
      <c r="H200" s="57" t="s">
        <v>423</v>
      </c>
      <c r="I200" s="57" t="s">
        <v>403</v>
      </c>
      <c r="J200" s="57" t="s">
        <v>724</v>
      </c>
      <c r="K200" s="67" t="s">
        <v>693</v>
      </c>
      <c r="L200" s="67" t="s">
        <v>694</v>
      </c>
      <c r="M200" s="67" t="s">
        <v>177</v>
      </c>
      <c r="N200" s="67" t="s">
        <v>346</v>
      </c>
      <c r="O200" s="67" t="s">
        <v>695</v>
      </c>
      <c r="P200" s="57" t="s">
        <v>177</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IF(N200="N/A – rule","N/A – RULE",IF(TRIM(U200)="N/A",IF(AT200=0,"INVALID – N/A not permitted for this mandatory check",IF(AND(TRIM(AC200)&lt;&gt;"",TRIM(AE200)&lt;&gt;"",TRIM(T200)&lt;&gt;""),"N/A – JUSTIFIED","INVALID – N/A needs justification, PIC and verifier")),IF(OR(TRIM(U200)="Pass",TRIM(U200)="Pass after CA"),IF(NOT(ISNUMBER(AD200)),"INVALID – completion time missing",IF(TRIM(T200)="","INVALID – PIC missing",IF(TRIM(Z200)="","INVALID – evidence missing",IF(TRIM(AE200)="","INVALID – verifier missing",IF(AND(AQ200=1,TRIM(W200)=""),"INVALID – batch ID missing",IF(AND(AR200=1,OR(NOT(ISNUMBER(X200)),NOT(ISNUMBER(Y200)))),"INVALID – expected/actual qty missing",IF(IF(AND(TRIM(U200)="Pass",ISNUMBER(AF200)),IF(AF200&lt;&gt;0,"INVALID – qty variance: use Fail or Pass after CA",""),"")&amp;IF(AND(TRIM(U200)="Pass",AB200="Open"),"INVALID – corrective action still open: use Fail, then Pass after CA","")&amp;IF(AND(TRIM(U200)="Pass after CA",OR(TRIM(AA200)="",AB200&lt;&gt;"Closed")),"INVALID – corrective action not recorded/closed","")&lt;&gt;"",IF(AND(TRIM(U200)="Pass",ISNUMBER(AF200)),IF(AF200&lt;&gt;0,"INVALID – qty variance: use Fail or Pass after CA",""),"")&amp;IF(AND(TRIM(U200)="Pass",AB200="Open"),"INVALID – corrective action still open: use Fail, then Pass after CA","")&amp;IF(AND(TRIM(U200)="Pass after CA",OR(TRIM(AA200)="",AB200&lt;&gt;"Closed")),"INVALID – corrective action not recorded/closed",""),IF(AND(AS200=1,Documents!$J$10&lt;&gt;"ON FILE"),"INVALID – GLD not on file (Documents sheet)",IF(AND(AS200=2,Documents!$O$10&lt;&gt;"ON FILE"),"INVALID – menu checklist not on file (Documents sheet)",IF(AND(AS200=3,NOT(ISNUMBER(Flights!$AX$10))),"INVALID – enter carrying flight KUL departure (Flights AX)",IF(AG200&gt;AsOfUTC,"INVALID – completion time is in the future",IF(AND(ISNUMBER(S200),AG200&lt;S200),IF(H200="Physical uplift","INVALID – before uplift window (cannot confirm loading)","INVALID – before valid window"),IF(AG200&gt;Flights!$AA$10,"INVALID – completed after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f>
        <v>OPEN</v>
      </c>
      <c r="AI200" s="61" t="n">
        <f aca="false">IF(OR(AH200="N/A – RULE",AH200="N/A – JUSTIFIED"),0,1)</f>
        <v>1</v>
      </c>
      <c r="AJ200" s="61" t="n">
        <f aca="false">IF(LEFT(AH200,8)="COMPLETE",1,0)</f>
        <v>0</v>
      </c>
      <c r="AK200" s="61" t="n">
        <f aca="false">IF(AND(AI200=1,AJ200=0,AsOfUTC&gt;Q200),1,0)</f>
        <v>0</v>
      </c>
      <c r="AL200" s="61" t="n">
        <f aca="false">IF(AND(AI200=1,OR(TRIM(U200)="Fail",AB200="Open",AND(ISNUMBER(AF200),AF200&lt;&gt;0,TRIM(U200)&lt;&gt;"Pass after CA"))),1,0)</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1</v>
      </c>
    </row>
    <row r="201" customFormat="false" ht="39.75" hidden="false" customHeight="true" outlineLevel="0" collapsed="false">
      <c r="A201" s="57" t="s">
        <v>725</v>
      </c>
      <c r="B201" s="57" t="s">
        <v>221</v>
      </c>
      <c r="C201" s="57" t="str">
        <f aca="false">Flights!$F$10</f>
        <v>MH0002</v>
      </c>
      <c r="D201" s="58" t="n">
        <f aca="false">Flights!$D$10</f>
        <v>46310</v>
      </c>
      <c r="E201" s="57" t="str">
        <f aca="false">Flights!$G$10&amp;"-"&amp;Flights!$H$10</f>
        <v>KUL-LHR</v>
      </c>
      <c r="F201" s="57" t="str">
        <f aca="false">Flights!$K$10</f>
        <v>BC</v>
      </c>
      <c r="G201" s="57" t="s">
        <v>422</v>
      </c>
      <c r="H201" s="57" t="s">
        <v>423</v>
      </c>
      <c r="I201" s="57" t="s">
        <v>403</v>
      </c>
      <c r="J201" s="57" t="s">
        <v>606</v>
      </c>
      <c r="K201" s="67" t="s">
        <v>464</v>
      </c>
      <c r="L201" s="67" t="s">
        <v>697</v>
      </c>
      <c r="M201" s="67" t="s">
        <v>177</v>
      </c>
      <c r="N201" s="67" t="s">
        <v>346</v>
      </c>
      <c r="O201" s="67"/>
      <c r="P201" s="57" t="s">
        <v>177</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IF(N201="N/A – rule","N/A – RULE",IF(TRIM(U201)="N/A",IF(AT201=0,"INVALID – N/A not permitted for this mandatory check",IF(AND(TRIM(AC201)&lt;&gt;"",TRIM(AE201)&lt;&gt;"",TRIM(T201)&lt;&gt;""),"N/A – JUSTIFIED","INVALID – N/A needs justification, PIC and verifier")),IF(OR(TRIM(U201)="Pass",TRIM(U201)="Pass after CA"),IF(NOT(ISNUMBER(AD201)),"INVALID – completion time missing",IF(TRIM(T201)="","INVALID – PIC missing",IF(TRIM(Z201)="","INVALID – evidence missing",IF(TRIM(AE201)="","INVALID – verifier missing",IF(AND(AQ201=1,TRIM(W201)=""),"INVALID – batch ID missing",IF(AND(AR201=1,OR(NOT(ISNUMBER(X201)),NOT(ISNUMBER(Y201)))),"INVALID – expected/actual qty missing",IF(IF(AND(TRIM(U201)="Pass",ISNUMBER(AF201)),IF(AF201&lt;&gt;0,"INVALID – qty variance: use Fail or Pass after CA",""),"")&amp;IF(AND(TRIM(U201)="Pass",AB201="Open"),"INVALID – corrective action still open: use Fail, then Pass after CA","")&amp;IF(AND(TRIM(U201)="Pass after CA",OR(TRIM(AA201)="",AB201&lt;&gt;"Closed")),"INVALID – corrective action not recorded/closed","")&lt;&gt;"",IF(AND(TRIM(U201)="Pass",ISNUMBER(AF201)),IF(AF201&lt;&gt;0,"INVALID – qty variance: use Fail or Pass after CA",""),"")&amp;IF(AND(TRIM(U201)="Pass",AB201="Open"),"INVALID – corrective action still open: use Fail, then Pass after CA","")&amp;IF(AND(TRIM(U201)="Pass after CA",OR(TRIM(AA201)="",AB201&lt;&gt;"Closed")),"INVALID – corrective action not recorded/closed",""),IF(AND(AS201=1,Documents!$J$10&lt;&gt;"ON FILE"),"INVALID – GLD not on file (Documents sheet)",IF(AND(AS201=2,Documents!$O$10&lt;&gt;"ON FILE"),"INVALID – menu checklist not on file (Documents sheet)",IF(AND(AS201=3,NOT(ISNUMBER(Flights!$AX$10))),"INVALID – enter carrying flight KUL departure (Flights AX)",IF(AG201&gt;AsOfUTC,"INVALID – completion time is in the future",IF(AND(ISNUMBER(S201),AG201&lt;S201),IF(H201="Physical uplift","INVALID – before uplift window (cannot confirm loading)","INVALID – before valid window"),IF(AG201&gt;Flights!$AA$10,"INVALID – completed after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f>
        <v>OPEN</v>
      </c>
      <c r="AI201" s="61" t="n">
        <f aca="false">IF(OR(AH201="N/A – RULE",AH201="N/A – JUSTIFIED"),0,1)</f>
        <v>1</v>
      </c>
      <c r="AJ201" s="61" t="n">
        <f aca="false">IF(LEFT(AH201,8)="COMPLETE",1,0)</f>
        <v>0</v>
      </c>
      <c r="AK201" s="61" t="n">
        <f aca="false">IF(AND(AI201=1,AJ201=0,AsOfUTC&gt;Q201),1,0)</f>
        <v>0</v>
      </c>
      <c r="AL201" s="61" t="n">
        <f aca="false">IF(AND(AI201=1,OR(TRIM(U201)="Fail",AB201="Open",AND(ISNUMBER(AF201),AF201&lt;&gt;0,TRIM(U201)&lt;&gt;"Pass after CA"))),1,0)</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1</v>
      </c>
    </row>
    <row r="202" customFormat="false" ht="39.75" hidden="false" customHeight="true" outlineLevel="0" collapsed="false">
      <c r="A202" s="57" t="s">
        <v>726</v>
      </c>
      <c r="B202" s="57" t="s">
        <v>221</v>
      </c>
      <c r="C202" s="57" t="str">
        <f aca="false">Flights!$F$10</f>
        <v>MH0002</v>
      </c>
      <c r="D202" s="58" t="n">
        <f aca="false">Flights!$D$10</f>
        <v>46310</v>
      </c>
      <c r="E202" s="57" t="str">
        <f aca="false">Flights!$G$10&amp;"-"&amp;Flights!$H$10</f>
        <v>KUL-LHR</v>
      </c>
      <c r="F202" s="57" t="str">
        <f aca="false">Flights!$K$10</f>
        <v>BC</v>
      </c>
      <c r="G202" s="57" t="s">
        <v>422</v>
      </c>
      <c r="H202" s="57" t="s">
        <v>423</v>
      </c>
      <c r="I202" s="57" t="s">
        <v>462</v>
      </c>
      <c r="J202" s="57" t="s">
        <v>500</v>
      </c>
      <c r="K202" s="67" t="s">
        <v>464</v>
      </c>
      <c r="L202" s="67" t="s">
        <v>699</v>
      </c>
      <c r="M202" s="67" t="s">
        <v>414</v>
      </c>
      <c r="N202" s="67" t="s">
        <v>346</v>
      </c>
      <c r="O202" s="67"/>
      <c r="P202" s="57" t="s">
        <v>177</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IF(N202="N/A – rule","N/A – RULE",IF(TRIM(U202)="N/A",IF(AT202=0,"INVALID – N/A not permitted for this mandatory check",IF(AND(TRIM(AC202)&lt;&gt;"",TRIM(AE202)&lt;&gt;"",TRIM(T202)&lt;&gt;""),"N/A – JUSTIFIED","INVALID – N/A needs justification, PIC and verifier")),IF(OR(TRIM(U202)="Pass",TRIM(U202)="Pass after CA"),IF(NOT(ISNUMBER(AD202)),"INVALID – completion time missing",IF(TRIM(T202)="","INVALID – PIC missing",IF(TRIM(Z202)="","INVALID – evidence missing",IF(TRIM(AE202)="","INVALID – verifier missing",IF(AND(AQ202=1,TRIM(W202)=""),"INVALID – batch ID missing",IF(AND(AR202=1,OR(NOT(ISNUMBER(X202)),NOT(ISNUMBER(Y202)))),"INVALID – expected/actual qty missing",IF(IF(AND(TRIM(U202)="Pass",ISNUMBER(AF202)),IF(AF202&lt;&gt;0,"INVALID – qty variance: use Fail or Pass after CA",""),"")&amp;IF(AND(TRIM(U202)="Pass",AB202="Open"),"INVALID – corrective action still open: use Fail, then Pass after CA","")&amp;IF(AND(TRIM(U202)="Pass after CA",OR(TRIM(AA202)="",AB202&lt;&gt;"Closed")),"INVALID – corrective action not recorded/closed","")&lt;&gt;"",IF(AND(TRIM(U202)="Pass",ISNUMBER(AF202)),IF(AF202&lt;&gt;0,"INVALID – qty variance: use Fail or Pass after CA",""),"")&amp;IF(AND(TRIM(U202)="Pass",AB202="Open"),"INVALID – corrective action still open: use Fail, then Pass after CA","")&amp;IF(AND(TRIM(U202)="Pass after CA",OR(TRIM(AA202)="",AB202&lt;&gt;"Closed")),"INVALID – corrective action not recorded/closed",""),IF(AND(AS202=1,Documents!$J$10&lt;&gt;"ON FILE"),"INVALID – GLD not on file (Documents sheet)",IF(AND(AS202=2,Documents!$O$10&lt;&gt;"ON FILE"),"INVALID – menu checklist not on file (Documents sheet)",IF(AND(AS202=3,NOT(ISNUMBER(Flights!$AX$10))),"INVALID – enter carrying flight KUL departure (Flights AX)",IF(AG202&gt;AsOfUTC,"INVALID – completion time is in the future",IF(AND(ISNUMBER(S202),AG202&lt;S202),IF(H202="Physical uplift","INVALID – before uplift window (cannot confirm loading)","INVALID – before valid window"),IF(AG202&gt;Flights!$AA$10,"INVALID – completed after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f>
        <v>OPEN</v>
      </c>
      <c r="AI202" s="61" t="n">
        <f aca="false">IF(OR(AH202="N/A – RULE",AH202="N/A – JUSTIFIED"),0,1)</f>
        <v>1</v>
      </c>
      <c r="AJ202" s="61" t="n">
        <f aca="false">IF(LEFT(AH202,8)="COMPLETE",1,0)</f>
        <v>0</v>
      </c>
      <c r="AK202" s="61" t="n">
        <f aca="false">IF(AND(AI202=1,AJ202=0,AsOfUTC&gt;Q202),1,0)</f>
        <v>0</v>
      </c>
      <c r="AL202" s="61" t="n">
        <f aca="false">IF(AND(AI202=1,OR(TRIM(U202)="Fail",AB202="Open",AND(ISNUMBER(AF202),AF202&lt;&gt;0,TRIM(U202)&lt;&gt;"Pass after CA"))),1,0)</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1</v>
      </c>
    </row>
    <row r="203" customFormat="false" ht="39.75" hidden="false" customHeight="true" outlineLevel="0" collapsed="false">
      <c r="A203" s="57" t="s">
        <v>727</v>
      </c>
      <c r="B203" s="57" t="s">
        <v>221</v>
      </c>
      <c r="C203" s="57" t="str">
        <f aca="false">Flights!$F$10</f>
        <v>MH0002</v>
      </c>
      <c r="D203" s="58" t="n">
        <f aca="false">Flights!$D$10</f>
        <v>46310</v>
      </c>
      <c r="E203" s="57" t="str">
        <f aca="false">Flights!$G$10&amp;"-"&amp;Flights!$H$10</f>
        <v>KUL-LHR</v>
      </c>
      <c r="F203" s="57" t="str">
        <f aca="false">Flights!$K$10</f>
        <v>BC</v>
      </c>
      <c r="G203" s="57" t="s">
        <v>422</v>
      </c>
      <c r="H203" s="57" t="s">
        <v>423</v>
      </c>
      <c r="I203" s="57" t="s">
        <v>462</v>
      </c>
      <c r="J203" s="57" t="s">
        <v>502</v>
      </c>
      <c r="K203" s="67" t="s">
        <v>464</v>
      </c>
      <c r="L203" s="67" t="s">
        <v>701</v>
      </c>
      <c r="M203" s="67" t="s">
        <v>414</v>
      </c>
      <c r="N203" s="67" t="s">
        <v>346</v>
      </c>
      <c r="O203" s="67"/>
      <c r="P203" s="57" t="s">
        <v>177</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IF(N203="N/A – rule","N/A – RULE",IF(TRIM(U203)="N/A",IF(AT203=0,"INVALID – N/A not permitted for this mandatory check",IF(AND(TRIM(AC203)&lt;&gt;"",TRIM(AE203)&lt;&gt;"",TRIM(T203)&lt;&gt;""),"N/A – JUSTIFIED","INVALID – N/A needs justification, PIC and verifier")),IF(OR(TRIM(U203)="Pass",TRIM(U203)="Pass after CA"),IF(NOT(ISNUMBER(AD203)),"INVALID – completion time missing",IF(TRIM(T203)="","INVALID – PIC missing",IF(TRIM(Z203)="","INVALID – evidence missing",IF(TRIM(AE203)="","INVALID – verifier missing",IF(AND(AQ203=1,TRIM(W203)=""),"INVALID – batch ID missing",IF(AND(AR203=1,OR(NOT(ISNUMBER(X203)),NOT(ISNUMBER(Y203)))),"INVALID – expected/actual qty missing",IF(IF(AND(TRIM(U203)="Pass",ISNUMBER(AF203)),IF(AF203&lt;&gt;0,"INVALID – qty variance: use Fail or Pass after CA",""),"")&amp;IF(AND(TRIM(U203)="Pass",AB203="Open"),"INVALID – corrective action still open: use Fail, then Pass after CA","")&amp;IF(AND(TRIM(U203)="Pass after CA",OR(TRIM(AA203)="",AB203&lt;&gt;"Closed")),"INVALID – corrective action not recorded/closed","")&lt;&gt;"",IF(AND(TRIM(U203)="Pass",ISNUMBER(AF203)),IF(AF203&lt;&gt;0,"INVALID – qty variance: use Fail or Pass after CA",""),"")&amp;IF(AND(TRIM(U203)="Pass",AB203="Open"),"INVALID – corrective action still open: use Fail, then Pass after CA","")&amp;IF(AND(TRIM(U203)="Pass after CA",OR(TRIM(AA203)="",AB203&lt;&gt;"Closed")),"INVALID – corrective action not recorded/closed",""),IF(AND(AS203=1,Documents!$J$10&lt;&gt;"ON FILE"),"INVALID – GLD not on file (Documents sheet)",IF(AND(AS203=2,Documents!$O$10&lt;&gt;"ON FILE"),"INVALID – menu checklist not on file (Documents sheet)",IF(AND(AS203=3,NOT(ISNUMBER(Flights!$AX$10))),"INVALID – enter carrying flight KUL departure (Flights AX)",IF(AG203&gt;AsOfUTC,"INVALID – completion time is in the future",IF(AND(ISNUMBER(S203),AG203&lt;S203),IF(H203="Physical uplift","INVALID – before uplift window (cannot confirm loading)","INVALID – before valid window"),IF(AG203&gt;Flights!$AA$10,"INVALID – completed after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f>
        <v>OPEN</v>
      </c>
      <c r="AI203" s="61" t="n">
        <f aca="false">IF(OR(AH203="N/A – RULE",AH203="N/A – JUSTIFIED"),0,1)</f>
        <v>1</v>
      </c>
      <c r="AJ203" s="61" t="n">
        <f aca="false">IF(LEFT(AH203,8)="COMPLETE",1,0)</f>
        <v>0</v>
      </c>
      <c r="AK203" s="61" t="n">
        <f aca="false">IF(AND(AI203=1,AJ203=0,AsOfUTC&gt;Q203),1,0)</f>
        <v>0</v>
      </c>
      <c r="AL203" s="61" t="n">
        <f aca="false">IF(AND(AI203=1,OR(TRIM(U203)="Fail",AB203="Open",AND(ISNUMBER(AF203),AF203&lt;&gt;0,TRIM(U203)&lt;&gt;"Pass after CA"))),1,0)</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1</v>
      </c>
    </row>
    <row r="204" customFormat="false" ht="39.75" hidden="false" customHeight="true" outlineLevel="0" collapsed="false">
      <c r="A204" s="57" t="s">
        <v>728</v>
      </c>
      <c r="B204" s="57" t="s">
        <v>221</v>
      </c>
      <c r="C204" s="57" t="str">
        <f aca="false">Flights!$F$10</f>
        <v>MH0002</v>
      </c>
      <c r="D204" s="58" t="n">
        <f aca="false">Flights!$D$10</f>
        <v>46310</v>
      </c>
      <c r="E204" s="57" t="str">
        <f aca="false">Flights!$G$10&amp;"-"&amp;Flights!$H$10</f>
        <v>KUL-LHR</v>
      </c>
      <c r="F204" s="57" t="str">
        <f aca="false">Flights!$K$10</f>
        <v>BC</v>
      </c>
      <c r="G204" s="57" t="s">
        <v>422</v>
      </c>
      <c r="H204" s="57" t="s">
        <v>423</v>
      </c>
      <c r="I204" s="57" t="s">
        <v>462</v>
      </c>
      <c r="J204" s="57" t="s">
        <v>504</v>
      </c>
      <c r="K204" s="67" t="s">
        <v>464</v>
      </c>
      <c r="L204" s="67" t="s">
        <v>703</v>
      </c>
      <c r="M204" s="67" t="s">
        <v>414</v>
      </c>
      <c r="N204" s="67" t="s">
        <v>346</v>
      </c>
      <c r="O204" s="67"/>
      <c r="P204" s="57" t="s">
        <v>177</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IF(N204="N/A – rule","N/A – RULE",IF(TRIM(U204)="N/A",IF(AT204=0,"INVALID – N/A not permitted for this mandatory check",IF(AND(TRIM(AC204)&lt;&gt;"",TRIM(AE204)&lt;&gt;"",TRIM(T204)&lt;&gt;""),"N/A – JUSTIFIED","INVALID – N/A needs justification, PIC and verifier")),IF(OR(TRIM(U204)="Pass",TRIM(U204)="Pass after CA"),IF(NOT(ISNUMBER(AD204)),"INVALID – completion time missing",IF(TRIM(T204)="","INVALID – PIC missing",IF(TRIM(Z204)="","INVALID – evidence missing",IF(TRIM(AE204)="","INVALID – verifier missing",IF(AND(AQ204=1,TRIM(W204)=""),"INVALID – batch ID missing",IF(AND(AR204=1,OR(NOT(ISNUMBER(X204)),NOT(ISNUMBER(Y204)))),"INVALID – expected/actual qty missing",IF(IF(AND(TRIM(U204)="Pass",ISNUMBER(AF204)),IF(AF204&lt;&gt;0,"INVALID – qty variance: use Fail or Pass after CA",""),"")&amp;IF(AND(TRIM(U204)="Pass",AB204="Open"),"INVALID – corrective action still open: use Fail, then Pass after CA","")&amp;IF(AND(TRIM(U204)="Pass after CA",OR(TRIM(AA204)="",AB204&lt;&gt;"Closed")),"INVALID – corrective action not recorded/closed","")&lt;&gt;"",IF(AND(TRIM(U204)="Pass",ISNUMBER(AF204)),IF(AF204&lt;&gt;0,"INVALID – qty variance: use Fail or Pass after CA",""),"")&amp;IF(AND(TRIM(U204)="Pass",AB204="Open"),"INVALID – corrective action still open: use Fail, then Pass after CA","")&amp;IF(AND(TRIM(U204)="Pass after CA",OR(TRIM(AA204)="",AB204&lt;&gt;"Closed")),"INVALID – corrective action not recorded/closed",""),IF(AND(AS204=1,Documents!$J$10&lt;&gt;"ON FILE"),"INVALID – GLD not on file (Documents sheet)",IF(AND(AS204=2,Documents!$O$10&lt;&gt;"ON FILE"),"INVALID – menu checklist not on file (Documents sheet)",IF(AND(AS204=3,NOT(ISNUMBER(Flights!$AX$10))),"INVALID – enter carrying flight KUL departure (Flights AX)",IF(AG204&gt;AsOfUTC,"INVALID – completion time is in the future",IF(AND(ISNUMBER(S204),AG204&lt;S204),IF(H204="Physical uplift","INVALID – before uplift window (cannot confirm loading)","INVALID – before valid window"),IF(AG204&gt;Flights!$AA$10,"INVALID – completed after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f>
        <v>OPEN</v>
      </c>
      <c r="AI204" s="61" t="n">
        <f aca="false">IF(OR(AH204="N/A – RULE",AH204="N/A – JUSTIFIED"),0,1)</f>
        <v>1</v>
      </c>
      <c r="AJ204" s="61" t="n">
        <f aca="false">IF(LEFT(AH204,8)="COMPLETE",1,0)</f>
        <v>0</v>
      </c>
      <c r="AK204" s="61" t="n">
        <f aca="false">IF(AND(AI204=1,AJ204=0,AsOfUTC&gt;Q204),1,0)</f>
        <v>0</v>
      </c>
      <c r="AL204" s="61" t="n">
        <f aca="false">IF(AND(AI204=1,OR(TRIM(U204)="Fail",AB204="Open",AND(ISNUMBER(AF204),AF204&lt;&gt;0,TRIM(U204)&lt;&gt;"Pass after CA"))),1,0)</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1</v>
      </c>
    </row>
    <row r="205" customFormat="false" ht="39.75" hidden="false" customHeight="true" outlineLevel="0" collapsed="false">
      <c r="A205" s="57" t="s">
        <v>729</v>
      </c>
      <c r="B205" s="57" t="s">
        <v>221</v>
      </c>
      <c r="C205" s="57" t="str">
        <f aca="false">Flights!$F$10</f>
        <v>MH0002</v>
      </c>
      <c r="D205" s="58" t="n">
        <f aca="false">Flights!$D$10</f>
        <v>46310</v>
      </c>
      <c r="E205" s="57" t="str">
        <f aca="false">Flights!$G$10&amp;"-"&amp;Flights!$H$10</f>
        <v>KUL-LHR</v>
      </c>
      <c r="F205" s="57" t="str">
        <f aca="false">Flights!$K$10</f>
        <v>BC</v>
      </c>
      <c r="G205" s="57" t="s">
        <v>422</v>
      </c>
      <c r="H205" s="57" t="s">
        <v>423</v>
      </c>
      <c r="I205" s="57" t="s">
        <v>462</v>
      </c>
      <c r="J205" s="57" t="s">
        <v>506</v>
      </c>
      <c r="K205" s="67" t="s">
        <v>464</v>
      </c>
      <c r="L205" s="67" t="s">
        <v>705</v>
      </c>
      <c r="M205" s="67" t="s">
        <v>414</v>
      </c>
      <c r="N205" s="67" t="s">
        <v>346</v>
      </c>
      <c r="O205" s="67"/>
      <c r="P205" s="57" t="s">
        <v>177</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IF(N205="N/A – rule","N/A – RULE",IF(TRIM(U205)="N/A",IF(AT205=0,"INVALID – N/A not permitted for this mandatory check",IF(AND(TRIM(AC205)&lt;&gt;"",TRIM(AE205)&lt;&gt;"",TRIM(T205)&lt;&gt;""),"N/A – JUSTIFIED","INVALID – N/A needs justification, PIC and verifier")),IF(OR(TRIM(U205)="Pass",TRIM(U205)="Pass after CA"),IF(NOT(ISNUMBER(AD205)),"INVALID – completion time missing",IF(TRIM(T205)="","INVALID – PIC missing",IF(TRIM(Z205)="","INVALID – evidence missing",IF(TRIM(AE205)="","INVALID – verifier missing",IF(AND(AQ205=1,TRIM(W205)=""),"INVALID – batch ID missing",IF(AND(AR205=1,OR(NOT(ISNUMBER(X205)),NOT(ISNUMBER(Y205)))),"INVALID – expected/actual qty missing",IF(IF(AND(TRIM(U205)="Pass",ISNUMBER(AF205)),IF(AF205&lt;&gt;0,"INVALID – qty variance: use Fail or Pass after CA",""),"")&amp;IF(AND(TRIM(U205)="Pass",AB205="Open"),"INVALID – corrective action still open: use Fail, then Pass after CA","")&amp;IF(AND(TRIM(U205)="Pass after CA",OR(TRIM(AA205)="",AB205&lt;&gt;"Closed")),"INVALID – corrective action not recorded/closed","")&lt;&gt;"",IF(AND(TRIM(U205)="Pass",ISNUMBER(AF205)),IF(AF205&lt;&gt;0,"INVALID – qty variance: use Fail or Pass after CA",""),"")&amp;IF(AND(TRIM(U205)="Pass",AB205="Open"),"INVALID – corrective action still open: use Fail, then Pass after CA","")&amp;IF(AND(TRIM(U205)="Pass after CA",OR(TRIM(AA205)="",AB205&lt;&gt;"Closed")),"INVALID – corrective action not recorded/closed",""),IF(AND(AS205=1,Documents!$J$10&lt;&gt;"ON FILE"),"INVALID – GLD not on file (Documents sheet)",IF(AND(AS205=2,Documents!$O$10&lt;&gt;"ON FILE"),"INVALID – menu checklist not on file (Documents sheet)",IF(AND(AS205=3,NOT(ISNUMBER(Flights!$AX$10))),"INVALID – enter carrying flight KUL departure (Flights AX)",IF(AG205&gt;AsOfUTC,"INVALID – completion time is in the future",IF(AND(ISNUMBER(S205),AG205&lt;S205),IF(H205="Physical uplift","INVALID – before uplift window (cannot confirm loading)","INVALID – before valid window"),IF(AG205&gt;Flights!$AA$10,"INVALID – completed after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f>
        <v>OPEN</v>
      </c>
      <c r="AI205" s="61" t="n">
        <f aca="false">IF(OR(AH205="N/A – RULE",AH205="N/A – JUSTIFIED"),0,1)</f>
        <v>1</v>
      </c>
      <c r="AJ205" s="61" t="n">
        <f aca="false">IF(LEFT(AH205,8)="COMPLETE",1,0)</f>
        <v>0</v>
      </c>
      <c r="AK205" s="61" t="n">
        <f aca="false">IF(AND(AI205=1,AJ205=0,AsOfUTC&gt;Q205),1,0)</f>
        <v>0</v>
      </c>
      <c r="AL205" s="61" t="n">
        <f aca="false">IF(AND(AI205=1,OR(TRIM(U205)="Fail",AB205="Open",AND(ISNUMBER(AF205),AF205&lt;&gt;0,TRIM(U205)&lt;&gt;"Pass after CA"))),1,0)</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1</v>
      </c>
    </row>
    <row r="206" customFormat="false" ht="39.75" hidden="false" customHeight="true" outlineLevel="0" collapsed="false">
      <c r="A206" s="57" t="s">
        <v>730</v>
      </c>
      <c r="B206" s="57" t="s">
        <v>221</v>
      </c>
      <c r="C206" s="57" t="str">
        <f aca="false">Flights!$F$10</f>
        <v>MH0002</v>
      </c>
      <c r="D206" s="58" t="n">
        <f aca="false">Flights!$D$10</f>
        <v>46310</v>
      </c>
      <c r="E206" s="57" t="str">
        <f aca="false">Flights!$G$10&amp;"-"&amp;Flights!$H$10</f>
        <v>KUL-LHR</v>
      </c>
      <c r="F206" s="57" t="str">
        <f aca="false">Flights!$K$10</f>
        <v>BC</v>
      </c>
      <c r="G206" s="57" t="s">
        <v>422</v>
      </c>
      <c r="H206" s="57" t="s">
        <v>423</v>
      </c>
      <c r="I206" s="57" t="s">
        <v>462</v>
      </c>
      <c r="J206" s="57" t="s">
        <v>509</v>
      </c>
      <c r="K206" s="67" t="s">
        <v>464</v>
      </c>
      <c r="L206" s="67" t="s">
        <v>707</v>
      </c>
      <c r="M206" s="67" t="s">
        <v>414</v>
      </c>
      <c r="N206" s="67" t="s">
        <v>346</v>
      </c>
      <c r="O206" s="67"/>
      <c r="P206" s="57" t="s">
        <v>177</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IF(N206="N/A – rule","N/A – RULE",IF(TRIM(U206)="N/A",IF(AT206=0,"INVALID – N/A not permitted for this mandatory check",IF(AND(TRIM(AC206)&lt;&gt;"",TRIM(AE206)&lt;&gt;"",TRIM(T206)&lt;&gt;""),"N/A – JUSTIFIED","INVALID – N/A needs justification, PIC and verifier")),IF(OR(TRIM(U206)="Pass",TRIM(U206)="Pass after CA"),IF(NOT(ISNUMBER(AD206)),"INVALID – completion time missing",IF(TRIM(T206)="","INVALID – PIC missing",IF(TRIM(Z206)="","INVALID – evidence missing",IF(TRIM(AE206)="","INVALID – verifier missing",IF(AND(AQ206=1,TRIM(W206)=""),"INVALID – batch ID missing",IF(AND(AR206=1,OR(NOT(ISNUMBER(X206)),NOT(ISNUMBER(Y206)))),"INVALID – expected/actual qty missing",IF(IF(AND(TRIM(U206)="Pass",ISNUMBER(AF206)),IF(AF206&lt;&gt;0,"INVALID – qty variance: use Fail or Pass after CA",""),"")&amp;IF(AND(TRIM(U206)="Pass",AB206="Open"),"INVALID – corrective action still open: use Fail, then Pass after CA","")&amp;IF(AND(TRIM(U206)="Pass after CA",OR(TRIM(AA206)="",AB206&lt;&gt;"Closed")),"INVALID – corrective action not recorded/closed","")&lt;&gt;"",IF(AND(TRIM(U206)="Pass",ISNUMBER(AF206)),IF(AF206&lt;&gt;0,"INVALID – qty variance: use Fail or Pass after CA",""),"")&amp;IF(AND(TRIM(U206)="Pass",AB206="Open"),"INVALID – corrective action still open: use Fail, then Pass after CA","")&amp;IF(AND(TRIM(U206)="Pass after CA",OR(TRIM(AA206)="",AB206&lt;&gt;"Closed")),"INVALID – corrective action not recorded/closed",""),IF(AND(AS206=1,Documents!$J$10&lt;&gt;"ON FILE"),"INVALID – GLD not on file (Documents sheet)",IF(AND(AS206=2,Documents!$O$10&lt;&gt;"ON FILE"),"INVALID – menu checklist not on file (Documents sheet)",IF(AND(AS206=3,NOT(ISNUMBER(Flights!$AX$10))),"INVALID – enter carrying flight KUL departure (Flights AX)",IF(AG206&gt;AsOfUTC,"INVALID – completion time is in the future",IF(AND(ISNUMBER(S206),AG206&lt;S206),IF(H206="Physical uplift","INVALID – before uplift window (cannot confirm loading)","INVALID – before valid window"),IF(AG206&gt;Flights!$AA$10,"INVALID – completed after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f>
        <v>OPEN</v>
      </c>
      <c r="AI206" s="61" t="n">
        <f aca="false">IF(OR(AH206="N/A – RULE",AH206="N/A – JUSTIFIED"),0,1)</f>
        <v>1</v>
      </c>
      <c r="AJ206" s="61" t="n">
        <f aca="false">IF(LEFT(AH206,8)="COMPLETE",1,0)</f>
        <v>0</v>
      </c>
      <c r="AK206" s="61" t="n">
        <f aca="false">IF(AND(AI206=1,AJ206=0,AsOfUTC&gt;Q206),1,0)</f>
        <v>0</v>
      </c>
      <c r="AL206" s="61" t="n">
        <f aca="false">IF(AND(AI206=1,OR(TRIM(U206)="Fail",AB206="Open",AND(ISNUMBER(AF206),AF206&lt;&gt;0,TRIM(U206)&lt;&gt;"Pass after CA"))),1,0)</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1</v>
      </c>
    </row>
    <row r="207" customFormat="false" ht="39.75" hidden="false" customHeight="true" outlineLevel="0" collapsed="false">
      <c r="A207" s="57" t="s">
        <v>731</v>
      </c>
      <c r="B207" s="57" t="s">
        <v>221</v>
      </c>
      <c r="C207" s="57" t="str">
        <f aca="false">Flights!$F$10</f>
        <v>MH0002</v>
      </c>
      <c r="D207" s="58" t="n">
        <f aca="false">Flights!$D$10</f>
        <v>46310</v>
      </c>
      <c r="E207" s="57" t="str">
        <f aca="false">Flights!$G$10&amp;"-"&amp;Flights!$H$10</f>
        <v>KUL-LHR</v>
      </c>
      <c r="F207" s="57" t="str">
        <f aca="false">Flights!$K$10</f>
        <v>BC</v>
      </c>
      <c r="G207" s="57" t="s">
        <v>422</v>
      </c>
      <c r="H207" s="57" t="s">
        <v>423</v>
      </c>
      <c r="I207" s="57" t="s">
        <v>462</v>
      </c>
      <c r="J207" s="57" t="s">
        <v>511</v>
      </c>
      <c r="K207" s="67" t="s">
        <v>579</v>
      </c>
      <c r="L207" s="67" t="s">
        <v>709</v>
      </c>
      <c r="M207" s="67" t="s">
        <v>414</v>
      </c>
      <c r="N207" s="67" t="s">
        <v>346</v>
      </c>
      <c r="O207" s="67" t="s">
        <v>512</v>
      </c>
      <c r="P207" s="57" t="s">
        <v>177</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IF(N207="N/A – rule","N/A – RULE",IF(TRIM(U207)="N/A",IF(AT207=0,"INVALID – N/A not permitted for this mandatory check",IF(AND(TRIM(AC207)&lt;&gt;"",TRIM(AE207)&lt;&gt;"",TRIM(T207)&lt;&gt;""),"N/A – JUSTIFIED","INVALID – N/A needs justification, PIC and verifier")),IF(OR(TRIM(U207)="Pass",TRIM(U207)="Pass after CA"),IF(NOT(ISNUMBER(AD207)),"INVALID – completion time missing",IF(TRIM(T207)="","INVALID – PIC missing",IF(TRIM(Z207)="","INVALID – evidence missing",IF(TRIM(AE207)="","INVALID – verifier missing",IF(AND(AQ207=1,TRIM(W207)=""),"INVALID – batch ID missing",IF(AND(AR207=1,OR(NOT(ISNUMBER(X207)),NOT(ISNUMBER(Y207)))),"INVALID – expected/actual qty missing",IF(IF(AND(TRIM(U207)="Pass",ISNUMBER(AF207)),IF(AF207&lt;&gt;0,"INVALID – qty variance: use Fail or Pass after CA",""),"")&amp;IF(AND(TRIM(U207)="Pass",AB207="Open"),"INVALID – corrective action still open: use Fail, then Pass after CA","")&amp;IF(AND(TRIM(U207)="Pass after CA",OR(TRIM(AA207)="",AB207&lt;&gt;"Closed")),"INVALID – corrective action not recorded/closed","")&lt;&gt;"",IF(AND(TRIM(U207)="Pass",ISNUMBER(AF207)),IF(AF207&lt;&gt;0,"INVALID – qty variance: use Fail or Pass after CA",""),"")&amp;IF(AND(TRIM(U207)="Pass",AB207="Open"),"INVALID – corrective action still open: use Fail, then Pass after CA","")&amp;IF(AND(TRIM(U207)="Pass after CA",OR(TRIM(AA207)="",AB207&lt;&gt;"Closed")),"INVALID – corrective action not recorded/closed",""),IF(AND(AS207=1,Documents!$J$10&lt;&gt;"ON FILE"),"INVALID – GLD not on file (Documents sheet)",IF(AND(AS207=2,Documents!$O$10&lt;&gt;"ON FILE"),"INVALID – menu checklist not on file (Documents sheet)",IF(AND(AS207=3,NOT(ISNUMBER(Flights!$AX$10))),"INVALID – enter carrying flight KUL departure (Flights AX)",IF(AG207&gt;AsOfUTC,"INVALID – completion time is in the future",IF(AND(ISNUMBER(S207),AG207&lt;S207),IF(H207="Physical uplift","INVALID – before uplift window (cannot confirm loading)","INVALID – before valid window"),IF(AG207&gt;Flights!$AA$10,"INVALID – completed after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f>
        <v>OPEN</v>
      </c>
      <c r="AI207" s="61" t="n">
        <f aca="false">IF(OR(AH207="N/A – RULE",AH207="N/A – JUSTIFIED"),0,1)</f>
        <v>1</v>
      </c>
      <c r="AJ207" s="61" t="n">
        <f aca="false">IF(LEFT(AH207,8)="COMPLETE",1,0)</f>
        <v>0</v>
      </c>
      <c r="AK207" s="61" t="n">
        <f aca="false">IF(AND(AI207=1,AJ207=0,AsOfUTC&gt;Q207),1,0)</f>
        <v>0</v>
      </c>
      <c r="AL207" s="61" t="n">
        <f aca="false">IF(AND(AI207=1,OR(TRIM(U207)="Fail",AB207="Open",AND(ISNUMBER(AF207),AF207&lt;&gt;0,TRIM(U207)&lt;&gt;"Pass after CA"))),1,0)</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1</v>
      </c>
    </row>
    <row r="208" customFormat="false" ht="39.75" hidden="false" customHeight="true" outlineLevel="0" collapsed="false">
      <c r="A208" s="57" t="s">
        <v>732</v>
      </c>
      <c r="B208" s="57" t="s">
        <v>221</v>
      </c>
      <c r="C208" s="57" t="str">
        <f aca="false">Flights!$F$10</f>
        <v>MH0002</v>
      </c>
      <c r="D208" s="58" t="n">
        <f aca="false">Flights!$D$10</f>
        <v>46310</v>
      </c>
      <c r="E208" s="57" t="str">
        <f aca="false">Flights!$G$10&amp;"-"&amp;Flights!$H$10</f>
        <v>KUL-LHR</v>
      </c>
      <c r="F208" s="57" t="str">
        <f aca="false">Flights!$K$10</f>
        <v>BC</v>
      </c>
      <c r="G208" s="57" t="s">
        <v>422</v>
      </c>
      <c r="H208" s="57" t="s">
        <v>423</v>
      </c>
      <c r="I208" s="57" t="s">
        <v>462</v>
      </c>
      <c r="J208" s="57" t="s">
        <v>514</v>
      </c>
      <c r="K208" s="67" t="s">
        <v>464</v>
      </c>
      <c r="L208" s="67" t="s">
        <v>711</v>
      </c>
      <c r="M208" s="67" t="s">
        <v>414</v>
      </c>
      <c r="N208" s="67" t="s">
        <v>346</v>
      </c>
      <c r="O208" s="67"/>
      <c r="P208" s="57" t="s">
        <v>177</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IF(N208="N/A – rule","N/A – RULE",IF(TRIM(U208)="N/A",IF(AT208=0,"INVALID – N/A not permitted for this mandatory check",IF(AND(TRIM(AC208)&lt;&gt;"",TRIM(AE208)&lt;&gt;"",TRIM(T208)&lt;&gt;""),"N/A – JUSTIFIED","INVALID – N/A needs justification, PIC and verifier")),IF(OR(TRIM(U208)="Pass",TRIM(U208)="Pass after CA"),IF(NOT(ISNUMBER(AD208)),"INVALID – completion time missing",IF(TRIM(T208)="","INVALID – PIC missing",IF(TRIM(Z208)="","INVALID – evidence missing",IF(TRIM(AE208)="","INVALID – verifier missing",IF(AND(AQ208=1,TRIM(W208)=""),"INVALID – batch ID missing",IF(AND(AR208=1,OR(NOT(ISNUMBER(X208)),NOT(ISNUMBER(Y208)))),"INVALID – expected/actual qty missing",IF(IF(AND(TRIM(U208)="Pass",ISNUMBER(AF208)),IF(AF208&lt;&gt;0,"INVALID – qty variance: use Fail or Pass after CA",""),"")&amp;IF(AND(TRIM(U208)="Pass",AB208="Open"),"INVALID – corrective action still open: use Fail, then Pass after CA","")&amp;IF(AND(TRIM(U208)="Pass after CA",OR(TRIM(AA208)="",AB208&lt;&gt;"Closed")),"INVALID – corrective action not recorded/closed","")&lt;&gt;"",IF(AND(TRIM(U208)="Pass",ISNUMBER(AF208)),IF(AF208&lt;&gt;0,"INVALID – qty variance: use Fail or Pass after CA",""),"")&amp;IF(AND(TRIM(U208)="Pass",AB208="Open"),"INVALID – corrective action still open: use Fail, then Pass after CA","")&amp;IF(AND(TRIM(U208)="Pass after CA",OR(TRIM(AA208)="",AB208&lt;&gt;"Closed")),"INVALID – corrective action not recorded/closed",""),IF(AND(AS208=1,Documents!$J$10&lt;&gt;"ON FILE"),"INVALID – GLD not on file (Documents sheet)",IF(AND(AS208=2,Documents!$O$10&lt;&gt;"ON FILE"),"INVALID – menu checklist not on file (Documents sheet)",IF(AND(AS208=3,NOT(ISNUMBER(Flights!$AX$10))),"INVALID – enter carrying flight KUL departure (Flights AX)",IF(AG208&gt;AsOfUTC,"INVALID – completion time is in the future",IF(AND(ISNUMBER(S208),AG208&lt;S208),IF(H208="Physical uplift","INVALID – before uplift window (cannot confirm loading)","INVALID – before valid window"),IF(AG208&gt;Flights!$AA$10,"INVALID – completed after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f>
        <v>OPEN</v>
      </c>
      <c r="AI208" s="61" t="n">
        <f aca="false">IF(OR(AH208="N/A – RULE",AH208="N/A – JUSTIFIED"),0,1)</f>
        <v>1</v>
      </c>
      <c r="AJ208" s="61" t="n">
        <f aca="false">IF(LEFT(AH208,8)="COMPLETE",1,0)</f>
        <v>0</v>
      </c>
      <c r="AK208" s="61" t="n">
        <f aca="false">IF(AND(AI208=1,AJ208=0,AsOfUTC&gt;Q208),1,0)</f>
        <v>0</v>
      </c>
      <c r="AL208" s="61" t="n">
        <f aca="false">IF(AND(AI208=1,OR(TRIM(U208)="Fail",AB208="Open",AND(ISNUMBER(AF208),AF208&lt;&gt;0,TRIM(U208)&lt;&gt;"Pass after CA"))),1,0)</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1</v>
      </c>
    </row>
    <row r="209" customFormat="false" ht="39.75" hidden="false" customHeight="true" outlineLevel="0" collapsed="false">
      <c r="A209" s="57" t="s">
        <v>733</v>
      </c>
      <c r="B209" s="57" t="s">
        <v>221</v>
      </c>
      <c r="C209" s="57" t="str">
        <f aca="false">Flights!$F$10</f>
        <v>MH0002</v>
      </c>
      <c r="D209" s="58" t="n">
        <f aca="false">Flights!$D$10</f>
        <v>46310</v>
      </c>
      <c r="E209" s="57" t="str">
        <f aca="false">Flights!$G$10&amp;"-"&amp;Flights!$H$10</f>
        <v>KUL-LHR</v>
      </c>
      <c r="F209" s="57" t="str">
        <f aca="false">Flights!$K$10</f>
        <v>BC</v>
      </c>
      <c r="G209" s="57" t="s">
        <v>422</v>
      </c>
      <c r="H209" s="57" t="s">
        <v>423</v>
      </c>
      <c r="I209" s="57" t="s">
        <v>410</v>
      </c>
      <c r="J209" s="57" t="s">
        <v>516</v>
      </c>
      <c r="K209" s="67" t="s">
        <v>412</v>
      </c>
      <c r="L209" s="67" t="s">
        <v>713</v>
      </c>
      <c r="M209" s="67" t="s">
        <v>414</v>
      </c>
      <c r="N209" s="67" t="s">
        <v>346</v>
      </c>
      <c r="O209" s="67"/>
      <c r="P209" s="57" t="s">
        <v>177</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IF(N209="N/A – rule","N/A – RULE",IF(TRIM(U209)="N/A",IF(AT209=0,"INVALID – N/A not permitted for this mandatory check",IF(AND(TRIM(AC209)&lt;&gt;"",TRIM(AE209)&lt;&gt;"",TRIM(T209)&lt;&gt;""),"N/A – JUSTIFIED","INVALID – N/A needs justification, PIC and verifier")),IF(OR(TRIM(U209)="Pass",TRIM(U209)="Pass after CA"),IF(NOT(ISNUMBER(AD209)),"INVALID – completion time missing",IF(TRIM(T209)="","INVALID – PIC missing",IF(TRIM(Z209)="","INVALID – evidence missing",IF(TRIM(AE209)="","INVALID – verifier missing",IF(AND(AQ209=1,TRIM(W209)=""),"INVALID – batch ID missing",IF(AND(AR209=1,OR(NOT(ISNUMBER(X209)),NOT(ISNUMBER(Y209)))),"INVALID – expected/actual qty missing",IF(IF(AND(TRIM(U209)="Pass",ISNUMBER(AF209)),IF(AF209&lt;&gt;0,"INVALID – qty variance: use Fail or Pass after CA",""),"")&amp;IF(AND(TRIM(U209)="Pass",AB209="Open"),"INVALID – corrective action still open: use Fail, then Pass after CA","")&amp;IF(AND(TRIM(U209)="Pass after CA",OR(TRIM(AA209)="",AB209&lt;&gt;"Closed")),"INVALID – corrective action not recorded/closed","")&lt;&gt;"",IF(AND(TRIM(U209)="Pass",ISNUMBER(AF209)),IF(AF209&lt;&gt;0,"INVALID – qty variance: use Fail or Pass after CA",""),"")&amp;IF(AND(TRIM(U209)="Pass",AB209="Open"),"INVALID – corrective action still open: use Fail, then Pass after CA","")&amp;IF(AND(TRIM(U209)="Pass after CA",OR(TRIM(AA209)="",AB209&lt;&gt;"Closed")),"INVALID – corrective action not recorded/closed",""),IF(AND(AS209=1,Documents!$J$10&lt;&gt;"ON FILE"),"INVALID – GLD not on file (Documents sheet)",IF(AND(AS209=2,Documents!$O$10&lt;&gt;"ON FILE"),"INVALID – menu checklist not on file (Documents sheet)",IF(AND(AS209=3,NOT(ISNUMBER(Flights!$AX$10))),"INVALID – enter carrying flight KUL departure (Flights AX)",IF(AG209&gt;AsOfUTC,"INVALID – completion time is in the future",IF(AND(ISNUMBER(S209),AG209&lt;S209),IF(H209="Physical uplift","INVALID – before uplift window (cannot confirm loading)","INVALID – before valid window"),IF(AG209&gt;Flights!$AA$10,"INVALID – completed after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f>
        <v>OPEN</v>
      </c>
      <c r="AI209" s="61" t="n">
        <f aca="false">IF(OR(AH209="N/A – RULE",AH209="N/A – JUSTIFIED"),0,1)</f>
        <v>1</v>
      </c>
      <c r="AJ209" s="61" t="n">
        <f aca="false">IF(LEFT(AH209,8)="COMPLETE",1,0)</f>
        <v>0</v>
      </c>
      <c r="AK209" s="61" t="n">
        <f aca="false">IF(AND(AI209=1,AJ209=0,AsOfUTC&gt;Q209),1,0)</f>
        <v>0</v>
      </c>
      <c r="AL209" s="61" t="n">
        <f aca="false">IF(AND(AI209=1,OR(TRIM(U209)="Fail",AB209="Open",AND(ISNUMBER(AF209),AF209&lt;&gt;0,TRIM(U209)&lt;&gt;"Pass after CA"))),1,0)</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1</v>
      </c>
    </row>
    <row r="210" customFormat="false" ht="39.75" hidden="false" customHeight="true" outlineLevel="0" collapsed="false">
      <c r="A210" s="57" t="s">
        <v>734</v>
      </c>
      <c r="B210" s="57" t="s">
        <v>221</v>
      </c>
      <c r="C210" s="57" t="str">
        <f aca="false">Flights!$F$10</f>
        <v>MH0002</v>
      </c>
      <c r="D210" s="58" t="n">
        <f aca="false">Flights!$D$10</f>
        <v>46310</v>
      </c>
      <c r="E210" s="57" t="str">
        <f aca="false">Flights!$G$10&amp;"-"&amp;Flights!$H$10</f>
        <v>KUL-LHR</v>
      </c>
      <c r="F210" s="57" t="str">
        <f aca="false">Flights!$K$10</f>
        <v>BC</v>
      </c>
      <c r="G210" s="57" t="s">
        <v>422</v>
      </c>
      <c r="H210" s="57" t="s">
        <v>423</v>
      </c>
      <c r="I210" s="57" t="s">
        <v>410</v>
      </c>
      <c r="J210" s="57" t="s">
        <v>616</v>
      </c>
      <c r="K210" s="67" t="s">
        <v>412</v>
      </c>
      <c r="L210" s="67" t="s">
        <v>715</v>
      </c>
      <c r="M210" s="67" t="s">
        <v>414</v>
      </c>
      <c r="N210" s="67" t="s">
        <v>346</v>
      </c>
      <c r="O210" s="67"/>
      <c r="P210" s="57" t="s">
        <v>177</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IF(N210="N/A – rule","N/A – RULE",IF(TRIM(U210)="N/A",IF(AT210=0,"INVALID – N/A not permitted for this mandatory check",IF(AND(TRIM(AC210)&lt;&gt;"",TRIM(AE210)&lt;&gt;"",TRIM(T210)&lt;&gt;""),"N/A – JUSTIFIED","INVALID – N/A needs justification, PIC and verifier")),IF(OR(TRIM(U210)="Pass",TRIM(U210)="Pass after CA"),IF(NOT(ISNUMBER(AD210)),"INVALID – completion time missing",IF(TRIM(T210)="","INVALID – PIC missing",IF(TRIM(Z210)="","INVALID – evidence missing",IF(TRIM(AE210)="","INVALID – verifier missing",IF(AND(AQ210=1,TRIM(W210)=""),"INVALID – batch ID missing",IF(AND(AR210=1,OR(NOT(ISNUMBER(X210)),NOT(ISNUMBER(Y210)))),"INVALID – expected/actual qty missing",IF(IF(AND(TRIM(U210)="Pass",ISNUMBER(AF210)),IF(AF210&lt;&gt;0,"INVALID – qty variance: use Fail or Pass after CA",""),"")&amp;IF(AND(TRIM(U210)="Pass",AB210="Open"),"INVALID – corrective action still open: use Fail, then Pass after CA","")&amp;IF(AND(TRIM(U210)="Pass after CA",OR(TRIM(AA210)="",AB210&lt;&gt;"Closed")),"INVALID – corrective action not recorded/closed","")&lt;&gt;"",IF(AND(TRIM(U210)="Pass",ISNUMBER(AF210)),IF(AF210&lt;&gt;0,"INVALID – qty variance: use Fail or Pass after CA",""),"")&amp;IF(AND(TRIM(U210)="Pass",AB210="Open"),"INVALID – corrective action still open: use Fail, then Pass after CA","")&amp;IF(AND(TRIM(U210)="Pass after CA",OR(TRIM(AA210)="",AB210&lt;&gt;"Closed")),"INVALID – corrective action not recorded/closed",""),IF(AND(AS210=1,Documents!$J$10&lt;&gt;"ON FILE"),"INVALID – GLD not on file (Documents sheet)",IF(AND(AS210=2,Documents!$O$10&lt;&gt;"ON FILE"),"INVALID – menu checklist not on file (Documents sheet)",IF(AND(AS210=3,NOT(ISNUMBER(Flights!$AX$10))),"INVALID – enter carrying flight KUL departure (Flights AX)",IF(AG210&gt;AsOfUTC,"INVALID – completion time is in the future",IF(AND(ISNUMBER(S210),AG210&lt;S210),IF(H210="Physical uplift","INVALID – before uplift window (cannot confirm loading)","INVALID – before valid window"),IF(AG210&gt;Flights!$AA$10,"INVALID – completed after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f>
        <v>OPEN</v>
      </c>
      <c r="AI210" s="61" t="n">
        <f aca="false">IF(OR(AH210="N/A – RULE",AH210="N/A – JUSTIFIED"),0,1)</f>
        <v>1</v>
      </c>
      <c r="AJ210" s="61" t="n">
        <f aca="false">IF(LEFT(AH210,8)="COMPLETE",1,0)</f>
        <v>0</v>
      </c>
      <c r="AK210" s="61" t="n">
        <f aca="false">IF(AND(AI210=1,AJ210=0,AsOfUTC&gt;Q210),1,0)</f>
        <v>0</v>
      </c>
      <c r="AL210" s="61" t="n">
        <f aca="false">IF(AND(AI210=1,OR(TRIM(U210)="Fail",AB210="Open",AND(ISNUMBER(AF210),AF210&lt;&gt;0,TRIM(U210)&lt;&gt;"Pass after CA"))),1,0)</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1</v>
      </c>
    </row>
    <row r="211" customFormat="false" ht="39.75" hidden="false" customHeight="true" outlineLevel="0" collapsed="false">
      <c r="A211" s="57" t="s">
        <v>735</v>
      </c>
      <c r="B211" s="57" t="s">
        <v>221</v>
      </c>
      <c r="C211" s="57" t="str">
        <f aca="false">Flights!$F$10</f>
        <v>MH0002</v>
      </c>
      <c r="D211" s="58" t="n">
        <f aca="false">Flights!$D$10</f>
        <v>46310</v>
      </c>
      <c r="E211" s="57" t="str">
        <f aca="false">Flights!$G$10&amp;"-"&amp;Flights!$H$10</f>
        <v>KUL-LHR</v>
      </c>
      <c r="F211" s="57" t="str">
        <f aca="false">Flights!$K$10</f>
        <v>BC</v>
      </c>
      <c r="G211" s="57" t="s">
        <v>422</v>
      </c>
      <c r="H211" s="57" t="s">
        <v>423</v>
      </c>
      <c r="I211" s="57" t="s">
        <v>410</v>
      </c>
      <c r="J211" s="57" t="s">
        <v>618</v>
      </c>
      <c r="K211" s="67" t="s">
        <v>412</v>
      </c>
      <c r="L211" s="67" t="s">
        <v>717</v>
      </c>
      <c r="M211" s="67" t="s">
        <v>414</v>
      </c>
      <c r="N211" s="67" t="s">
        <v>346</v>
      </c>
      <c r="O211" s="67"/>
      <c r="P211" s="57" t="s">
        <v>177</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IF(N211="N/A – rule","N/A – RULE",IF(TRIM(U211)="N/A",IF(AT211=0,"INVALID – N/A not permitted for this mandatory check",IF(AND(TRIM(AC211)&lt;&gt;"",TRIM(AE211)&lt;&gt;"",TRIM(T211)&lt;&gt;""),"N/A – JUSTIFIED","INVALID – N/A needs justification, PIC and verifier")),IF(OR(TRIM(U211)="Pass",TRIM(U211)="Pass after CA"),IF(NOT(ISNUMBER(AD211)),"INVALID – completion time missing",IF(TRIM(T211)="","INVALID – PIC missing",IF(TRIM(Z211)="","INVALID – evidence missing",IF(TRIM(AE211)="","INVALID – verifier missing",IF(AND(AQ211=1,TRIM(W211)=""),"INVALID – batch ID missing",IF(AND(AR211=1,OR(NOT(ISNUMBER(X211)),NOT(ISNUMBER(Y211)))),"INVALID – expected/actual qty missing",IF(IF(AND(TRIM(U211)="Pass",ISNUMBER(AF211)),IF(AF211&lt;&gt;0,"INVALID – qty variance: use Fail or Pass after CA",""),"")&amp;IF(AND(TRIM(U211)="Pass",AB211="Open"),"INVALID – corrective action still open: use Fail, then Pass after CA","")&amp;IF(AND(TRIM(U211)="Pass after CA",OR(TRIM(AA211)="",AB211&lt;&gt;"Closed")),"INVALID – corrective action not recorded/closed","")&lt;&gt;"",IF(AND(TRIM(U211)="Pass",ISNUMBER(AF211)),IF(AF211&lt;&gt;0,"INVALID – qty variance: use Fail or Pass after CA",""),"")&amp;IF(AND(TRIM(U211)="Pass",AB211="Open"),"INVALID – corrective action still open: use Fail, then Pass after CA","")&amp;IF(AND(TRIM(U211)="Pass after CA",OR(TRIM(AA211)="",AB211&lt;&gt;"Closed")),"INVALID – corrective action not recorded/closed",""),IF(AND(AS211=1,Documents!$J$10&lt;&gt;"ON FILE"),"INVALID – GLD not on file (Documents sheet)",IF(AND(AS211=2,Documents!$O$10&lt;&gt;"ON FILE"),"INVALID – menu checklist not on file (Documents sheet)",IF(AND(AS211=3,NOT(ISNUMBER(Flights!$AX$10))),"INVALID – enter carrying flight KUL departure (Flights AX)",IF(AG211&gt;AsOfUTC,"INVALID – completion time is in the future",IF(AND(ISNUMBER(S211),AG211&lt;S211),IF(H211="Physical uplift","INVALID – before uplift window (cannot confirm loading)","INVALID – before valid window"),IF(AG211&gt;Flights!$AA$10,"INVALID – completed after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f>
        <v>OPEN</v>
      </c>
      <c r="AI211" s="61" t="n">
        <f aca="false">IF(OR(AH211="N/A – RULE",AH211="N/A – JUSTIFIED"),0,1)</f>
        <v>1</v>
      </c>
      <c r="AJ211" s="61" t="n">
        <f aca="false">IF(LEFT(AH211,8)="COMPLETE",1,0)</f>
        <v>0</v>
      </c>
      <c r="AK211" s="61" t="n">
        <f aca="false">IF(AND(AI211=1,AJ211=0,AsOfUTC&gt;Q211),1,0)</f>
        <v>0</v>
      </c>
      <c r="AL211" s="61" t="n">
        <f aca="false">IF(AND(AI211=1,OR(TRIM(U211)="Fail",AB211="Open",AND(ISNUMBER(AF211),AF211&lt;&gt;0,TRIM(U211)&lt;&gt;"Pass after CA"))),1,0)</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1</v>
      </c>
    </row>
    <row r="212" customFormat="false" ht="39.75" hidden="false" customHeight="true" outlineLevel="0" collapsed="false">
      <c r="A212" s="57" t="s">
        <v>736</v>
      </c>
      <c r="B212" s="57" t="s">
        <v>221</v>
      </c>
      <c r="C212" s="57" t="str">
        <f aca="false">Flights!$F$10</f>
        <v>MH0002</v>
      </c>
      <c r="D212" s="58" t="n">
        <f aca="false">Flights!$D$10</f>
        <v>46310</v>
      </c>
      <c r="E212" s="57" t="str">
        <f aca="false">Flights!$G$10&amp;"-"&amp;Flights!$H$10</f>
        <v>KUL-LHR</v>
      </c>
      <c r="F212" s="57" t="str">
        <f aca="false">Flights!$K$10</f>
        <v>BC</v>
      </c>
      <c r="G212" s="57" t="s">
        <v>422</v>
      </c>
      <c r="H212" s="57" t="s">
        <v>423</v>
      </c>
      <c r="I212" s="57" t="s">
        <v>592</v>
      </c>
      <c r="J212" s="57" t="s">
        <v>620</v>
      </c>
      <c r="K212" s="67" t="s">
        <v>464</v>
      </c>
      <c r="L212" s="67" t="s">
        <v>719</v>
      </c>
      <c r="M212" s="67" t="s">
        <v>177</v>
      </c>
      <c r="N212" s="67" t="s">
        <v>346</v>
      </c>
      <c r="O212" s="67" t="s">
        <v>595</v>
      </c>
      <c r="P212" s="57" t="s">
        <v>177</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IF(N212="N/A – rule","N/A – RULE",IF(TRIM(U212)="N/A",IF(AT212=0,"INVALID – N/A not permitted for this mandatory check",IF(AND(TRIM(AC212)&lt;&gt;"",TRIM(AE212)&lt;&gt;"",TRIM(T212)&lt;&gt;""),"N/A – JUSTIFIED","INVALID – N/A needs justification, PIC and verifier")),IF(OR(TRIM(U212)="Pass",TRIM(U212)="Pass after CA"),IF(NOT(ISNUMBER(AD212)),"INVALID – completion time missing",IF(TRIM(T212)="","INVALID – PIC missing",IF(TRIM(Z212)="","INVALID – evidence missing",IF(TRIM(AE212)="","INVALID – verifier missing",IF(AND(AQ212=1,TRIM(W212)=""),"INVALID – batch ID missing",IF(AND(AR212=1,OR(NOT(ISNUMBER(X212)),NOT(ISNUMBER(Y212)))),"INVALID – expected/actual qty missing",IF(IF(AND(TRIM(U212)="Pass",ISNUMBER(AF212)),IF(AF212&lt;&gt;0,"INVALID – qty variance: use Fail or Pass after CA",""),"")&amp;IF(AND(TRIM(U212)="Pass",AB212="Open"),"INVALID – corrective action still open: use Fail, then Pass after CA","")&amp;IF(AND(TRIM(U212)="Pass after CA",OR(TRIM(AA212)="",AB212&lt;&gt;"Closed")),"INVALID – corrective action not recorded/closed","")&lt;&gt;"",IF(AND(TRIM(U212)="Pass",ISNUMBER(AF212)),IF(AF212&lt;&gt;0,"INVALID – qty variance: use Fail or Pass after CA",""),"")&amp;IF(AND(TRIM(U212)="Pass",AB212="Open"),"INVALID – corrective action still open: use Fail, then Pass after CA","")&amp;IF(AND(TRIM(U212)="Pass after CA",OR(TRIM(AA212)="",AB212&lt;&gt;"Closed")),"INVALID – corrective action not recorded/closed",""),IF(AND(AS212=1,Documents!$J$10&lt;&gt;"ON FILE"),"INVALID – GLD not on file (Documents sheet)",IF(AND(AS212=2,Documents!$O$10&lt;&gt;"ON FILE"),"INVALID – menu checklist not on file (Documents sheet)",IF(AND(AS212=3,NOT(ISNUMBER(Flights!$AX$10))),"INVALID – enter carrying flight KUL departure (Flights AX)",IF(AG212&gt;AsOfUTC,"INVALID – completion time is in the future",IF(AND(ISNUMBER(S212),AG212&lt;S212),IF(H212="Physical uplift","INVALID – before uplift window (cannot confirm loading)","INVALID – before valid window"),IF(AG212&gt;Flights!$AA$10,"INVALID – completed after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f>
        <v>OPEN</v>
      </c>
      <c r="AI212" s="61" t="n">
        <f aca="false">IF(OR(AH212="N/A – RULE",AH212="N/A – JUSTIFIED"),0,1)</f>
        <v>1</v>
      </c>
      <c r="AJ212" s="61" t="n">
        <f aca="false">IF(LEFT(AH212,8)="COMPLETE",1,0)</f>
        <v>0</v>
      </c>
      <c r="AK212" s="61" t="n">
        <f aca="false">IF(AND(AI212=1,AJ212=0,AsOfUTC&gt;Q212),1,0)</f>
        <v>0</v>
      </c>
      <c r="AL212" s="61" t="n">
        <f aca="false">IF(AND(AI212=1,OR(TRIM(U212)="Fail",AB212="Open",AND(ISNUMBER(AF212),AF212&lt;&gt;0,TRIM(U212)&lt;&gt;"Pass after CA"))),1,0)</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1</v>
      </c>
    </row>
    <row r="213" customFormat="false" ht="39.75" hidden="false" customHeight="true" outlineLevel="0" collapsed="false">
      <c r="A213" s="57" t="s">
        <v>737</v>
      </c>
      <c r="B213" s="57" t="s">
        <v>225</v>
      </c>
      <c r="C213" s="57" t="str">
        <f aca="false">Flights!$F$11</f>
        <v>MH0003</v>
      </c>
      <c r="D213" s="58" t="n">
        <f aca="false">Flights!$D$11</f>
        <v>46304</v>
      </c>
      <c r="E213" s="57" t="str">
        <f aca="false">Flights!$G$11&amp;"-"&amp;Flights!$H$11</f>
        <v>LHR-KUL</v>
      </c>
      <c r="F213" s="57" t="str">
        <f aca="false">Flights!$K$11</f>
        <v>BC</v>
      </c>
      <c r="G213" s="57" t="s">
        <v>74</v>
      </c>
      <c r="H213" s="57" t="s">
        <v>341</v>
      </c>
      <c r="I213" s="57" t="s">
        <v>342</v>
      </c>
      <c r="J213" s="57" t="s">
        <v>343</v>
      </c>
      <c r="K213" s="67" t="s">
        <v>344</v>
      </c>
      <c r="L213" s="67" t="s">
        <v>345</v>
      </c>
      <c r="M213" s="67"/>
      <c r="N213" s="67" t="s">
        <v>346</v>
      </c>
      <c r="O213" s="67"/>
      <c r="P213" s="57" t="s">
        <v>176</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IF(N213="N/A – rule","N/A – RULE",IF(TRIM(U213)="N/A",IF(AT213=0,"INVALID – N/A not permitted for this mandatory check",IF(AND(TRIM(AC213)&lt;&gt;"",TRIM(AE213)&lt;&gt;"",TRIM(T213)&lt;&gt;""),"N/A – JUSTIFIED","INVALID – N/A needs justification, PIC and verifier")),IF(OR(TRIM(U213)="Pass",TRIM(U213)="Pass after CA"),IF(NOT(ISNUMBER(AD213)),"INVALID – completion time missing",IF(TRIM(T213)="","INVALID – PIC missing",IF(TRIM(Z213)="","INVALID – evidence missing",IF(TRIM(AE213)="","INVALID – verifier missing",IF(AND(AQ213=1,TRIM(W213)=""),"INVALID – batch ID missing",IF(AND(AR213=1,OR(NOT(ISNUMBER(X213)),NOT(ISNUMBER(Y213)))),"INVALID – expected/actual qty missing",IF(IF(AND(TRIM(U213)="Pass",ISNUMBER(AF213)),IF(AF213&lt;&gt;0,"INVALID – qty variance: use Fail or Pass after CA",""),"")&amp;IF(AND(TRIM(U213)="Pass",AB213="Open"),"INVALID – corrective action still open: use Fail, then Pass after CA","")&amp;IF(AND(TRIM(U213)="Pass after CA",OR(TRIM(AA213)="",AB213&lt;&gt;"Closed")),"INVALID – corrective action not recorded/closed","")&lt;&gt;"",IF(AND(TRIM(U213)="Pass",ISNUMBER(AF213)),IF(AF213&lt;&gt;0,"INVALID – qty variance: use Fail or Pass after CA",""),"")&amp;IF(AND(TRIM(U213)="Pass",AB213="Open"),"INVALID – corrective action still open: use Fail, then Pass after CA","")&amp;IF(AND(TRIM(U213)="Pass after CA",OR(TRIM(AA213)="",AB213&lt;&gt;"Closed")),"INVALID – corrective action not recorded/closed",""),IF(AND(AS213=1,Documents!$J$11&lt;&gt;"ON FILE"),"INVALID – GLD not on file (Documents sheet)",IF(AND(AS213=2,Documents!$O$11&lt;&gt;"ON FILE"),"INVALID – menu checklist not on file (Documents sheet)",IF(AND(AS213=3,NOT(ISNUMBER(Flights!$AX$11))),"INVALID – enter carrying flight KUL departure (Flights AX)",IF(AG213&gt;AsOfUTC,"INVALID – completion time is in the future",IF(AND(ISNUMBER(S213),AG213&lt;S213),IF(H213="Physical uplift","INVALID – before uplift window (cannot confirm loading)","INVALID – before valid window"),IF(AG213&gt;Flights!$AA$11,"INVALID – completed after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f>
        <v>OPEN</v>
      </c>
      <c r="AI213" s="61" t="n">
        <f aca="false">IF(OR(AH213="N/A – RULE",AH213="N/A – JUSTIFIED"),0,1)</f>
        <v>1</v>
      </c>
      <c r="AJ213" s="61" t="n">
        <f aca="false">IF(LEFT(AH213,8)="COMPLETE",1,0)</f>
        <v>0</v>
      </c>
      <c r="AK213" s="61" t="n">
        <f aca="false">IF(AND(AI213=1,AJ213=0,AsOfUTC&gt;Q213),1,0)</f>
        <v>0</v>
      </c>
      <c r="AL213" s="61" t="n">
        <f aca="false">IF(AND(AI213=1,OR(TRIM(U213)="Fail",AB213="Open",AND(ISNUMBER(AF213),AF213&lt;&gt;0,TRIM(U213)&lt;&gt;"Pass after CA"))),1,0)</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row>
    <row r="214" customFormat="false" ht="39.75" hidden="false" customHeight="true" outlineLevel="0" collapsed="false">
      <c r="A214" s="57" t="s">
        <v>738</v>
      </c>
      <c r="B214" s="57" t="s">
        <v>225</v>
      </c>
      <c r="C214" s="57" t="str">
        <f aca="false">Flights!$F$11</f>
        <v>MH0003</v>
      </c>
      <c r="D214" s="58" t="n">
        <f aca="false">Flights!$D$11</f>
        <v>46304</v>
      </c>
      <c r="E214" s="57" t="str">
        <f aca="false">Flights!$G$11&amp;"-"&amp;Flights!$H$11</f>
        <v>LHR-KUL</v>
      </c>
      <c r="F214" s="57" t="str">
        <f aca="false">Flights!$K$11</f>
        <v>BC</v>
      </c>
      <c r="G214" s="57" t="s">
        <v>74</v>
      </c>
      <c r="H214" s="57" t="s">
        <v>341</v>
      </c>
      <c r="I214" s="57" t="s">
        <v>348</v>
      </c>
      <c r="J214" s="57" t="s">
        <v>349</v>
      </c>
      <c r="K214" s="67" t="s">
        <v>350</v>
      </c>
      <c r="L214" s="67" t="s">
        <v>345</v>
      </c>
      <c r="M214" s="67"/>
      <c r="N214" s="67" t="s">
        <v>346</v>
      </c>
      <c r="O214" s="67"/>
      <c r="P214" s="57" t="s">
        <v>176</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IF(N214="N/A – rule","N/A – RULE",IF(TRIM(U214)="N/A",IF(AT214=0,"INVALID – N/A not permitted for this mandatory check",IF(AND(TRIM(AC214)&lt;&gt;"",TRIM(AE214)&lt;&gt;"",TRIM(T214)&lt;&gt;""),"N/A – JUSTIFIED","INVALID – N/A needs justification, PIC and verifier")),IF(OR(TRIM(U214)="Pass",TRIM(U214)="Pass after CA"),IF(NOT(ISNUMBER(AD214)),"INVALID – completion time missing",IF(TRIM(T214)="","INVALID – PIC missing",IF(TRIM(Z214)="","INVALID – evidence missing",IF(TRIM(AE214)="","INVALID – verifier missing",IF(AND(AQ214=1,TRIM(W214)=""),"INVALID – batch ID missing",IF(AND(AR214=1,OR(NOT(ISNUMBER(X214)),NOT(ISNUMBER(Y214)))),"INVALID – expected/actual qty missing",IF(IF(AND(TRIM(U214)="Pass",ISNUMBER(AF214)),IF(AF214&lt;&gt;0,"INVALID – qty variance: use Fail or Pass after CA",""),"")&amp;IF(AND(TRIM(U214)="Pass",AB214="Open"),"INVALID – corrective action still open: use Fail, then Pass after CA","")&amp;IF(AND(TRIM(U214)="Pass after CA",OR(TRIM(AA214)="",AB214&lt;&gt;"Closed")),"INVALID – corrective action not recorded/closed","")&lt;&gt;"",IF(AND(TRIM(U214)="Pass",ISNUMBER(AF214)),IF(AF214&lt;&gt;0,"INVALID – qty variance: use Fail or Pass after CA",""),"")&amp;IF(AND(TRIM(U214)="Pass",AB214="Open"),"INVALID – corrective action still open: use Fail, then Pass after CA","")&amp;IF(AND(TRIM(U214)="Pass after CA",OR(TRIM(AA214)="",AB214&lt;&gt;"Closed")),"INVALID – corrective action not recorded/closed",""),IF(AND(AS214=1,Documents!$J$11&lt;&gt;"ON FILE"),"INVALID – GLD not on file (Documents sheet)",IF(AND(AS214=2,Documents!$O$11&lt;&gt;"ON FILE"),"INVALID – menu checklist not on file (Documents sheet)",IF(AND(AS214=3,NOT(ISNUMBER(Flights!$AX$11))),"INVALID – enter carrying flight KUL departure (Flights AX)",IF(AG214&gt;AsOfUTC,"INVALID – completion time is in the future",IF(AND(ISNUMBER(S214),AG214&lt;S214),IF(H214="Physical uplift","INVALID – before uplift window (cannot confirm loading)","INVALID – before valid window"),IF(AG214&gt;Flights!$AA$11,"INVALID – completed after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f>
        <v>OPEN</v>
      </c>
      <c r="AI214" s="61" t="n">
        <f aca="false">IF(OR(AH214="N/A – RULE",AH214="N/A – JUSTIFIED"),0,1)</f>
        <v>1</v>
      </c>
      <c r="AJ214" s="61" t="n">
        <f aca="false">IF(LEFT(AH214,8)="COMPLETE",1,0)</f>
        <v>0</v>
      </c>
      <c r="AK214" s="61" t="n">
        <f aca="false">IF(AND(AI214=1,AJ214=0,AsOfUTC&gt;Q214),1,0)</f>
        <v>0</v>
      </c>
      <c r="AL214" s="61" t="n">
        <f aca="false">IF(AND(AI214=1,OR(TRIM(U214)="Fail",AB214="Open",AND(ISNUMBER(AF214),AF214&lt;&gt;0,TRIM(U214)&lt;&gt;"Pass after CA"))),1,0)</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1</v>
      </c>
    </row>
    <row r="215" customFormat="false" ht="41.25" hidden="false" customHeight="true" outlineLevel="0" collapsed="false">
      <c r="A215" s="57" t="s">
        <v>739</v>
      </c>
      <c r="B215" s="57" t="s">
        <v>225</v>
      </c>
      <c r="C215" s="57" t="str">
        <f aca="false">Flights!$F$11</f>
        <v>MH0003</v>
      </c>
      <c r="D215" s="58" t="n">
        <f aca="false">Flights!$D$11</f>
        <v>46304</v>
      </c>
      <c r="E215" s="57" t="str">
        <f aca="false">Flights!$G$11&amp;"-"&amp;Flights!$H$11</f>
        <v>LHR-KUL</v>
      </c>
      <c r="F215" s="57" t="str">
        <f aca="false">Flights!$K$11</f>
        <v>BC</v>
      </c>
      <c r="G215" s="57" t="s">
        <v>74</v>
      </c>
      <c r="H215" s="57" t="s">
        <v>341</v>
      </c>
      <c r="I215" s="57" t="s">
        <v>352</v>
      </c>
      <c r="J215" s="57" t="s">
        <v>353</v>
      </c>
      <c r="K215" s="67" t="s">
        <v>354</v>
      </c>
      <c r="L215" s="67" t="s">
        <v>345</v>
      </c>
      <c r="M215" s="67"/>
      <c r="N215" s="67" t="str">
        <f aca="false">IF(TRIM(Flights!$L$11)="A339","Required","N/A – rule")</f>
        <v>N/A – rule</v>
      </c>
      <c r="O215" s="67" t="s">
        <v>355</v>
      </c>
      <c r="P215" s="57" t="s">
        <v>176</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IF(N215="N/A – rule","N/A – RULE",IF(TRIM(U215)="N/A",IF(AT215=0,"INVALID – N/A not permitted for this mandatory check",IF(AND(TRIM(AC215)&lt;&gt;"",TRIM(AE215)&lt;&gt;"",TRIM(T215)&lt;&gt;""),"N/A – JUSTIFIED","INVALID – N/A needs justification, PIC and verifier")),IF(OR(TRIM(U215)="Pass",TRIM(U215)="Pass after CA"),IF(NOT(ISNUMBER(AD215)),"INVALID – completion time missing",IF(TRIM(T215)="","INVALID – PIC missing",IF(TRIM(Z215)="","INVALID – evidence missing",IF(TRIM(AE215)="","INVALID – verifier missing",IF(AND(AQ215=1,TRIM(W215)=""),"INVALID – batch ID missing",IF(AND(AR215=1,OR(NOT(ISNUMBER(X215)),NOT(ISNUMBER(Y215)))),"INVALID – expected/actual qty missing",IF(IF(AND(TRIM(U215)="Pass",ISNUMBER(AF215)),IF(AF215&lt;&gt;0,"INVALID – qty variance: use Fail or Pass after CA",""),"")&amp;IF(AND(TRIM(U215)="Pass",AB215="Open"),"INVALID – corrective action still open: use Fail, then Pass after CA","")&amp;IF(AND(TRIM(U215)="Pass after CA",OR(TRIM(AA215)="",AB215&lt;&gt;"Closed")),"INVALID – corrective action not recorded/closed","")&lt;&gt;"",IF(AND(TRIM(U215)="Pass",ISNUMBER(AF215)),IF(AF215&lt;&gt;0,"INVALID – qty variance: use Fail or Pass after CA",""),"")&amp;IF(AND(TRIM(U215)="Pass",AB215="Open"),"INVALID – corrective action still open: use Fail, then Pass after CA","")&amp;IF(AND(TRIM(U215)="Pass after CA",OR(TRIM(AA215)="",AB215&lt;&gt;"Closed")),"INVALID – corrective action not recorded/closed",""),IF(AND(AS215=1,Documents!$J$11&lt;&gt;"ON FILE"),"INVALID – GLD not on file (Documents sheet)",IF(AND(AS215=2,Documents!$O$11&lt;&gt;"ON FILE"),"INVALID – menu checklist not on file (Documents sheet)",IF(AND(AS215=3,NOT(ISNUMBER(Flights!$AX$11))),"INVALID – enter carrying flight KUL departure (Flights AX)",IF(AG215&gt;AsOfUTC,"INVALID – completion time is in the future",IF(AND(ISNUMBER(S215),AG215&lt;S215),IF(H215="Physical uplift","INVALID – before uplift window (cannot confirm loading)","INVALID – before valid window"),IF(AG215&gt;Flights!$AA$11,"INVALID – completed after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f>
        <v>N/A – RULE</v>
      </c>
      <c r="AI215" s="61" t="n">
        <f aca="false">IF(OR(AH215="N/A – RULE",AH215="N/A – JUSTIFIED"),0,1)</f>
        <v>0</v>
      </c>
      <c r="AJ215" s="61" t="n">
        <f aca="false">IF(LEFT(AH215,8)="COMPLETE",1,0)</f>
        <v>0</v>
      </c>
      <c r="AK215" s="61" t="n">
        <f aca="false">IF(AND(AI215=1,AJ215=0,AsOfUTC&gt;Q215),1,0)</f>
        <v>0</v>
      </c>
      <c r="AL215" s="61" t="n">
        <f aca="false">IF(AND(AI215=1,OR(TRIM(U215)="Fail",AB215="Open",AND(ISNUMBER(AF215),AF215&lt;&gt;0,TRIM(U215)&lt;&gt;"Pass after CA"))),1,0)</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row>
    <row r="216" customFormat="false" ht="39.75" hidden="false" customHeight="true" outlineLevel="0" collapsed="false">
      <c r="A216" s="57" t="s">
        <v>740</v>
      </c>
      <c r="B216" s="57" t="s">
        <v>225</v>
      </c>
      <c r="C216" s="57" t="str">
        <f aca="false">Flights!$F$11</f>
        <v>MH0003</v>
      </c>
      <c r="D216" s="58" t="n">
        <f aca="false">Flights!$D$11</f>
        <v>46304</v>
      </c>
      <c r="E216" s="57" t="str">
        <f aca="false">Flights!$G$11&amp;"-"&amp;Flights!$H$11</f>
        <v>LHR-KUL</v>
      </c>
      <c r="F216" s="57" t="str">
        <f aca="false">Flights!$K$11</f>
        <v>BC</v>
      </c>
      <c r="G216" s="57" t="s">
        <v>74</v>
      </c>
      <c r="H216" s="57" t="s">
        <v>341</v>
      </c>
      <c r="I216" s="57" t="s">
        <v>357</v>
      </c>
      <c r="J216" s="57" t="s">
        <v>358</v>
      </c>
      <c r="K216" s="67" t="s">
        <v>359</v>
      </c>
      <c r="L216" s="67" t="s">
        <v>345</v>
      </c>
      <c r="M216" s="67"/>
      <c r="N216" s="67" t="s">
        <v>346</v>
      </c>
      <c r="O216" s="67"/>
      <c r="P216" s="57" t="s">
        <v>176</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IF(N216="N/A – rule","N/A – RULE",IF(TRIM(U216)="N/A",IF(AT216=0,"INVALID – N/A not permitted for this mandatory check",IF(AND(TRIM(AC216)&lt;&gt;"",TRIM(AE216)&lt;&gt;"",TRIM(T216)&lt;&gt;""),"N/A – JUSTIFIED","INVALID – N/A needs justification, PIC and verifier")),IF(OR(TRIM(U216)="Pass",TRIM(U216)="Pass after CA"),IF(NOT(ISNUMBER(AD216)),"INVALID – completion time missing",IF(TRIM(T216)="","INVALID – PIC missing",IF(TRIM(Z216)="","INVALID – evidence missing",IF(TRIM(AE216)="","INVALID – verifier missing",IF(AND(AQ216=1,TRIM(W216)=""),"INVALID – batch ID missing",IF(AND(AR216=1,OR(NOT(ISNUMBER(X216)),NOT(ISNUMBER(Y216)))),"INVALID – expected/actual qty missing",IF(IF(AND(TRIM(U216)="Pass",ISNUMBER(AF216)),IF(AF216&lt;&gt;0,"INVALID – qty variance: use Fail or Pass after CA",""),"")&amp;IF(AND(TRIM(U216)="Pass",AB216="Open"),"INVALID – corrective action still open: use Fail, then Pass after CA","")&amp;IF(AND(TRIM(U216)="Pass after CA",OR(TRIM(AA216)="",AB216&lt;&gt;"Closed")),"INVALID – corrective action not recorded/closed","")&lt;&gt;"",IF(AND(TRIM(U216)="Pass",ISNUMBER(AF216)),IF(AF216&lt;&gt;0,"INVALID – qty variance: use Fail or Pass after CA",""),"")&amp;IF(AND(TRIM(U216)="Pass",AB216="Open"),"INVALID – corrective action still open: use Fail, then Pass after CA","")&amp;IF(AND(TRIM(U216)="Pass after CA",OR(TRIM(AA216)="",AB216&lt;&gt;"Closed")),"INVALID – corrective action not recorded/closed",""),IF(AND(AS216=1,Documents!$J$11&lt;&gt;"ON FILE"),"INVALID – GLD not on file (Documents sheet)",IF(AND(AS216=2,Documents!$O$11&lt;&gt;"ON FILE"),"INVALID – menu checklist not on file (Documents sheet)",IF(AND(AS216=3,NOT(ISNUMBER(Flights!$AX$11))),"INVALID – enter carrying flight KUL departure (Flights AX)",IF(AG216&gt;AsOfUTC,"INVALID – completion time is in the future",IF(AND(ISNUMBER(S216),AG216&lt;S216),IF(H216="Physical uplift","INVALID – before uplift window (cannot confirm loading)","INVALID – before valid window"),IF(AG216&gt;Flights!$AA$11,"INVALID – completed after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f>
        <v>OPEN</v>
      </c>
      <c r="AI216" s="61" t="n">
        <f aca="false">IF(OR(AH216="N/A – RULE",AH216="N/A – JUSTIFIED"),0,1)</f>
        <v>1</v>
      </c>
      <c r="AJ216" s="61" t="n">
        <f aca="false">IF(LEFT(AH216,8)="COMPLETE",1,0)</f>
        <v>0</v>
      </c>
      <c r="AK216" s="61" t="n">
        <f aca="false">IF(AND(AI216=1,AJ216=0,AsOfUTC&gt;Q216),1,0)</f>
        <v>0</v>
      </c>
      <c r="AL216" s="61" t="n">
        <f aca="false">IF(AND(AI216=1,OR(TRIM(U216)="Fail",AB216="Open",AND(ISNUMBER(AF216),AF216&lt;&gt;0,TRIM(U216)&lt;&gt;"Pass after CA"))),1,0)</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row>
    <row r="217" customFormat="false" ht="39.75" hidden="false" customHeight="true" outlineLevel="0" collapsed="false">
      <c r="A217" s="57" t="s">
        <v>741</v>
      </c>
      <c r="B217" s="57" t="s">
        <v>225</v>
      </c>
      <c r="C217" s="57" t="str">
        <f aca="false">Flights!$F$11</f>
        <v>MH0003</v>
      </c>
      <c r="D217" s="58" t="n">
        <f aca="false">Flights!$D$11</f>
        <v>46304</v>
      </c>
      <c r="E217" s="57" t="str">
        <f aca="false">Flights!$G$11&amp;"-"&amp;Flights!$H$11</f>
        <v>LHR-KUL</v>
      </c>
      <c r="F217" s="57" t="str">
        <f aca="false">Flights!$K$11</f>
        <v>BC</v>
      </c>
      <c r="G217" s="57" t="s">
        <v>74</v>
      </c>
      <c r="H217" s="57" t="s">
        <v>341</v>
      </c>
      <c r="I217" s="57" t="s">
        <v>361</v>
      </c>
      <c r="J217" s="57" t="s">
        <v>362</v>
      </c>
      <c r="K217" s="67" t="s">
        <v>363</v>
      </c>
      <c r="L217" s="67" t="s">
        <v>345</v>
      </c>
      <c r="M217" s="67"/>
      <c r="N217" s="67" t="s">
        <v>346</v>
      </c>
      <c r="O217" s="67"/>
      <c r="P217" s="57" t="s">
        <v>176</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IF(N217="N/A – rule","N/A – RULE",IF(TRIM(U217)="N/A",IF(AT217=0,"INVALID – N/A not permitted for this mandatory check",IF(AND(TRIM(AC217)&lt;&gt;"",TRIM(AE217)&lt;&gt;"",TRIM(T217)&lt;&gt;""),"N/A – JUSTIFIED","INVALID – N/A needs justification, PIC and verifier")),IF(OR(TRIM(U217)="Pass",TRIM(U217)="Pass after CA"),IF(NOT(ISNUMBER(AD217)),"INVALID – completion time missing",IF(TRIM(T217)="","INVALID – PIC missing",IF(TRIM(Z217)="","INVALID – evidence missing",IF(TRIM(AE217)="","INVALID – verifier missing",IF(AND(AQ217=1,TRIM(W217)=""),"INVALID – batch ID missing",IF(AND(AR217=1,OR(NOT(ISNUMBER(X217)),NOT(ISNUMBER(Y217)))),"INVALID – expected/actual qty missing",IF(IF(AND(TRIM(U217)="Pass",ISNUMBER(AF217)),IF(AF217&lt;&gt;0,"INVALID – qty variance: use Fail or Pass after CA",""),"")&amp;IF(AND(TRIM(U217)="Pass",AB217="Open"),"INVALID – corrective action still open: use Fail, then Pass after CA","")&amp;IF(AND(TRIM(U217)="Pass after CA",OR(TRIM(AA217)="",AB217&lt;&gt;"Closed")),"INVALID – corrective action not recorded/closed","")&lt;&gt;"",IF(AND(TRIM(U217)="Pass",ISNUMBER(AF217)),IF(AF217&lt;&gt;0,"INVALID – qty variance: use Fail or Pass after CA",""),"")&amp;IF(AND(TRIM(U217)="Pass",AB217="Open"),"INVALID – corrective action still open: use Fail, then Pass after CA","")&amp;IF(AND(TRIM(U217)="Pass after CA",OR(TRIM(AA217)="",AB217&lt;&gt;"Closed")),"INVALID – corrective action not recorded/closed",""),IF(AND(AS217=1,Documents!$J$11&lt;&gt;"ON FILE"),"INVALID – GLD not on file (Documents sheet)",IF(AND(AS217=2,Documents!$O$11&lt;&gt;"ON FILE"),"INVALID – menu checklist not on file (Documents sheet)",IF(AND(AS217=3,NOT(ISNUMBER(Flights!$AX$11))),"INVALID – enter carrying flight KUL departure (Flights AX)",IF(AG217&gt;AsOfUTC,"INVALID – completion time is in the future",IF(AND(ISNUMBER(S217),AG217&lt;S217),IF(H217="Physical uplift","INVALID – before uplift window (cannot confirm loading)","INVALID – before valid window"),IF(AG217&gt;Flights!$AA$11,"INVALID – completed after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f>
        <v>OPEN</v>
      </c>
      <c r="AI217" s="61" t="n">
        <f aca="false">IF(OR(AH217="N/A – RULE",AH217="N/A – JUSTIFIED"),0,1)</f>
        <v>1</v>
      </c>
      <c r="AJ217" s="61" t="n">
        <f aca="false">IF(LEFT(AH217,8)="COMPLETE",1,0)</f>
        <v>0</v>
      </c>
      <c r="AK217" s="61" t="n">
        <f aca="false">IF(AND(AI217=1,AJ217=0,AsOfUTC&gt;Q217),1,0)</f>
        <v>0</v>
      </c>
      <c r="AL217" s="61" t="n">
        <f aca="false">IF(AND(AI217=1,OR(TRIM(U217)="Fail",AB217="Open",AND(ISNUMBER(AF217),AF217&lt;&gt;0,TRIM(U217)&lt;&gt;"Pass after CA"))),1,0)</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row>
    <row r="218" customFormat="false" ht="39.75" hidden="false" customHeight="true" outlineLevel="0" collapsed="false">
      <c r="A218" s="57" t="s">
        <v>742</v>
      </c>
      <c r="B218" s="57" t="s">
        <v>225</v>
      </c>
      <c r="C218" s="57" t="str">
        <f aca="false">Flights!$F$11</f>
        <v>MH0003</v>
      </c>
      <c r="D218" s="58" t="n">
        <f aca="false">Flights!$D$11</f>
        <v>46304</v>
      </c>
      <c r="E218" s="57" t="str">
        <f aca="false">Flights!$G$11&amp;"-"&amp;Flights!$H$11</f>
        <v>LHR-KUL</v>
      </c>
      <c r="F218" s="57" t="str">
        <f aca="false">Flights!$K$11</f>
        <v>BC</v>
      </c>
      <c r="G218" s="57" t="s">
        <v>74</v>
      </c>
      <c r="H218" s="57" t="s">
        <v>341</v>
      </c>
      <c r="I218" s="57" t="s">
        <v>361</v>
      </c>
      <c r="J218" s="57" t="s">
        <v>365</v>
      </c>
      <c r="K218" s="67" t="s">
        <v>366</v>
      </c>
      <c r="L218" s="67" t="s">
        <v>345</v>
      </c>
      <c r="M218" s="67"/>
      <c r="N218" s="67" t="s">
        <v>346</v>
      </c>
      <c r="O218" s="67"/>
      <c r="P218" s="57" t="s">
        <v>176</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IF(N218="N/A – rule","N/A – RULE",IF(TRIM(U218)="N/A",IF(AT218=0,"INVALID – N/A not permitted for this mandatory check",IF(AND(TRIM(AC218)&lt;&gt;"",TRIM(AE218)&lt;&gt;"",TRIM(T218)&lt;&gt;""),"N/A – JUSTIFIED","INVALID – N/A needs justification, PIC and verifier")),IF(OR(TRIM(U218)="Pass",TRIM(U218)="Pass after CA"),IF(NOT(ISNUMBER(AD218)),"INVALID – completion time missing",IF(TRIM(T218)="","INVALID – PIC missing",IF(TRIM(Z218)="","INVALID – evidence missing",IF(TRIM(AE218)="","INVALID – verifier missing",IF(AND(AQ218=1,TRIM(W218)=""),"INVALID – batch ID missing",IF(AND(AR218=1,OR(NOT(ISNUMBER(X218)),NOT(ISNUMBER(Y218)))),"INVALID – expected/actual qty missing",IF(IF(AND(TRIM(U218)="Pass",ISNUMBER(AF218)),IF(AF218&lt;&gt;0,"INVALID – qty variance: use Fail or Pass after CA",""),"")&amp;IF(AND(TRIM(U218)="Pass",AB218="Open"),"INVALID – corrective action still open: use Fail, then Pass after CA","")&amp;IF(AND(TRIM(U218)="Pass after CA",OR(TRIM(AA218)="",AB218&lt;&gt;"Closed")),"INVALID – corrective action not recorded/closed","")&lt;&gt;"",IF(AND(TRIM(U218)="Pass",ISNUMBER(AF218)),IF(AF218&lt;&gt;0,"INVALID – qty variance: use Fail or Pass after CA",""),"")&amp;IF(AND(TRIM(U218)="Pass",AB218="Open"),"INVALID – corrective action still open: use Fail, then Pass after CA","")&amp;IF(AND(TRIM(U218)="Pass after CA",OR(TRIM(AA218)="",AB218&lt;&gt;"Closed")),"INVALID – corrective action not recorded/closed",""),IF(AND(AS218=1,Documents!$J$11&lt;&gt;"ON FILE"),"INVALID – GLD not on file (Documents sheet)",IF(AND(AS218=2,Documents!$O$11&lt;&gt;"ON FILE"),"INVALID – menu checklist not on file (Documents sheet)",IF(AND(AS218=3,NOT(ISNUMBER(Flights!$AX$11))),"INVALID – enter carrying flight KUL departure (Flights AX)",IF(AG218&gt;AsOfUTC,"INVALID – completion time is in the future",IF(AND(ISNUMBER(S218),AG218&lt;S218),IF(H218="Physical uplift","INVALID – before uplift window (cannot confirm loading)","INVALID – before valid window"),IF(AG218&gt;Flights!$AA$11,"INVALID – completed after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f>
        <v>OPEN</v>
      </c>
      <c r="AI218" s="61" t="n">
        <f aca="false">IF(OR(AH218="N/A – RULE",AH218="N/A – JUSTIFIED"),0,1)</f>
        <v>1</v>
      </c>
      <c r="AJ218" s="61" t="n">
        <f aca="false">IF(LEFT(AH218,8)="COMPLETE",1,0)</f>
        <v>0</v>
      </c>
      <c r="AK218" s="61" t="n">
        <f aca="false">IF(AND(AI218=1,AJ218=0,AsOfUTC&gt;Q218),1,0)</f>
        <v>0</v>
      </c>
      <c r="AL218" s="61" t="n">
        <f aca="false">IF(AND(AI218=1,OR(TRIM(U218)="Fail",AB218="Open",AND(ISNUMBER(AF218),AF218&lt;&gt;0,TRIM(U218)&lt;&gt;"Pass after CA"))),1,0)</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row>
    <row r="219" customFormat="false" ht="39.75" hidden="false" customHeight="true" outlineLevel="0" collapsed="false">
      <c r="A219" s="57" t="s">
        <v>743</v>
      </c>
      <c r="B219" s="57" t="s">
        <v>225</v>
      </c>
      <c r="C219" s="57" t="str">
        <f aca="false">Flights!$F$11</f>
        <v>MH0003</v>
      </c>
      <c r="D219" s="58" t="n">
        <f aca="false">Flights!$D$11</f>
        <v>46304</v>
      </c>
      <c r="E219" s="57" t="str">
        <f aca="false">Flights!$G$11&amp;"-"&amp;Flights!$H$11</f>
        <v>LHR-KUL</v>
      </c>
      <c r="F219" s="57" t="str">
        <f aca="false">Flights!$K$11</f>
        <v>BC</v>
      </c>
      <c r="G219" s="57" t="s">
        <v>74</v>
      </c>
      <c r="H219" s="57" t="s">
        <v>341</v>
      </c>
      <c r="I219" s="57" t="s">
        <v>368</v>
      </c>
      <c r="J219" s="57" t="s">
        <v>369</v>
      </c>
      <c r="K219" s="67" t="s">
        <v>370</v>
      </c>
      <c r="L219" s="67" t="s">
        <v>345</v>
      </c>
      <c r="M219" s="67"/>
      <c r="N219" s="67" t="s">
        <v>346</v>
      </c>
      <c r="O219" s="67"/>
      <c r="P219" s="57" t="s">
        <v>176</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IF(N219="N/A – rule","N/A – RULE",IF(TRIM(U219)="N/A",IF(AT219=0,"INVALID – N/A not permitted for this mandatory check",IF(AND(TRIM(AC219)&lt;&gt;"",TRIM(AE219)&lt;&gt;"",TRIM(T219)&lt;&gt;""),"N/A – JUSTIFIED","INVALID – N/A needs justification, PIC and verifier")),IF(OR(TRIM(U219)="Pass",TRIM(U219)="Pass after CA"),IF(NOT(ISNUMBER(AD219)),"INVALID – completion time missing",IF(TRIM(T219)="","INVALID – PIC missing",IF(TRIM(Z219)="","INVALID – evidence missing",IF(TRIM(AE219)="","INVALID – verifier missing",IF(AND(AQ219=1,TRIM(W219)=""),"INVALID – batch ID missing",IF(AND(AR219=1,OR(NOT(ISNUMBER(X219)),NOT(ISNUMBER(Y219)))),"INVALID – expected/actual qty missing",IF(IF(AND(TRIM(U219)="Pass",ISNUMBER(AF219)),IF(AF219&lt;&gt;0,"INVALID – qty variance: use Fail or Pass after CA",""),"")&amp;IF(AND(TRIM(U219)="Pass",AB219="Open"),"INVALID – corrective action still open: use Fail, then Pass after CA","")&amp;IF(AND(TRIM(U219)="Pass after CA",OR(TRIM(AA219)="",AB219&lt;&gt;"Closed")),"INVALID – corrective action not recorded/closed","")&lt;&gt;"",IF(AND(TRIM(U219)="Pass",ISNUMBER(AF219)),IF(AF219&lt;&gt;0,"INVALID – qty variance: use Fail or Pass after CA",""),"")&amp;IF(AND(TRIM(U219)="Pass",AB219="Open"),"INVALID – corrective action still open: use Fail, then Pass after CA","")&amp;IF(AND(TRIM(U219)="Pass after CA",OR(TRIM(AA219)="",AB219&lt;&gt;"Closed")),"INVALID – corrective action not recorded/closed",""),IF(AND(AS219=1,Documents!$J$11&lt;&gt;"ON FILE"),"INVALID – GLD not on file (Documents sheet)",IF(AND(AS219=2,Documents!$O$11&lt;&gt;"ON FILE"),"INVALID – menu checklist not on file (Documents sheet)",IF(AND(AS219=3,NOT(ISNUMBER(Flights!$AX$11))),"INVALID – enter carrying flight KUL departure (Flights AX)",IF(AG219&gt;AsOfUTC,"INVALID – completion time is in the future",IF(AND(ISNUMBER(S219),AG219&lt;S219),IF(H219="Physical uplift","INVALID – before uplift window (cannot confirm loading)","INVALID – before valid window"),IF(AG219&gt;Flights!$AA$11,"INVALID – completed after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f>
        <v>OPEN</v>
      </c>
      <c r="AI219" s="61" t="n">
        <f aca="false">IF(OR(AH219="N/A – RULE",AH219="N/A – JUSTIFIED"),0,1)</f>
        <v>1</v>
      </c>
      <c r="AJ219" s="61" t="n">
        <f aca="false">IF(LEFT(AH219,8)="COMPLETE",1,0)</f>
        <v>0</v>
      </c>
      <c r="AK219" s="61" t="n">
        <f aca="false">IF(AND(AI219=1,AJ219=0,AsOfUTC&gt;Q219),1,0)</f>
        <v>0</v>
      </c>
      <c r="AL219" s="61" t="n">
        <f aca="false">IF(AND(AI219=1,OR(TRIM(U219)="Fail",AB219="Open",AND(ISNUMBER(AF219),AF219&lt;&gt;0,TRIM(U219)&lt;&gt;"Pass after CA"))),1,0)</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row>
    <row r="220" customFormat="false" ht="39.75" hidden="false" customHeight="true" outlineLevel="0" collapsed="false">
      <c r="A220" s="57" t="s">
        <v>744</v>
      </c>
      <c r="B220" s="57" t="s">
        <v>225</v>
      </c>
      <c r="C220" s="57" t="str">
        <f aca="false">Flights!$F$11</f>
        <v>MH0003</v>
      </c>
      <c r="D220" s="58" t="n">
        <f aca="false">Flights!$D$11</f>
        <v>46304</v>
      </c>
      <c r="E220" s="57" t="str">
        <f aca="false">Flights!$G$11&amp;"-"&amp;Flights!$H$11</f>
        <v>LHR-KUL</v>
      </c>
      <c r="F220" s="57" t="str">
        <f aca="false">Flights!$K$11</f>
        <v>BC</v>
      </c>
      <c r="G220" s="57" t="s">
        <v>74</v>
      </c>
      <c r="H220" s="57" t="s">
        <v>341</v>
      </c>
      <c r="I220" s="57" t="s">
        <v>368</v>
      </c>
      <c r="J220" s="57" t="s">
        <v>372</v>
      </c>
      <c r="K220" s="67" t="s">
        <v>370</v>
      </c>
      <c r="L220" s="67" t="s">
        <v>345</v>
      </c>
      <c r="M220" s="67"/>
      <c r="N220" s="67" t="s">
        <v>346</v>
      </c>
      <c r="O220" s="67"/>
      <c r="P220" s="57" t="s">
        <v>176</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IF(N220="N/A – rule","N/A – RULE",IF(TRIM(U220)="N/A",IF(AT220=0,"INVALID – N/A not permitted for this mandatory check",IF(AND(TRIM(AC220)&lt;&gt;"",TRIM(AE220)&lt;&gt;"",TRIM(T220)&lt;&gt;""),"N/A – JUSTIFIED","INVALID – N/A needs justification, PIC and verifier")),IF(OR(TRIM(U220)="Pass",TRIM(U220)="Pass after CA"),IF(NOT(ISNUMBER(AD220)),"INVALID – completion time missing",IF(TRIM(T220)="","INVALID – PIC missing",IF(TRIM(Z220)="","INVALID – evidence missing",IF(TRIM(AE220)="","INVALID – verifier missing",IF(AND(AQ220=1,TRIM(W220)=""),"INVALID – batch ID missing",IF(AND(AR220=1,OR(NOT(ISNUMBER(X220)),NOT(ISNUMBER(Y220)))),"INVALID – expected/actual qty missing",IF(IF(AND(TRIM(U220)="Pass",ISNUMBER(AF220)),IF(AF220&lt;&gt;0,"INVALID – qty variance: use Fail or Pass after CA",""),"")&amp;IF(AND(TRIM(U220)="Pass",AB220="Open"),"INVALID – corrective action still open: use Fail, then Pass after CA","")&amp;IF(AND(TRIM(U220)="Pass after CA",OR(TRIM(AA220)="",AB220&lt;&gt;"Closed")),"INVALID – corrective action not recorded/closed","")&lt;&gt;"",IF(AND(TRIM(U220)="Pass",ISNUMBER(AF220)),IF(AF220&lt;&gt;0,"INVALID – qty variance: use Fail or Pass after CA",""),"")&amp;IF(AND(TRIM(U220)="Pass",AB220="Open"),"INVALID – corrective action still open: use Fail, then Pass after CA","")&amp;IF(AND(TRIM(U220)="Pass after CA",OR(TRIM(AA220)="",AB220&lt;&gt;"Closed")),"INVALID – corrective action not recorded/closed",""),IF(AND(AS220=1,Documents!$J$11&lt;&gt;"ON FILE"),"INVALID – GLD not on file (Documents sheet)",IF(AND(AS220=2,Documents!$O$11&lt;&gt;"ON FILE"),"INVALID – menu checklist not on file (Documents sheet)",IF(AND(AS220=3,NOT(ISNUMBER(Flights!$AX$11))),"INVALID – enter carrying flight KUL departure (Flights AX)",IF(AG220&gt;AsOfUTC,"INVALID – completion time is in the future",IF(AND(ISNUMBER(S220),AG220&lt;S220),IF(H220="Physical uplift","INVALID – before uplift window (cannot confirm loading)","INVALID – before valid window"),IF(AG220&gt;Flights!$AA$11,"INVALID – completed after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f>
        <v>OPEN</v>
      </c>
      <c r="AI220" s="61" t="n">
        <f aca="false">IF(OR(AH220="N/A – RULE",AH220="N/A – JUSTIFIED"),0,1)</f>
        <v>1</v>
      </c>
      <c r="AJ220" s="61" t="n">
        <f aca="false">IF(LEFT(AH220,8)="COMPLETE",1,0)</f>
        <v>0</v>
      </c>
      <c r="AK220" s="61" t="n">
        <f aca="false">IF(AND(AI220=1,AJ220=0,AsOfUTC&gt;Q220),1,0)</f>
        <v>0</v>
      </c>
      <c r="AL220" s="61" t="n">
        <f aca="false">IF(AND(AI220=1,OR(TRIM(U220)="Fail",AB220="Open",AND(ISNUMBER(AF220),AF220&lt;&gt;0,TRIM(U220)&lt;&gt;"Pass after CA"))),1,0)</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row>
    <row r="221" customFormat="false" ht="39.75" hidden="false" customHeight="true" outlineLevel="0" collapsed="false">
      <c r="A221" s="57" t="s">
        <v>745</v>
      </c>
      <c r="B221" s="57" t="s">
        <v>225</v>
      </c>
      <c r="C221" s="57" t="str">
        <f aca="false">Flights!$F$11</f>
        <v>MH0003</v>
      </c>
      <c r="D221" s="58" t="n">
        <f aca="false">Flights!$D$11</f>
        <v>46304</v>
      </c>
      <c r="E221" s="57" t="str">
        <f aca="false">Flights!$G$11&amp;"-"&amp;Flights!$H$11</f>
        <v>LHR-KUL</v>
      </c>
      <c r="F221" s="57" t="str">
        <f aca="false">Flights!$K$11</f>
        <v>BC</v>
      </c>
      <c r="G221" s="57" t="s">
        <v>74</v>
      </c>
      <c r="H221" s="57" t="s">
        <v>341</v>
      </c>
      <c r="I221" s="57" t="s">
        <v>374</v>
      </c>
      <c r="J221" s="57" t="s">
        <v>375</v>
      </c>
      <c r="K221" s="67" t="s">
        <v>376</v>
      </c>
      <c r="L221" s="67" t="s">
        <v>377</v>
      </c>
      <c r="M221" s="67"/>
      <c r="N221" s="67" t="s">
        <v>346</v>
      </c>
      <c r="O221" s="67"/>
      <c r="P221" s="57" t="s">
        <v>176</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IF(N221="N/A – rule","N/A – RULE",IF(TRIM(U221)="N/A",IF(AT221=0,"INVALID – N/A not permitted for this mandatory check",IF(AND(TRIM(AC221)&lt;&gt;"",TRIM(AE221)&lt;&gt;"",TRIM(T221)&lt;&gt;""),"N/A – JUSTIFIED","INVALID – N/A needs justification, PIC and verifier")),IF(OR(TRIM(U221)="Pass",TRIM(U221)="Pass after CA"),IF(NOT(ISNUMBER(AD221)),"INVALID – completion time missing",IF(TRIM(T221)="","INVALID – PIC missing",IF(TRIM(Z221)="","INVALID – evidence missing",IF(TRIM(AE221)="","INVALID – verifier missing",IF(AND(AQ221=1,TRIM(W221)=""),"INVALID – batch ID missing",IF(AND(AR221=1,OR(NOT(ISNUMBER(X221)),NOT(ISNUMBER(Y221)))),"INVALID – expected/actual qty missing",IF(IF(AND(TRIM(U221)="Pass",ISNUMBER(AF221)),IF(AF221&lt;&gt;0,"INVALID – qty variance: use Fail or Pass after CA",""),"")&amp;IF(AND(TRIM(U221)="Pass",AB221="Open"),"INVALID – corrective action still open: use Fail, then Pass after CA","")&amp;IF(AND(TRIM(U221)="Pass after CA",OR(TRIM(AA221)="",AB221&lt;&gt;"Closed")),"INVALID – corrective action not recorded/closed","")&lt;&gt;"",IF(AND(TRIM(U221)="Pass",ISNUMBER(AF221)),IF(AF221&lt;&gt;0,"INVALID – qty variance: use Fail or Pass after CA",""),"")&amp;IF(AND(TRIM(U221)="Pass",AB221="Open"),"INVALID – corrective action still open: use Fail, then Pass after CA","")&amp;IF(AND(TRIM(U221)="Pass after CA",OR(TRIM(AA221)="",AB221&lt;&gt;"Closed")),"INVALID – corrective action not recorded/closed",""),IF(AND(AS221=1,Documents!$J$11&lt;&gt;"ON FILE"),"INVALID – GLD not on file (Documents sheet)",IF(AND(AS221=2,Documents!$O$11&lt;&gt;"ON FILE"),"INVALID – menu checklist not on file (Documents sheet)",IF(AND(AS221=3,NOT(ISNUMBER(Flights!$AX$11))),"INVALID – enter carrying flight KUL departure (Flights AX)",IF(AG221&gt;AsOfUTC,"INVALID – completion time is in the future",IF(AND(ISNUMBER(S221),AG221&lt;S221),IF(H221="Physical uplift","INVALID – before uplift window (cannot confirm loading)","INVALID – before valid window"),IF(AG221&gt;Flights!$AA$11,"INVALID – completed after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f>
        <v>OPEN</v>
      </c>
      <c r="AI221" s="61" t="n">
        <f aca="false">IF(OR(AH221="N/A – RULE",AH221="N/A – JUSTIFIED"),0,1)</f>
        <v>1</v>
      </c>
      <c r="AJ221" s="61" t="n">
        <f aca="false">IF(LEFT(AH221,8)="COMPLETE",1,0)</f>
        <v>0</v>
      </c>
      <c r="AK221" s="61" t="n">
        <f aca="false">IF(AND(AI221=1,AJ221=0,AsOfUTC&gt;Q221),1,0)</f>
        <v>0</v>
      </c>
      <c r="AL221" s="61" t="n">
        <f aca="false">IF(AND(AI221=1,OR(TRIM(U221)="Fail",AB221="Open",AND(ISNUMBER(AF221),AF221&lt;&gt;0,TRIM(U221)&lt;&gt;"Pass after CA"))),1,0)</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row>
    <row r="222" customFormat="false" ht="91.5" hidden="false" customHeight="true" outlineLevel="0" collapsed="false">
      <c r="A222" s="57" t="s">
        <v>746</v>
      </c>
      <c r="B222" s="57" t="s">
        <v>225</v>
      </c>
      <c r="C222" s="57" t="str">
        <f aca="false">Flights!$F$11</f>
        <v>MH0003</v>
      </c>
      <c r="D222" s="58" t="n">
        <f aca="false">Flights!$D$11</f>
        <v>46304</v>
      </c>
      <c r="E222" s="57" t="str">
        <f aca="false">Flights!$G$11&amp;"-"&amp;Flights!$H$11</f>
        <v>LHR-KUL</v>
      </c>
      <c r="F222" s="57" t="str">
        <f aca="false">Flights!$K$11</f>
        <v>BC</v>
      </c>
      <c r="G222" s="57" t="s">
        <v>74</v>
      </c>
      <c r="H222" s="57" t="s">
        <v>341</v>
      </c>
      <c r="I222" s="57" t="s">
        <v>374</v>
      </c>
      <c r="J222" s="57" t="s">
        <v>747</v>
      </c>
      <c r="K222" s="67" t="s">
        <v>748</v>
      </c>
      <c r="L222" s="67" t="s">
        <v>637</v>
      </c>
      <c r="M222" s="67"/>
      <c r="N222" s="67" t="s">
        <v>407</v>
      </c>
      <c r="O222" s="67" t="s">
        <v>749</v>
      </c>
      <c r="P222" s="57" t="s">
        <v>177</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IF(N222="N/A – rule","N/A – RULE",IF(TRIM(U222)="N/A",IF(AT222=0,"INVALID – N/A not permitted for this mandatory check",IF(AND(TRIM(AC222)&lt;&gt;"",TRIM(AE222)&lt;&gt;"",TRIM(T222)&lt;&gt;""),"N/A – JUSTIFIED","INVALID – N/A needs justification, PIC and verifier")),IF(OR(TRIM(U222)="Pass",TRIM(U222)="Pass after CA"),IF(NOT(ISNUMBER(AD222)),"INVALID – completion time missing",IF(TRIM(T222)="","INVALID – PIC missing",IF(TRIM(Z222)="","INVALID – evidence missing",IF(TRIM(AE222)="","INVALID – verifier missing",IF(AND(AQ222=1,TRIM(W222)=""),"INVALID – batch ID missing",IF(AND(AR222=1,OR(NOT(ISNUMBER(X222)),NOT(ISNUMBER(Y222)))),"INVALID – expected/actual qty missing",IF(IF(AND(TRIM(U222)="Pass",ISNUMBER(AF222)),IF(AF222&lt;&gt;0,"INVALID – qty variance: use Fail or Pass after CA",""),"")&amp;IF(AND(TRIM(U222)="Pass",AB222="Open"),"INVALID – corrective action still open: use Fail, then Pass after CA","")&amp;IF(AND(TRIM(U222)="Pass after CA",OR(TRIM(AA222)="",AB222&lt;&gt;"Closed")),"INVALID – corrective action not recorded/closed","")&lt;&gt;"",IF(AND(TRIM(U222)="Pass",ISNUMBER(AF222)),IF(AF222&lt;&gt;0,"INVALID – qty variance: use Fail or Pass after CA",""),"")&amp;IF(AND(TRIM(U222)="Pass",AB222="Open"),"INVALID – corrective action still open: use Fail, then Pass after CA","")&amp;IF(AND(TRIM(U222)="Pass after CA",OR(TRIM(AA222)="",AB222&lt;&gt;"Closed")),"INVALID – corrective action not recorded/closed",""),IF(AND(AS222=1,Documents!$J$11&lt;&gt;"ON FILE"),"INVALID – GLD not on file (Documents sheet)",IF(AND(AS222=2,Documents!$O$11&lt;&gt;"ON FILE"),"INVALID – menu checklist not on file (Documents sheet)",IF(AND(AS222=3,NOT(ISNUMBER(Flights!$AX$11))),"INVALID – enter carrying flight KUL departure (Flights AX)",IF(AG222&gt;AsOfUTC,"INVALID – completion time is in the future",IF(AND(ISNUMBER(S222),AG222&lt;S222),IF(H222="Physical uplift","INVALID – before uplift window (cannot confirm loading)","INVALID – before valid window"),IF(AG222&gt;Flights!$AA$11,"INVALID – completed after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f>
        <v>OPEN – CLARIFICATION</v>
      </c>
      <c r="AI222" s="61" t="n">
        <f aca="false">IF(OR(AH222="N/A – RULE",AH222="N/A – JUSTIFIED"),0,1)</f>
        <v>1</v>
      </c>
      <c r="AJ222" s="61" t="n">
        <f aca="false">IF(LEFT(AH222,8)="COMPLETE",1,0)</f>
        <v>0</v>
      </c>
      <c r="AK222" s="61" t="n">
        <f aca="false">IF(AND(AI222=1,AJ222=0,AsOfUTC&gt;Q222),1,0)</f>
        <v>0</v>
      </c>
      <c r="AL222" s="61" t="n">
        <f aca="false">IF(AND(AI222=1,OR(TRIM(U222)="Fail",AB222="Open",AND(ISNUMBER(AF222),AF222&lt;&gt;0,TRIM(U222)&lt;&gt;"Pass after CA"))),1,0)</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1</v>
      </c>
    </row>
    <row r="223" customFormat="false" ht="39.75" hidden="false" customHeight="true" outlineLevel="0" collapsed="false">
      <c r="A223" s="57" t="s">
        <v>750</v>
      </c>
      <c r="B223" s="57" t="s">
        <v>225</v>
      </c>
      <c r="C223" s="57" t="str">
        <f aca="false">Flights!$F$11</f>
        <v>MH0003</v>
      </c>
      <c r="D223" s="58" t="n">
        <f aca="false">Flights!$D$11</f>
        <v>46304</v>
      </c>
      <c r="E223" s="57" t="str">
        <f aca="false">Flights!$G$11&amp;"-"&amp;Flights!$H$11</f>
        <v>LHR-KUL</v>
      </c>
      <c r="F223" s="57" t="str">
        <f aca="false">Flights!$K$11</f>
        <v>BC</v>
      </c>
      <c r="G223" s="57" t="s">
        <v>76</v>
      </c>
      <c r="H223" s="57" t="s">
        <v>341</v>
      </c>
      <c r="I223" s="57" t="s">
        <v>342</v>
      </c>
      <c r="J223" s="57" t="s">
        <v>379</v>
      </c>
      <c r="K223" s="67" t="s">
        <v>380</v>
      </c>
      <c r="L223" s="67" t="s">
        <v>381</v>
      </c>
      <c r="M223" s="67"/>
      <c r="N223" s="67" t="s">
        <v>346</v>
      </c>
      <c r="O223" s="67"/>
      <c r="P223" s="57" t="s">
        <v>176</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IF(N223="N/A – rule","N/A – RULE",IF(TRIM(U223)="N/A",IF(AT223=0,"INVALID – N/A not permitted for this mandatory check",IF(AND(TRIM(AC223)&lt;&gt;"",TRIM(AE223)&lt;&gt;"",TRIM(T223)&lt;&gt;""),"N/A – JUSTIFIED","INVALID – N/A needs justification, PIC and verifier")),IF(OR(TRIM(U223)="Pass",TRIM(U223)="Pass after CA"),IF(NOT(ISNUMBER(AD223)),"INVALID – completion time missing",IF(TRIM(T223)="","INVALID – PIC missing",IF(TRIM(Z223)="","INVALID – evidence missing",IF(TRIM(AE223)="","INVALID – verifier missing",IF(AND(AQ223=1,TRIM(W223)=""),"INVALID – batch ID missing",IF(AND(AR223=1,OR(NOT(ISNUMBER(X223)),NOT(ISNUMBER(Y223)))),"INVALID – expected/actual qty missing",IF(IF(AND(TRIM(U223)="Pass",ISNUMBER(AF223)),IF(AF223&lt;&gt;0,"INVALID – qty variance: use Fail or Pass after CA",""),"")&amp;IF(AND(TRIM(U223)="Pass",AB223="Open"),"INVALID – corrective action still open: use Fail, then Pass after CA","")&amp;IF(AND(TRIM(U223)="Pass after CA",OR(TRIM(AA223)="",AB223&lt;&gt;"Closed")),"INVALID – corrective action not recorded/closed","")&lt;&gt;"",IF(AND(TRIM(U223)="Pass",ISNUMBER(AF223)),IF(AF223&lt;&gt;0,"INVALID – qty variance: use Fail or Pass after CA",""),"")&amp;IF(AND(TRIM(U223)="Pass",AB223="Open"),"INVALID – corrective action still open: use Fail, then Pass after CA","")&amp;IF(AND(TRIM(U223)="Pass after CA",OR(TRIM(AA223)="",AB223&lt;&gt;"Closed")),"INVALID – corrective action not recorded/closed",""),IF(AND(AS223=1,Documents!$J$11&lt;&gt;"ON FILE"),"INVALID – GLD not on file (Documents sheet)",IF(AND(AS223=2,Documents!$O$11&lt;&gt;"ON FILE"),"INVALID – menu checklist not on file (Documents sheet)",IF(AND(AS223=3,NOT(ISNUMBER(Flights!$AX$11))),"INVALID – enter carrying flight KUL departure (Flights AX)",IF(AG223&gt;AsOfUTC,"INVALID – completion time is in the future",IF(AND(ISNUMBER(S223),AG223&lt;S223),IF(H223="Physical uplift","INVALID – before uplift window (cannot confirm loading)","INVALID – before valid window"),IF(AG223&gt;Flights!$AA$11,"INVALID – completed after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f>
        <v>OPEN</v>
      </c>
      <c r="AI223" s="61" t="n">
        <f aca="false">IF(OR(AH223="N/A – RULE",AH223="N/A – JUSTIFIED"),0,1)</f>
        <v>1</v>
      </c>
      <c r="AJ223" s="61" t="n">
        <f aca="false">IF(LEFT(AH223,8)="COMPLETE",1,0)</f>
        <v>0</v>
      </c>
      <c r="AK223" s="61" t="n">
        <f aca="false">IF(AND(AI223=1,AJ223=0,AsOfUTC&gt;Q223),1,0)</f>
        <v>0</v>
      </c>
      <c r="AL223" s="61" t="n">
        <f aca="false">IF(AND(AI223=1,OR(TRIM(U223)="Fail",AB223="Open",AND(ISNUMBER(AF223),AF223&lt;&gt;0,TRIM(U223)&lt;&gt;"Pass after CA"))),1,0)</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row>
    <row r="224" customFormat="false" ht="39.75" hidden="false" customHeight="true" outlineLevel="0" collapsed="false">
      <c r="A224" s="57" t="s">
        <v>751</v>
      </c>
      <c r="B224" s="57" t="s">
        <v>225</v>
      </c>
      <c r="C224" s="57" t="str">
        <f aca="false">Flights!$F$11</f>
        <v>MH0003</v>
      </c>
      <c r="D224" s="58" t="n">
        <f aca="false">Flights!$D$11</f>
        <v>46304</v>
      </c>
      <c r="E224" s="57" t="str">
        <f aca="false">Flights!$G$11&amp;"-"&amp;Flights!$H$11</f>
        <v>LHR-KUL</v>
      </c>
      <c r="F224" s="57" t="str">
        <f aca="false">Flights!$K$11</f>
        <v>BC</v>
      </c>
      <c r="G224" s="57" t="s">
        <v>383</v>
      </c>
      <c r="H224" s="57" t="s">
        <v>341</v>
      </c>
      <c r="I224" s="57" t="s">
        <v>342</v>
      </c>
      <c r="J224" s="57" t="s">
        <v>384</v>
      </c>
      <c r="K224" s="67"/>
      <c r="L224" s="67" t="s">
        <v>385</v>
      </c>
      <c r="M224" s="67"/>
      <c r="N224" s="67" t="s">
        <v>346</v>
      </c>
      <c r="O224" s="67" t="s">
        <v>386</v>
      </c>
      <c r="P224" s="57" t="s">
        <v>176</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IF(N224="N/A – rule","N/A – RULE",IF(TRIM(U224)="N/A",IF(AT224=0,"INVALID – N/A not permitted for this mandatory check",IF(AND(TRIM(AC224)&lt;&gt;"",TRIM(AE224)&lt;&gt;"",TRIM(T224)&lt;&gt;""),"N/A – JUSTIFIED","INVALID – N/A needs justification, PIC and verifier")),IF(OR(TRIM(U224)="Pass",TRIM(U224)="Pass after CA"),IF(NOT(ISNUMBER(AD224)),"INVALID – completion time missing",IF(TRIM(T224)="","INVALID – PIC missing",IF(TRIM(Z224)="","INVALID – evidence missing",IF(TRIM(AE224)="","INVALID – verifier missing",IF(AND(AQ224=1,TRIM(W224)=""),"INVALID – batch ID missing",IF(AND(AR224=1,OR(NOT(ISNUMBER(X224)),NOT(ISNUMBER(Y224)))),"INVALID – expected/actual qty missing",IF(IF(AND(TRIM(U224)="Pass",ISNUMBER(AF224)),IF(AF224&lt;&gt;0,"INVALID – qty variance: use Fail or Pass after CA",""),"")&amp;IF(AND(TRIM(U224)="Pass",AB224="Open"),"INVALID – corrective action still open: use Fail, then Pass after CA","")&amp;IF(AND(TRIM(U224)="Pass after CA",OR(TRIM(AA224)="",AB224&lt;&gt;"Closed")),"INVALID – corrective action not recorded/closed","")&lt;&gt;"",IF(AND(TRIM(U224)="Pass",ISNUMBER(AF224)),IF(AF224&lt;&gt;0,"INVALID – qty variance: use Fail or Pass after CA",""),"")&amp;IF(AND(TRIM(U224)="Pass",AB224="Open"),"INVALID – corrective action still open: use Fail, then Pass after CA","")&amp;IF(AND(TRIM(U224)="Pass after CA",OR(TRIM(AA224)="",AB224&lt;&gt;"Closed")),"INVALID – corrective action not recorded/closed",""),IF(AND(AS224=1,Documents!$J$11&lt;&gt;"ON FILE"),"INVALID – GLD not on file (Documents sheet)",IF(AND(AS224=2,Documents!$O$11&lt;&gt;"ON FILE"),"INVALID – menu checklist not on file (Documents sheet)",IF(AND(AS224=3,NOT(ISNUMBER(Flights!$AX$11))),"INVALID – enter carrying flight KUL departure (Flights AX)",IF(AG224&gt;AsOfUTC,"INVALID – completion time is in the future",IF(AND(ISNUMBER(S224),AG224&lt;S224),IF(H224="Physical uplift","INVALID – before uplift window (cannot confirm loading)","INVALID – before valid window"),IF(AG224&gt;Flights!$AA$11,"INVALID – completed after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f>
        <v>OPEN</v>
      </c>
      <c r="AI224" s="61" t="n">
        <f aca="false">IF(OR(AH224="N/A – RULE",AH224="N/A – JUSTIFIED"),0,1)</f>
        <v>1</v>
      </c>
      <c r="AJ224" s="61" t="n">
        <f aca="false">IF(LEFT(AH224,8)="COMPLETE",1,0)</f>
        <v>0</v>
      </c>
      <c r="AK224" s="61" t="n">
        <f aca="false">IF(AND(AI224=1,AJ224=0,AsOfUTC&gt;Q224),1,0)</f>
        <v>0</v>
      </c>
      <c r="AL224" s="61" t="n">
        <f aca="false">IF(AND(AI224=1,OR(TRIM(U224)="Fail",AB224="Open",AND(ISNUMBER(AF224),AF224&lt;&gt;0,TRIM(U224)&lt;&gt;"Pass after CA"))),1,0)</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row>
    <row r="225" customFormat="false" ht="39.75" hidden="false" customHeight="true" outlineLevel="0" collapsed="false">
      <c r="A225" s="57" t="s">
        <v>752</v>
      </c>
      <c r="B225" s="57" t="s">
        <v>225</v>
      </c>
      <c r="C225" s="57" t="str">
        <f aca="false">Flights!$F$11</f>
        <v>MH0003</v>
      </c>
      <c r="D225" s="58" t="n">
        <f aca="false">Flights!$D$11</f>
        <v>46304</v>
      </c>
      <c r="E225" s="57" t="str">
        <f aca="false">Flights!$G$11&amp;"-"&amp;Flights!$H$11</f>
        <v>LHR-KUL</v>
      </c>
      <c r="F225" s="57" t="str">
        <f aca="false">Flights!$K$11</f>
        <v>BC</v>
      </c>
      <c r="G225" s="57" t="s">
        <v>383</v>
      </c>
      <c r="H225" s="57" t="s">
        <v>341</v>
      </c>
      <c r="I225" s="57" t="s">
        <v>342</v>
      </c>
      <c r="J225" s="57" t="s">
        <v>388</v>
      </c>
      <c r="K225" s="67" t="s">
        <v>389</v>
      </c>
      <c r="L225" s="67" t="s">
        <v>385</v>
      </c>
      <c r="M225" s="67"/>
      <c r="N225" s="67" t="s">
        <v>346</v>
      </c>
      <c r="O225" s="67" t="s">
        <v>386</v>
      </c>
      <c r="P225" s="57" t="s">
        <v>176</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IF(N225="N/A – rule","N/A – RULE",IF(TRIM(U225)="N/A",IF(AT225=0,"INVALID – N/A not permitted for this mandatory check",IF(AND(TRIM(AC225)&lt;&gt;"",TRIM(AE225)&lt;&gt;"",TRIM(T225)&lt;&gt;""),"N/A – JUSTIFIED","INVALID – N/A needs justification, PIC and verifier")),IF(OR(TRIM(U225)="Pass",TRIM(U225)="Pass after CA"),IF(NOT(ISNUMBER(AD225)),"INVALID – completion time missing",IF(TRIM(T225)="","INVALID – PIC missing",IF(TRIM(Z225)="","INVALID – evidence missing",IF(TRIM(AE225)="","INVALID – verifier missing",IF(AND(AQ225=1,TRIM(W225)=""),"INVALID – batch ID missing",IF(AND(AR225=1,OR(NOT(ISNUMBER(X225)),NOT(ISNUMBER(Y225)))),"INVALID – expected/actual qty missing",IF(IF(AND(TRIM(U225)="Pass",ISNUMBER(AF225)),IF(AF225&lt;&gt;0,"INVALID – qty variance: use Fail or Pass after CA",""),"")&amp;IF(AND(TRIM(U225)="Pass",AB225="Open"),"INVALID – corrective action still open: use Fail, then Pass after CA","")&amp;IF(AND(TRIM(U225)="Pass after CA",OR(TRIM(AA225)="",AB225&lt;&gt;"Closed")),"INVALID – corrective action not recorded/closed","")&lt;&gt;"",IF(AND(TRIM(U225)="Pass",ISNUMBER(AF225)),IF(AF225&lt;&gt;0,"INVALID – qty variance: use Fail or Pass after CA",""),"")&amp;IF(AND(TRIM(U225)="Pass",AB225="Open"),"INVALID – corrective action still open: use Fail, then Pass after CA","")&amp;IF(AND(TRIM(U225)="Pass after CA",OR(TRIM(AA225)="",AB225&lt;&gt;"Closed")),"INVALID – corrective action not recorded/closed",""),IF(AND(AS225=1,Documents!$J$11&lt;&gt;"ON FILE"),"INVALID – GLD not on file (Documents sheet)",IF(AND(AS225=2,Documents!$O$11&lt;&gt;"ON FILE"),"INVALID – menu checklist not on file (Documents sheet)",IF(AND(AS225=3,NOT(ISNUMBER(Flights!$AX$11))),"INVALID – enter carrying flight KUL departure (Flights AX)",IF(AG225&gt;AsOfUTC,"INVALID – completion time is in the future",IF(AND(ISNUMBER(S225),AG225&lt;S225),IF(H225="Physical uplift","INVALID – before uplift window (cannot confirm loading)","INVALID – before valid window"),IF(AG225&gt;Flights!$AA$11,"INVALID – completed after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f>
        <v>OPEN</v>
      </c>
      <c r="AI225" s="61" t="n">
        <f aca="false">IF(OR(AH225="N/A – RULE",AH225="N/A – JUSTIFIED"),0,1)</f>
        <v>1</v>
      </c>
      <c r="AJ225" s="61" t="n">
        <f aca="false">IF(LEFT(AH225,8)="COMPLETE",1,0)</f>
        <v>0</v>
      </c>
      <c r="AK225" s="61" t="n">
        <f aca="false">IF(AND(AI225=1,AJ225=0,AsOfUTC&gt;Q225),1,0)</f>
        <v>0</v>
      </c>
      <c r="AL225" s="61" t="n">
        <f aca="false">IF(AND(AI225=1,OR(TRIM(U225)="Fail",AB225="Open",AND(ISNUMBER(AF225),AF225&lt;&gt;0,TRIM(U225)&lt;&gt;"Pass after CA"))),1,0)</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row>
    <row r="226" customFormat="false" ht="39.75" hidden="false" customHeight="true" outlineLevel="0" collapsed="false">
      <c r="A226" s="57" t="s">
        <v>753</v>
      </c>
      <c r="B226" s="57" t="s">
        <v>225</v>
      </c>
      <c r="C226" s="57" t="str">
        <f aca="false">Flights!$F$11</f>
        <v>MH0003</v>
      </c>
      <c r="D226" s="58" t="n">
        <f aca="false">Flights!$D$11</f>
        <v>46304</v>
      </c>
      <c r="E226" s="57" t="str">
        <f aca="false">Flights!$G$11&amp;"-"&amp;Flights!$H$11</f>
        <v>LHR-KUL</v>
      </c>
      <c r="F226" s="57" t="str">
        <f aca="false">Flights!$K$11</f>
        <v>BC</v>
      </c>
      <c r="G226" s="57" t="s">
        <v>383</v>
      </c>
      <c r="H226" s="57" t="s">
        <v>341</v>
      </c>
      <c r="I226" s="57" t="s">
        <v>391</v>
      </c>
      <c r="J226" s="57" t="s">
        <v>392</v>
      </c>
      <c r="K226" s="67"/>
      <c r="L226" s="67" t="s">
        <v>385</v>
      </c>
      <c r="M226" s="67"/>
      <c r="N226" s="67" t="s">
        <v>346</v>
      </c>
      <c r="O226" s="67" t="s">
        <v>386</v>
      </c>
      <c r="P226" s="57" t="s">
        <v>176</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IF(N226="N/A – rule","N/A – RULE",IF(TRIM(U226)="N/A",IF(AT226=0,"INVALID – N/A not permitted for this mandatory check",IF(AND(TRIM(AC226)&lt;&gt;"",TRIM(AE226)&lt;&gt;"",TRIM(T226)&lt;&gt;""),"N/A – JUSTIFIED","INVALID – N/A needs justification, PIC and verifier")),IF(OR(TRIM(U226)="Pass",TRIM(U226)="Pass after CA"),IF(NOT(ISNUMBER(AD226)),"INVALID – completion time missing",IF(TRIM(T226)="","INVALID – PIC missing",IF(TRIM(Z226)="","INVALID – evidence missing",IF(TRIM(AE226)="","INVALID – verifier missing",IF(AND(AQ226=1,TRIM(W226)=""),"INVALID – batch ID missing",IF(AND(AR226=1,OR(NOT(ISNUMBER(X226)),NOT(ISNUMBER(Y226)))),"INVALID – expected/actual qty missing",IF(IF(AND(TRIM(U226)="Pass",ISNUMBER(AF226)),IF(AF226&lt;&gt;0,"INVALID – qty variance: use Fail or Pass after CA",""),"")&amp;IF(AND(TRIM(U226)="Pass",AB226="Open"),"INVALID – corrective action still open: use Fail, then Pass after CA","")&amp;IF(AND(TRIM(U226)="Pass after CA",OR(TRIM(AA226)="",AB226&lt;&gt;"Closed")),"INVALID – corrective action not recorded/closed","")&lt;&gt;"",IF(AND(TRIM(U226)="Pass",ISNUMBER(AF226)),IF(AF226&lt;&gt;0,"INVALID – qty variance: use Fail or Pass after CA",""),"")&amp;IF(AND(TRIM(U226)="Pass",AB226="Open"),"INVALID – corrective action still open: use Fail, then Pass after CA","")&amp;IF(AND(TRIM(U226)="Pass after CA",OR(TRIM(AA226)="",AB226&lt;&gt;"Closed")),"INVALID – corrective action not recorded/closed",""),IF(AND(AS226=1,Documents!$J$11&lt;&gt;"ON FILE"),"INVALID – GLD not on file (Documents sheet)",IF(AND(AS226=2,Documents!$O$11&lt;&gt;"ON FILE"),"INVALID – menu checklist not on file (Documents sheet)",IF(AND(AS226=3,NOT(ISNUMBER(Flights!$AX$11))),"INVALID – enter carrying flight KUL departure (Flights AX)",IF(AG226&gt;AsOfUTC,"INVALID – completion time is in the future",IF(AND(ISNUMBER(S226),AG226&lt;S226),IF(H226="Physical uplift","INVALID – before uplift window (cannot confirm loading)","INVALID – before valid window"),IF(AG226&gt;Flights!$AA$11,"INVALID – completed after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f>
        <v>OPEN</v>
      </c>
      <c r="AI226" s="61" t="n">
        <f aca="false">IF(OR(AH226="N/A – RULE",AH226="N/A – JUSTIFIED"),0,1)</f>
        <v>1</v>
      </c>
      <c r="AJ226" s="61" t="n">
        <f aca="false">IF(LEFT(AH226,8)="COMPLETE",1,0)</f>
        <v>0</v>
      </c>
      <c r="AK226" s="61" t="n">
        <f aca="false">IF(AND(AI226=1,AJ226=0,AsOfUTC&gt;Q226),1,0)</f>
        <v>0</v>
      </c>
      <c r="AL226" s="61" t="n">
        <f aca="false">IF(AND(AI226=1,OR(TRIM(U226)="Fail",AB226="Open",AND(ISNUMBER(AF226),AF226&lt;&gt;0,TRIM(U226)&lt;&gt;"Pass after CA"))),1,0)</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row>
    <row r="227" customFormat="false" ht="39.75" hidden="false" customHeight="true" outlineLevel="0" collapsed="false">
      <c r="A227" s="57" t="s">
        <v>754</v>
      </c>
      <c r="B227" s="57" t="s">
        <v>225</v>
      </c>
      <c r="C227" s="57" t="str">
        <f aca="false">Flights!$F$11</f>
        <v>MH0003</v>
      </c>
      <c r="D227" s="58" t="n">
        <f aca="false">Flights!$D$11</f>
        <v>46304</v>
      </c>
      <c r="E227" s="57" t="str">
        <f aca="false">Flights!$G$11&amp;"-"&amp;Flights!$H$11</f>
        <v>LHR-KUL</v>
      </c>
      <c r="F227" s="57" t="str">
        <f aca="false">Flights!$K$11</f>
        <v>BC</v>
      </c>
      <c r="G227" s="57" t="s">
        <v>383</v>
      </c>
      <c r="H227" s="57" t="s">
        <v>341</v>
      </c>
      <c r="I227" s="57" t="s">
        <v>391</v>
      </c>
      <c r="J227" s="57" t="s">
        <v>394</v>
      </c>
      <c r="K227" s="67"/>
      <c r="L227" s="67" t="s">
        <v>385</v>
      </c>
      <c r="M227" s="67"/>
      <c r="N227" s="67" t="s">
        <v>346</v>
      </c>
      <c r="O227" s="67" t="s">
        <v>386</v>
      </c>
      <c r="P227" s="57" t="s">
        <v>176</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IF(N227="N/A – rule","N/A – RULE",IF(TRIM(U227)="N/A",IF(AT227=0,"INVALID – N/A not permitted for this mandatory check",IF(AND(TRIM(AC227)&lt;&gt;"",TRIM(AE227)&lt;&gt;"",TRIM(T227)&lt;&gt;""),"N/A – JUSTIFIED","INVALID – N/A needs justification, PIC and verifier")),IF(OR(TRIM(U227)="Pass",TRIM(U227)="Pass after CA"),IF(NOT(ISNUMBER(AD227)),"INVALID – completion time missing",IF(TRIM(T227)="","INVALID – PIC missing",IF(TRIM(Z227)="","INVALID – evidence missing",IF(TRIM(AE227)="","INVALID – verifier missing",IF(AND(AQ227=1,TRIM(W227)=""),"INVALID – batch ID missing",IF(AND(AR227=1,OR(NOT(ISNUMBER(X227)),NOT(ISNUMBER(Y227)))),"INVALID – expected/actual qty missing",IF(IF(AND(TRIM(U227)="Pass",ISNUMBER(AF227)),IF(AF227&lt;&gt;0,"INVALID – qty variance: use Fail or Pass after CA",""),"")&amp;IF(AND(TRIM(U227)="Pass",AB227="Open"),"INVALID – corrective action still open: use Fail, then Pass after CA","")&amp;IF(AND(TRIM(U227)="Pass after CA",OR(TRIM(AA227)="",AB227&lt;&gt;"Closed")),"INVALID – corrective action not recorded/closed","")&lt;&gt;"",IF(AND(TRIM(U227)="Pass",ISNUMBER(AF227)),IF(AF227&lt;&gt;0,"INVALID – qty variance: use Fail or Pass after CA",""),"")&amp;IF(AND(TRIM(U227)="Pass",AB227="Open"),"INVALID – corrective action still open: use Fail, then Pass after CA","")&amp;IF(AND(TRIM(U227)="Pass after CA",OR(TRIM(AA227)="",AB227&lt;&gt;"Closed")),"INVALID – corrective action not recorded/closed",""),IF(AND(AS227=1,Documents!$J$11&lt;&gt;"ON FILE"),"INVALID – GLD not on file (Documents sheet)",IF(AND(AS227=2,Documents!$O$11&lt;&gt;"ON FILE"),"INVALID – menu checklist not on file (Documents sheet)",IF(AND(AS227=3,NOT(ISNUMBER(Flights!$AX$11))),"INVALID – enter carrying flight KUL departure (Flights AX)",IF(AG227&gt;AsOfUTC,"INVALID – completion time is in the future",IF(AND(ISNUMBER(S227),AG227&lt;S227),IF(H227="Physical uplift","INVALID – before uplift window (cannot confirm loading)","INVALID – before valid window"),IF(AG227&gt;Flights!$AA$11,"INVALID – completed after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f>
        <v>OPEN</v>
      </c>
      <c r="AI227" s="61" t="n">
        <f aca="false">IF(OR(AH227="N/A – RULE",AH227="N/A – JUSTIFIED"),0,1)</f>
        <v>1</v>
      </c>
      <c r="AJ227" s="61" t="n">
        <f aca="false">IF(LEFT(AH227,8)="COMPLETE",1,0)</f>
        <v>0</v>
      </c>
      <c r="AK227" s="61" t="n">
        <f aca="false">IF(AND(AI227=1,AJ227=0,AsOfUTC&gt;Q227),1,0)</f>
        <v>0</v>
      </c>
      <c r="AL227" s="61" t="n">
        <f aca="false">IF(AND(AI227=1,OR(TRIM(U227)="Fail",AB227="Open",AND(ISNUMBER(AF227),AF227&lt;&gt;0,TRIM(U227)&lt;&gt;"Pass after CA"))),1,0)</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row>
    <row r="228" customFormat="false" ht="39.75" hidden="false" customHeight="true" outlineLevel="0" collapsed="false">
      <c r="A228" s="57" t="s">
        <v>755</v>
      </c>
      <c r="B228" s="57" t="s">
        <v>225</v>
      </c>
      <c r="C228" s="57" t="str">
        <f aca="false">Flights!$F$11</f>
        <v>MH0003</v>
      </c>
      <c r="D228" s="58" t="n">
        <f aca="false">Flights!$D$11</f>
        <v>46304</v>
      </c>
      <c r="E228" s="57" t="str">
        <f aca="false">Flights!$G$11&amp;"-"&amp;Flights!$H$11</f>
        <v>LHR-KUL</v>
      </c>
      <c r="F228" s="57" t="str">
        <f aca="false">Flights!$K$11</f>
        <v>BC</v>
      </c>
      <c r="G228" s="57" t="s">
        <v>383</v>
      </c>
      <c r="H228" s="57" t="s">
        <v>341</v>
      </c>
      <c r="I228" s="57" t="s">
        <v>391</v>
      </c>
      <c r="J228" s="57" t="s">
        <v>396</v>
      </c>
      <c r="K228" s="67"/>
      <c r="L228" s="67" t="s">
        <v>385</v>
      </c>
      <c r="M228" s="67"/>
      <c r="N228" s="67" t="s">
        <v>346</v>
      </c>
      <c r="O228" s="67" t="s">
        <v>386</v>
      </c>
      <c r="P228" s="57" t="s">
        <v>176</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IF(N228="N/A – rule","N/A – RULE",IF(TRIM(U228)="N/A",IF(AT228=0,"INVALID – N/A not permitted for this mandatory check",IF(AND(TRIM(AC228)&lt;&gt;"",TRIM(AE228)&lt;&gt;"",TRIM(T228)&lt;&gt;""),"N/A – JUSTIFIED","INVALID – N/A needs justification, PIC and verifier")),IF(OR(TRIM(U228)="Pass",TRIM(U228)="Pass after CA"),IF(NOT(ISNUMBER(AD228)),"INVALID – completion time missing",IF(TRIM(T228)="","INVALID – PIC missing",IF(TRIM(Z228)="","INVALID – evidence missing",IF(TRIM(AE228)="","INVALID – verifier missing",IF(AND(AQ228=1,TRIM(W228)=""),"INVALID – batch ID missing",IF(AND(AR228=1,OR(NOT(ISNUMBER(X228)),NOT(ISNUMBER(Y228)))),"INVALID – expected/actual qty missing",IF(IF(AND(TRIM(U228)="Pass",ISNUMBER(AF228)),IF(AF228&lt;&gt;0,"INVALID – qty variance: use Fail or Pass after CA",""),"")&amp;IF(AND(TRIM(U228)="Pass",AB228="Open"),"INVALID – corrective action still open: use Fail, then Pass after CA","")&amp;IF(AND(TRIM(U228)="Pass after CA",OR(TRIM(AA228)="",AB228&lt;&gt;"Closed")),"INVALID – corrective action not recorded/closed","")&lt;&gt;"",IF(AND(TRIM(U228)="Pass",ISNUMBER(AF228)),IF(AF228&lt;&gt;0,"INVALID – qty variance: use Fail or Pass after CA",""),"")&amp;IF(AND(TRIM(U228)="Pass",AB228="Open"),"INVALID – corrective action still open: use Fail, then Pass after CA","")&amp;IF(AND(TRIM(U228)="Pass after CA",OR(TRIM(AA228)="",AB228&lt;&gt;"Closed")),"INVALID – corrective action not recorded/closed",""),IF(AND(AS228=1,Documents!$J$11&lt;&gt;"ON FILE"),"INVALID – GLD not on file (Documents sheet)",IF(AND(AS228=2,Documents!$O$11&lt;&gt;"ON FILE"),"INVALID – menu checklist not on file (Documents sheet)",IF(AND(AS228=3,NOT(ISNUMBER(Flights!$AX$11))),"INVALID – enter carrying flight KUL departure (Flights AX)",IF(AG228&gt;AsOfUTC,"INVALID – completion time is in the future",IF(AND(ISNUMBER(S228),AG228&lt;S228),IF(H228="Physical uplift","INVALID – before uplift window (cannot confirm loading)","INVALID – before valid window"),IF(AG228&gt;Flights!$AA$11,"INVALID – completed after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f>
        <v>OPEN</v>
      </c>
      <c r="AI228" s="61" t="n">
        <f aca="false">IF(OR(AH228="N/A – RULE",AH228="N/A – JUSTIFIED"),0,1)</f>
        <v>1</v>
      </c>
      <c r="AJ228" s="61" t="n">
        <f aca="false">IF(LEFT(AH228,8)="COMPLETE",1,0)</f>
        <v>0</v>
      </c>
      <c r="AK228" s="61" t="n">
        <f aca="false">IF(AND(AI228=1,AJ228=0,AsOfUTC&gt;Q228),1,0)</f>
        <v>0</v>
      </c>
      <c r="AL228" s="61" t="n">
        <f aca="false">IF(AND(AI228=1,OR(TRIM(U228)="Fail",AB228="Open",AND(ISNUMBER(AF228),AF228&lt;&gt;0,TRIM(U228)&lt;&gt;"Pass after CA"))),1,0)</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row>
    <row r="229" customFormat="false" ht="141" hidden="false" customHeight="true" outlineLevel="0" collapsed="false">
      <c r="A229" s="57" t="s">
        <v>756</v>
      </c>
      <c r="B229" s="57" t="s">
        <v>225</v>
      </c>
      <c r="C229" s="57" t="str">
        <f aca="false">Flights!$F$11</f>
        <v>MH0003</v>
      </c>
      <c r="D229" s="58" t="n">
        <f aca="false">Flights!$D$11</f>
        <v>46304</v>
      </c>
      <c r="E229" s="57" t="str">
        <f aca="false">Flights!$G$11&amp;"-"&amp;Flights!$H$11</f>
        <v>LHR-KUL</v>
      </c>
      <c r="F229" s="57" t="str">
        <f aca="false">Flights!$K$11</f>
        <v>BC</v>
      </c>
      <c r="G229" s="57" t="s">
        <v>383</v>
      </c>
      <c r="H229" s="57" t="s">
        <v>341</v>
      </c>
      <c r="I229" s="57" t="s">
        <v>391</v>
      </c>
      <c r="J229" s="57" t="s">
        <v>398</v>
      </c>
      <c r="K229" s="67" t="s">
        <v>399</v>
      </c>
      <c r="L229" s="67" t="s">
        <v>385</v>
      </c>
      <c r="M229" s="67"/>
      <c r="N229" s="67" t="s">
        <v>346</v>
      </c>
      <c r="O229" s="67" t="s">
        <v>386</v>
      </c>
      <c r="P229" s="57" t="s">
        <v>176</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IF(N229="N/A – rule","N/A – RULE",IF(TRIM(U229)="N/A",IF(AT229=0,"INVALID – N/A not permitted for this mandatory check",IF(AND(TRIM(AC229)&lt;&gt;"",TRIM(AE229)&lt;&gt;"",TRIM(T229)&lt;&gt;""),"N/A – JUSTIFIED","INVALID – N/A needs justification, PIC and verifier")),IF(OR(TRIM(U229)="Pass",TRIM(U229)="Pass after CA"),IF(NOT(ISNUMBER(AD229)),"INVALID – completion time missing",IF(TRIM(T229)="","INVALID – PIC missing",IF(TRIM(Z229)="","INVALID – evidence missing",IF(TRIM(AE229)="","INVALID – verifier missing",IF(AND(AQ229=1,TRIM(W229)=""),"INVALID – batch ID missing",IF(AND(AR229=1,OR(NOT(ISNUMBER(X229)),NOT(ISNUMBER(Y229)))),"INVALID – expected/actual qty missing",IF(IF(AND(TRIM(U229)="Pass",ISNUMBER(AF229)),IF(AF229&lt;&gt;0,"INVALID – qty variance: use Fail or Pass after CA",""),"")&amp;IF(AND(TRIM(U229)="Pass",AB229="Open"),"INVALID – corrective action still open: use Fail, then Pass after CA","")&amp;IF(AND(TRIM(U229)="Pass after CA",OR(TRIM(AA229)="",AB229&lt;&gt;"Closed")),"INVALID – corrective action not recorded/closed","")&lt;&gt;"",IF(AND(TRIM(U229)="Pass",ISNUMBER(AF229)),IF(AF229&lt;&gt;0,"INVALID – qty variance: use Fail or Pass after CA",""),"")&amp;IF(AND(TRIM(U229)="Pass",AB229="Open"),"INVALID – corrective action still open: use Fail, then Pass after CA","")&amp;IF(AND(TRIM(U229)="Pass after CA",OR(TRIM(AA229)="",AB229&lt;&gt;"Closed")),"INVALID – corrective action not recorded/closed",""),IF(AND(AS229=1,Documents!$J$11&lt;&gt;"ON FILE"),"INVALID – GLD not on file (Documents sheet)",IF(AND(AS229=2,Documents!$O$11&lt;&gt;"ON FILE"),"INVALID – menu checklist not on file (Documents sheet)",IF(AND(AS229=3,NOT(ISNUMBER(Flights!$AX$11))),"INVALID – enter carrying flight KUL departure (Flights AX)",IF(AG229&gt;AsOfUTC,"INVALID – completion time is in the future",IF(AND(ISNUMBER(S229),AG229&lt;S229),IF(H229="Physical uplift","INVALID – before uplift window (cannot confirm loading)","INVALID – before valid window"),IF(AG229&gt;Flights!$AA$11,"INVALID – completed after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f>
        <v>OPEN</v>
      </c>
      <c r="AI229" s="61" t="n">
        <f aca="false">IF(OR(AH229="N/A – RULE",AH229="N/A – JUSTIFIED"),0,1)</f>
        <v>1</v>
      </c>
      <c r="AJ229" s="61" t="n">
        <f aca="false">IF(LEFT(AH229,8)="COMPLETE",1,0)</f>
        <v>0</v>
      </c>
      <c r="AK229" s="61" t="n">
        <f aca="false">IF(AND(AI229=1,AJ229=0,AsOfUTC&gt;Q229),1,0)</f>
        <v>0</v>
      </c>
      <c r="AL229" s="61" t="n">
        <f aca="false">IF(AND(AI229=1,OR(TRIM(U229)="Fail",AB229="Open",AND(ISNUMBER(AF229),AF229&lt;&gt;0,TRIM(U229)&lt;&gt;"Pass after CA"))),1,0)</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row>
    <row r="230" customFormat="false" ht="39.75" hidden="false" customHeight="true" outlineLevel="0" collapsed="false">
      <c r="A230" s="57" t="s">
        <v>757</v>
      </c>
      <c r="B230" s="57" t="s">
        <v>225</v>
      </c>
      <c r="C230" s="57" t="str">
        <f aca="false">Flights!$F$11</f>
        <v>MH0003</v>
      </c>
      <c r="D230" s="58" t="n">
        <f aca="false">Flights!$D$11</f>
        <v>46304</v>
      </c>
      <c r="E230" s="57" t="str">
        <f aca="false">Flights!$G$11&amp;"-"&amp;Flights!$H$11</f>
        <v>LHR-KUL</v>
      </c>
      <c r="F230" s="57" t="str">
        <f aca="false">Flights!$K$11</f>
        <v>BC</v>
      </c>
      <c r="G230" s="57" t="s">
        <v>383</v>
      </c>
      <c r="H230" s="57" t="s">
        <v>341</v>
      </c>
      <c r="I230" s="57" t="s">
        <v>391</v>
      </c>
      <c r="J230" s="57" t="s">
        <v>401</v>
      </c>
      <c r="K230" s="67"/>
      <c r="L230" s="67" t="s">
        <v>385</v>
      </c>
      <c r="M230" s="67"/>
      <c r="N230" s="67" t="s">
        <v>346</v>
      </c>
      <c r="O230" s="67" t="s">
        <v>386</v>
      </c>
      <c r="P230" s="57" t="s">
        <v>176</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IF(N230="N/A – rule","N/A – RULE",IF(TRIM(U230)="N/A",IF(AT230=0,"INVALID – N/A not permitted for this mandatory check",IF(AND(TRIM(AC230)&lt;&gt;"",TRIM(AE230)&lt;&gt;"",TRIM(T230)&lt;&gt;""),"N/A – JUSTIFIED","INVALID – N/A needs justification, PIC and verifier")),IF(OR(TRIM(U230)="Pass",TRIM(U230)="Pass after CA"),IF(NOT(ISNUMBER(AD230)),"INVALID – completion time missing",IF(TRIM(T230)="","INVALID – PIC missing",IF(TRIM(Z230)="","INVALID – evidence missing",IF(TRIM(AE230)="","INVALID – verifier missing",IF(AND(AQ230=1,TRIM(W230)=""),"INVALID – batch ID missing",IF(AND(AR230=1,OR(NOT(ISNUMBER(X230)),NOT(ISNUMBER(Y230)))),"INVALID – expected/actual qty missing",IF(IF(AND(TRIM(U230)="Pass",ISNUMBER(AF230)),IF(AF230&lt;&gt;0,"INVALID – qty variance: use Fail or Pass after CA",""),"")&amp;IF(AND(TRIM(U230)="Pass",AB230="Open"),"INVALID – corrective action still open: use Fail, then Pass after CA","")&amp;IF(AND(TRIM(U230)="Pass after CA",OR(TRIM(AA230)="",AB230&lt;&gt;"Closed")),"INVALID – corrective action not recorded/closed","")&lt;&gt;"",IF(AND(TRIM(U230)="Pass",ISNUMBER(AF230)),IF(AF230&lt;&gt;0,"INVALID – qty variance: use Fail or Pass after CA",""),"")&amp;IF(AND(TRIM(U230)="Pass",AB230="Open"),"INVALID – corrective action still open: use Fail, then Pass after CA","")&amp;IF(AND(TRIM(U230)="Pass after CA",OR(TRIM(AA230)="",AB230&lt;&gt;"Closed")),"INVALID – corrective action not recorded/closed",""),IF(AND(AS230=1,Documents!$J$11&lt;&gt;"ON FILE"),"INVALID – GLD not on file (Documents sheet)",IF(AND(AS230=2,Documents!$O$11&lt;&gt;"ON FILE"),"INVALID – menu checklist not on file (Documents sheet)",IF(AND(AS230=3,NOT(ISNUMBER(Flights!$AX$11))),"INVALID – enter carrying flight KUL departure (Flights AX)",IF(AG230&gt;AsOfUTC,"INVALID – completion time is in the future",IF(AND(ISNUMBER(S230),AG230&lt;S230),IF(H230="Physical uplift","INVALID – before uplift window (cannot confirm loading)","INVALID – before valid window"),IF(AG230&gt;Flights!$AA$11,"INVALID – completed after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f>
        <v>OPEN</v>
      </c>
      <c r="AI230" s="61" t="n">
        <f aca="false">IF(OR(AH230="N/A – RULE",AH230="N/A – JUSTIFIED"),0,1)</f>
        <v>1</v>
      </c>
      <c r="AJ230" s="61" t="n">
        <f aca="false">IF(LEFT(AH230,8)="COMPLETE",1,0)</f>
        <v>0</v>
      </c>
      <c r="AK230" s="61" t="n">
        <f aca="false">IF(AND(AI230=1,AJ230=0,AsOfUTC&gt;Q230),1,0)</f>
        <v>0</v>
      </c>
      <c r="AL230" s="61" t="n">
        <f aca="false">IF(AND(AI230=1,OR(TRIM(U230)="Fail",AB230="Open",AND(ISNUMBER(AF230),AF230&lt;&gt;0,TRIM(U230)&lt;&gt;"Pass after CA"))),1,0)</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row>
    <row r="231" customFormat="false" ht="39.75" hidden="false" customHeight="true" outlineLevel="0" collapsed="false">
      <c r="A231" s="57" t="s">
        <v>758</v>
      </c>
      <c r="B231" s="57" t="s">
        <v>225</v>
      </c>
      <c r="C231" s="57" t="str">
        <f aca="false">Flights!$F$11</f>
        <v>MH0003</v>
      </c>
      <c r="D231" s="58" t="n">
        <f aca="false">Flights!$D$11</f>
        <v>46304</v>
      </c>
      <c r="E231" s="57" t="str">
        <f aca="false">Flights!$G$11&amp;"-"&amp;Flights!$H$11</f>
        <v>LHR-KUL</v>
      </c>
      <c r="F231" s="57" t="str">
        <f aca="false">Flights!$K$11</f>
        <v>BC</v>
      </c>
      <c r="G231" s="57" t="s">
        <v>383</v>
      </c>
      <c r="H231" s="57" t="s">
        <v>341</v>
      </c>
      <c r="I231" s="57" t="s">
        <v>403</v>
      </c>
      <c r="J231" s="57" t="s">
        <v>404</v>
      </c>
      <c r="K231" s="67" t="s">
        <v>464</v>
      </c>
      <c r="L231" s="67" t="s">
        <v>406</v>
      </c>
      <c r="M231" s="67" t="s">
        <v>176</v>
      </c>
      <c r="N231" s="67" t="s">
        <v>346</v>
      </c>
      <c r="O231" s="67"/>
      <c r="P231" s="57" t="s">
        <v>176</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IF(N231="N/A – rule","N/A – RULE",IF(TRIM(U231)="N/A",IF(AT231=0,"INVALID – N/A not permitted for this mandatory check",IF(AND(TRIM(AC231)&lt;&gt;"",TRIM(AE231)&lt;&gt;"",TRIM(T231)&lt;&gt;""),"N/A – JUSTIFIED","INVALID – N/A needs justification, PIC and verifier")),IF(OR(TRIM(U231)="Pass",TRIM(U231)="Pass after CA"),IF(NOT(ISNUMBER(AD231)),"INVALID – completion time missing",IF(TRIM(T231)="","INVALID – PIC missing",IF(TRIM(Z231)="","INVALID – evidence missing",IF(TRIM(AE231)="","INVALID – verifier missing",IF(AND(AQ231=1,TRIM(W231)=""),"INVALID – batch ID missing",IF(AND(AR231=1,OR(NOT(ISNUMBER(X231)),NOT(ISNUMBER(Y231)))),"INVALID – expected/actual qty missing",IF(IF(AND(TRIM(U231)="Pass",ISNUMBER(AF231)),IF(AF231&lt;&gt;0,"INVALID – qty variance: use Fail or Pass after CA",""),"")&amp;IF(AND(TRIM(U231)="Pass",AB231="Open"),"INVALID – corrective action still open: use Fail, then Pass after CA","")&amp;IF(AND(TRIM(U231)="Pass after CA",OR(TRIM(AA231)="",AB231&lt;&gt;"Closed")),"INVALID – corrective action not recorded/closed","")&lt;&gt;"",IF(AND(TRIM(U231)="Pass",ISNUMBER(AF231)),IF(AF231&lt;&gt;0,"INVALID – qty variance: use Fail or Pass after CA",""),"")&amp;IF(AND(TRIM(U231)="Pass",AB231="Open"),"INVALID – corrective action still open: use Fail, then Pass after CA","")&amp;IF(AND(TRIM(U231)="Pass after CA",OR(TRIM(AA231)="",AB231&lt;&gt;"Closed")),"INVALID – corrective action not recorded/closed",""),IF(AND(AS231=1,Documents!$J$11&lt;&gt;"ON FILE"),"INVALID – GLD not on file (Documents sheet)",IF(AND(AS231=2,Documents!$O$11&lt;&gt;"ON FILE"),"INVALID – menu checklist not on file (Documents sheet)",IF(AND(AS231=3,NOT(ISNUMBER(Flights!$AX$11))),"INVALID – enter carrying flight KUL departure (Flights AX)",IF(AG231&gt;AsOfUTC,"INVALID – completion time is in the future",IF(AND(ISNUMBER(S231),AG231&lt;S231),IF(H231="Physical uplift","INVALID – before uplift window (cannot confirm loading)","INVALID – before valid window"),IF(AG231&gt;Flights!$AA$11,"INVALID – completed after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f>
        <v>OPEN</v>
      </c>
      <c r="AI231" s="61" t="n">
        <f aca="false">IF(OR(AH231="N/A – RULE",AH231="N/A – JUSTIFIED"),0,1)</f>
        <v>1</v>
      </c>
      <c r="AJ231" s="61" t="n">
        <f aca="false">IF(LEFT(AH231,8)="COMPLETE",1,0)</f>
        <v>0</v>
      </c>
      <c r="AK231" s="61" t="n">
        <f aca="false">IF(AND(AI231=1,AJ231=0,AsOfUTC&gt;Q231),1,0)</f>
        <v>0</v>
      </c>
      <c r="AL231" s="61" t="n">
        <f aca="false">IF(AND(AI231=1,OR(TRIM(U231)="Fail",AB231="Open",AND(ISNUMBER(AF231),AF231&lt;&gt;0,TRIM(U231)&lt;&gt;"Pass after CA"))),1,0)</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1</v>
      </c>
    </row>
    <row r="232" customFormat="false" ht="78.75" hidden="false" customHeight="true" outlineLevel="0" collapsed="false">
      <c r="A232" s="57" t="s">
        <v>759</v>
      </c>
      <c r="B232" s="57" t="s">
        <v>225</v>
      </c>
      <c r="C232" s="57" t="str">
        <f aca="false">Flights!$F$11</f>
        <v>MH0003</v>
      </c>
      <c r="D232" s="58" t="n">
        <f aca="false">Flights!$D$11</f>
        <v>46304</v>
      </c>
      <c r="E232" s="57" t="str">
        <f aca="false">Flights!$G$11&amp;"-"&amp;Flights!$H$11</f>
        <v>LHR-KUL</v>
      </c>
      <c r="F232" s="57" t="str">
        <f aca="false">Flights!$K$11</f>
        <v>BC</v>
      </c>
      <c r="G232" s="57" t="s">
        <v>383</v>
      </c>
      <c r="H232" s="57" t="s">
        <v>341</v>
      </c>
      <c r="I232" s="57" t="s">
        <v>403</v>
      </c>
      <c r="J232" s="57" t="s">
        <v>692</v>
      </c>
      <c r="K232" s="67" t="s">
        <v>693</v>
      </c>
      <c r="L232" s="67" t="s">
        <v>694</v>
      </c>
      <c r="M232" s="67" t="s">
        <v>177</v>
      </c>
      <c r="N232" s="67" t="s">
        <v>407</v>
      </c>
      <c r="O232" s="67" t="s">
        <v>760</v>
      </c>
      <c r="P232" s="57" t="s">
        <v>177</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IF(N232="N/A – rule","N/A – RULE",IF(TRIM(U232)="N/A",IF(AT232=0,"INVALID – N/A not permitted for this mandatory check",IF(AND(TRIM(AC232)&lt;&gt;"",TRIM(AE232)&lt;&gt;"",TRIM(T232)&lt;&gt;""),"N/A – JUSTIFIED","INVALID – N/A needs justification, PIC and verifier")),IF(OR(TRIM(U232)="Pass",TRIM(U232)="Pass after CA"),IF(NOT(ISNUMBER(AD232)),"INVALID – completion time missing",IF(TRIM(T232)="","INVALID – PIC missing",IF(TRIM(Z232)="","INVALID – evidence missing",IF(TRIM(AE232)="","INVALID – verifier missing",IF(AND(AQ232=1,TRIM(W232)=""),"INVALID – batch ID missing",IF(AND(AR232=1,OR(NOT(ISNUMBER(X232)),NOT(ISNUMBER(Y232)))),"INVALID – expected/actual qty missing",IF(IF(AND(TRIM(U232)="Pass",ISNUMBER(AF232)),IF(AF232&lt;&gt;0,"INVALID – qty variance: use Fail or Pass after CA",""),"")&amp;IF(AND(TRIM(U232)="Pass",AB232="Open"),"INVALID – corrective action still open: use Fail, then Pass after CA","")&amp;IF(AND(TRIM(U232)="Pass after CA",OR(TRIM(AA232)="",AB232&lt;&gt;"Closed")),"INVALID – corrective action not recorded/closed","")&lt;&gt;"",IF(AND(TRIM(U232)="Pass",ISNUMBER(AF232)),IF(AF232&lt;&gt;0,"INVALID – qty variance: use Fail or Pass after CA",""),"")&amp;IF(AND(TRIM(U232)="Pass",AB232="Open"),"INVALID – corrective action still open: use Fail, then Pass after CA","")&amp;IF(AND(TRIM(U232)="Pass after CA",OR(TRIM(AA232)="",AB232&lt;&gt;"Closed")),"INVALID – corrective action not recorded/closed",""),IF(AND(AS232=1,Documents!$J$11&lt;&gt;"ON FILE"),"INVALID – GLD not on file (Documents sheet)",IF(AND(AS232=2,Documents!$O$11&lt;&gt;"ON FILE"),"INVALID – menu checklist not on file (Documents sheet)",IF(AND(AS232=3,NOT(ISNUMBER(Flights!$AX$11))),"INVALID – enter carrying flight KUL departure (Flights AX)",IF(AG232&gt;AsOfUTC,"INVALID – completion time is in the future",IF(AND(ISNUMBER(S232),AG232&lt;S232),IF(H232="Physical uplift","INVALID – before uplift window (cannot confirm loading)","INVALID – before valid window"),IF(AG232&gt;Flights!$AA$11,"INVALID – completed after departure (cannot establish readiness)",IF(AND(H232="Physical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f>
        <v>OPEN – CLARIFICATION</v>
      </c>
      <c r="AI232" s="61" t="n">
        <f aca="false">IF(OR(AH232="N/A – RULE",AH232="N/A – JUSTIFIED"),0,1)</f>
        <v>1</v>
      </c>
      <c r="AJ232" s="61" t="n">
        <f aca="false">IF(LEFT(AH232,8)="COMPLETE",1,0)</f>
        <v>0</v>
      </c>
      <c r="AK232" s="61" t="n">
        <f aca="false">IF(AND(AI232=1,AJ232=0,AsOfUTC&gt;Q232),1,0)</f>
        <v>0</v>
      </c>
      <c r="AL232" s="61" t="n">
        <f aca="false">IF(AND(AI232=1,OR(TRIM(U232)="Fail",AB232="Open",AND(ISNUMBER(AF232),AF232&lt;&gt;0,TRIM(U232)&lt;&gt;"Pass after CA"))),1,0)</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row>
    <row r="233" customFormat="false" ht="41.25" hidden="false" customHeight="true" outlineLevel="0" collapsed="false">
      <c r="A233" s="57" t="s">
        <v>761</v>
      </c>
      <c r="B233" s="57" t="s">
        <v>225</v>
      </c>
      <c r="C233" s="57" t="str">
        <f aca="false">Flights!$F$11</f>
        <v>MH0003</v>
      </c>
      <c r="D233" s="58" t="n">
        <f aca="false">Flights!$D$11</f>
        <v>46304</v>
      </c>
      <c r="E233" s="57" t="str">
        <f aca="false">Flights!$G$11&amp;"-"&amp;Flights!$H$11</f>
        <v>LHR-KUL</v>
      </c>
      <c r="F233" s="57" t="str">
        <f aca="false">Flights!$K$11</f>
        <v>BC</v>
      </c>
      <c r="G233" s="57" t="s">
        <v>383</v>
      </c>
      <c r="H233" s="57" t="s">
        <v>341</v>
      </c>
      <c r="I233" s="57" t="s">
        <v>403</v>
      </c>
      <c r="J233" s="57" t="s">
        <v>566</v>
      </c>
      <c r="K233" s="67" t="s">
        <v>464</v>
      </c>
      <c r="L233" s="67" t="s">
        <v>697</v>
      </c>
      <c r="M233" s="67" t="s">
        <v>177</v>
      </c>
      <c r="N233" s="67" t="s">
        <v>346</v>
      </c>
      <c r="O233" s="67" t="s">
        <v>762</v>
      </c>
      <c r="P233" s="57" t="s">
        <v>177</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IF(N233="N/A – rule","N/A – RULE",IF(TRIM(U233)="N/A",IF(AT233=0,"INVALID – N/A not permitted for this mandatory check",IF(AND(TRIM(AC233)&lt;&gt;"",TRIM(AE233)&lt;&gt;"",TRIM(T233)&lt;&gt;""),"N/A – JUSTIFIED","INVALID – N/A needs justification, PIC and verifier")),IF(OR(TRIM(U233)="Pass",TRIM(U233)="Pass after CA"),IF(NOT(ISNUMBER(AD233)),"INVALID – completion time missing",IF(TRIM(T233)="","INVALID – PIC missing",IF(TRIM(Z233)="","INVALID – evidence missing",IF(TRIM(AE233)="","INVALID – verifier missing",IF(AND(AQ233=1,TRIM(W233)=""),"INVALID – batch ID missing",IF(AND(AR233=1,OR(NOT(ISNUMBER(X233)),NOT(ISNUMBER(Y233)))),"INVALID – expected/actual qty missing",IF(IF(AND(TRIM(U233)="Pass",ISNUMBER(AF233)),IF(AF233&lt;&gt;0,"INVALID – qty variance: use Fail or Pass after CA",""),"")&amp;IF(AND(TRIM(U233)="Pass",AB233="Open"),"INVALID – corrective action still open: use Fail, then Pass after CA","")&amp;IF(AND(TRIM(U233)="Pass after CA",OR(TRIM(AA233)="",AB233&lt;&gt;"Closed")),"INVALID – corrective action not recorded/closed","")&lt;&gt;"",IF(AND(TRIM(U233)="Pass",ISNUMBER(AF233)),IF(AF233&lt;&gt;0,"INVALID – qty variance: use Fail or Pass after CA",""),"")&amp;IF(AND(TRIM(U233)="Pass",AB233="Open"),"INVALID – corrective action still open: use Fail, then Pass after CA","")&amp;IF(AND(TRIM(U233)="Pass after CA",OR(TRIM(AA233)="",AB233&lt;&gt;"Closed")),"INVALID – corrective action not recorded/closed",""),IF(AND(AS233=1,Documents!$J$11&lt;&gt;"ON FILE"),"INVALID – GLD not on file (Documents sheet)",IF(AND(AS233=2,Documents!$O$11&lt;&gt;"ON FILE"),"INVALID – menu checklist not on file (Documents sheet)",IF(AND(AS233=3,NOT(ISNUMBER(Flights!$AX$11))),"INVALID – enter carrying flight KUL departure (Flights AX)",IF(AG233&gt;AsOfUTC,"INVALID – completion time is in the future",IF(AND(ISNUMBER(S233),AG233&lt;S233),IF(H233="Physical uplift","INVALID – before uplift window (cannot confirm loading)","INVALID – before valid window"),IF(AG233&gt;Flights!$AA$11,"INVALID – completed after departure (cannot establish readiness)",IF(AND(H233="Physical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f>
        <v>OPEN</v>
      </c>
      <c r="AI233" s="61" t="n">
        <f aca="false">IF(OR(AH233="N/A – RULE",AH233="N/A – JUSTIFIED"),0,1)</f>
        <v>1</v>
      </c>
      <c r="AJ233" s="61" t="n">
        <f aca="false">IF(LEFT(AH233,8)="COMPLETE",1,0)</f>
        <v>0</v>
      </c>
      <c r="AK233" s="61" t="n">
        <f aca="false">IF(AND(AI233=1,AJ233=0,AsOfUTC&gt;Q233),1,0)</f>
        <v>0</v>
      </c>
      <c r="AL233" s="61" t="n">
        <f aca="false">IF(AND(AI233=1,OR(TRIM(U233)="Fail",AB233="Open",AND(ISNUMBER(AF233),AF233&lt;&gt;0,TRIM(U233)&lt;&gt;"Pass after CA"))),1,0)</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1</v>
      </c>
    </row>
    <row r="234" customFormat="false" ht="41.25" hidden="false" customHeight="true" outlineLevel="0" collapsed="false">
      <c r="A234" s="57" t="s">
        <v>763</v>
      </c>
      <c r="B234" s="57" t="s">
        <v>225</v>
      </c>
      <c r="C234" s="57" t="str">
        <f aca="false">Flights!$F$11</f>
        <v>MH0003</v>
      </c>
      <c r="D234" s="58" t="n">
        <f aca="false">Flights!$D$11</f>
        <v>46304</v>
      </c>
      <c r="E234" s="57" t="str">
        <f aca="false">Flights!$G$11&amp;"-"&amp;Flights!$H$11</f>
        <v>LHR-KUL</v>
      </c>
      <c r="F234" s="57" t="str">
        <f aca="false">Flights!$K$11</f>
        <v>BC</v>
      </c>
      <c r="G234" s="57" t="s">
        <v>383</v>
      </c>
      <c r="H234" s="57" t="s">
        <v>341</v>
      </c>
      <c r="I234" s="57" t="s">
        <v>462</v>
      </c>
      <c r="J234" s="57" t="s">
        <v>463</v>
      </c>
      <c r="K234" s="67" t="s">
        <v>464</v>
      </c>
      <c r="L234" s="67" t="s">
        <v>699</v>
      </c>
      <c r="M234" s="67" t="s">
        <v>414</v>
      </c>
      <c r="N234" s="67" t="s">
        <v>346</v>
      </c>
      <c r="O234" s="67" t="s">
        <v>415</v>
      </c>
      <c r="P234" s="57" t="s">
        <v>176</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IF(N234="N/A – rule","N/A – RULE",IF(TRIM(U234)="N/A",IF(AT234=0,"INVALID – N/A not permitted for this mandatory check",IF(AND(TRIM(AC234)&lt;&gt;"",TRIM(AE234)&lt;&gt;"",TRIM(T234)&lt;&gt;""),"N/A – JUSTIFIED","INVALID – N/A needs justification, PIC and verifier")),IF(OR(TRIM(U234)="Pass",TRIM(U234)="Pass after CA"),IF(NOT(ISNUMBER(AD234)),"INVALID – completion time missing",IF(TRIM(T234)="","INVALID – PIC missing",IF(TRIM(Z234)="","INVALID – evidence missing",IF(TRIM(AE234)="","INVALID – verifier missing",IF(AND(AQ234=1,TRIM(W234)=""),"INVALID – batch ID missing",IF(AND(AR234=1,OR(NOT(ISNUMBER(X234)),NOT(ISNUMBER(Y234)))),"INVALID – expected/actual qty missing",IF(IF(AND(TRIM(U234)="Pass",ISNUMBER(AF234)),IF(AF234&lt;&gt;0,"INVALID – qty variance: use Fail or Pass after CA",""),"")&amp;IF(AND(TRIM(U234)="Pass",AB234="Open"),"INVALID – corrective action still open: use Fail, then Pass after CA","")&amp;IF(AND(TRIM(U234)="Pass after CA",OR(TRIM(AA234)="",AB234&lt;&gt;"Closed")),"INVALID – corrective action not recorded/closed","")&lt;&gt;"",IF(AND(TRIM(U234)="Pass",ISNUMBER(AF234)),IF(AF234&lt;&gt;0,"INVALID – qty variance: use Fail or Pass after CA",""),"")&amp;IF(AND(TRIM(U234)="Pass",AB234="Open"),"INVALID – corrective action still open: use Fail, then Pass after CA","")&amp;IF(AND(TRIM(U234)="Pass after CA",OR(TRIM(AA234)="",AB234&lt;&gt;"Closed")),"INVALID – corrective action not recorded/closed",""),IF(AND(AS234=1,Documents!$J$11&lt;&gt;"ON FILE"),"INVALID – GLD not on file (Documents sheet)",IF(AND(AS234=2,Documents!$O$11&lt;&gt;"ON FILE"),"INVALID – menu checklist not on file (Documents sheet)",IF(AND(AS234=3,NOT(ISNUMBER(Flights!$AX$11))),"INVALID – enter carrying flight KUL departure (Flights AX)",IF(AG234&gt;AsOfUTC,"INVALID – completion time is in the future",IF(AND(ISNUMBER(S234),AG234&lt;S234),IF(H234="Physical uplift","INVALID – before uplift window (cannot confirm loading)","INVALID – before valid window"),IF(AG234&gt;Flights!$AA$11,"INVALID – completed after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f>
        <v>OPEN</v>
      </c>
      <c r="AI234" s="61" t="n">
        <f aca="false">IF(OR(AH234="N/A – RULE",AH234="N/A – JUSTIFIED"),0,1)</f>
        <v>1</v>
      </c>
      <c r="AJ234" s="61" t="n">
        <f aca="false">IF(LEFT(AH234,8)="COMPLETE",1,0)</f>
        <v>0</v>
      </c>
      <c r="AK234" s="61" t="n">
        <f aca="false">IF(AND(AI234=1,AJ234=0,AsOfUTC&gt;Q234),1,0)</f>
        <v>0</v>
      </c>
      <c r="AL234" s="61" t="n">
        <f aca="false">IF(AND(AI234=1,OR(TRIM(U234)="Fail",AB234="Open",AND(ISNUMBER(AF234),AF234&lt;&gt;0,TRIM(U234)&lt;&gt;"Pass after CA"))),1,0)</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1</v>
      </c>
    </row>
    <row r="235" customFormat="false" ht="41.25" hidden="false" customHeight="true" outlineLevel="0" collapsed="false">
      <c r="A235" s="57" t="s">
        <v>764</v>
      </c>
      <c r="B235" s="57" t="s">
        <v>225</v>
      </c>
      <c r="C235" s="57" t="str">
        <f aca="false">Flights!$F$11</f>
        <v>MH0003</v>
      </c>
      <c r="D235" s="58" t="n">
        <f aca="false">Flights!$D$11</f>
        <v>46304</v>
      </c>
      <c r="E235" s="57" t="str">
        <f aca="false">Flights!$G$11&amp;"-"&amp;Flights!$H$11</f>
        <v>LHR-KUL</v>
      </c>
      <c r="F235" s="57" t="str">
        <f aca="false">Flights!$K$11</f>
        <v>BC</v>
      </c>
      <c r="G235" s="57" t="s">
        <v>383</v>
      </c>
      <c r="H235" s="57" t="s">
        <v>341</v>
      </c>
      <c r="I235" s="57" t="s">
        <v>462</v>
      </c>
      <c r="J235" s="57" t="s">
        <v>468</v>
      </c>
      <c r="K235" s="67" t="s">
        <v>464</v>
      </c>
      <c r="L235" s="67" t="s">
        <v>701</v>
      </c>
      <c r="M235" s="67" t="s">
        <v>414</v>
      </c>
      <c r="N235" s="67" t="s">
        <v>346</v>
      </c>
      <c r="O235" s="67" t="s">
        <v>415</v>
      </c>
      <c r="P235" s="57" t="s">
        <v>176</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IF(N235="N/A – rule","N/A – RULE",IF(TRIM(U235)="N/A",IF(AT235=0,"INVALID – N/A not permitted for this mandatory check",IF(AND(TRIM(AC235)&lt;&gt;"",TRIM(AE235)&lt;&gt;"",TRIM(T235)&lt;&gt;""),"N/A – JUSTIFIED","INVALID – N/A needs justification, PIC and verifier")),IF(OR(TRIM(U235)="Pass",TRIM(U235)="Pass after CA"),IF(NOT(ISNUMBER(AD235)),"INVALID – completion time missing",IF(TRIM(T235)="","INVALID – PIC missing",IF(TRIM(Z235)="","INVALID – evidence missing",IF(TRIM(AE235)="","INVALID – verifier missing",IF(AND(AQ235=1,TRIM(W235)=""),"INVALID – batch ID missing",IF(AND(AR235=1,OR(NOT(ISNUMBER(X235)),NOT(ISNUMBER(Y235)))),"INVALID – expected/actual qty missing",IF(IF(AND(TRIM(U235)="Pass",ISNUMBER(AF235)),IF(AF235&lt;&gt;0,"INVALID – qty variance: use Fail or Pass after CA",""),"")&amp;IF(AND(TRIM(U235)="Pass",AB235="Open"),"INVALID – corrective action still open: use Fail, then Pass after CA","")&amp;IF(AND(TRIM(U235)="Pass after CA",OR(TRIM(AA235)="",AB235&lt;&gt;"Closed")),"INVALID – corrective action not recorded/closed","")&lt;&gt;"",IF(AND(TRIM(U235)="Pass",ISNUMBER(AF235)),IF(AF235&lt;&gt;0,"INVALID – qty variance: use Fail or Pass after CA",""),"")&amp;IF(AND(TRIM(U235)="Pass",AB235="Open"),"INVALID – corrective action still open: use Fail, then Pass after CA","")&amp;IF(AND(TRIM(U235)="Pass after CA",OR(TRIM(AA235)="",AB235&lt;&gt;"Closed")),"INVALID – corrective action not recorded/closed",""),IF(AND(AS235=1,Documents!$J$11&lt;&gt;"ON FILE"),"INVALID – GLD not on file (Documents sheet)",IF(AND(AS235=2,Documents!$O$11&lt;&gt;"ON FILE"),"INVALID – menu checklist not on file (Documents sheet)",IF(AND(AS235=3,NOT(ISNUMBER(Flights!$AX$11))),"INVALID – enter carrying flight KUL departure (Flights AX)",IF(AG235&gt;AsOfUTC,"INVALID – completion time is in the future",IF(AND(ISNUMBER(S235),AG235&lt;S235),IF(H235="Physical uplift","INVALID – before uplift window (cannot confirm loading)","INVALID – before valid window"),IF(AG235&gt;Flights!$AA$11,"INVALID – completed after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f>
        <v>OPEN</v>
      </c>
      <c r="AI235" s="61" t="n">
        <f aca="false">IF(OR(AH235="N/A – RULE",AH235="N/A – JUSTIFIED"),0,1)</f>
        <v>1</v>
      </c>
      <c r="AJ235" s="61" t="n">
        <f aca="false">IF(LEFT(AH235,8)="COMPLETE",1,0)</f>
        <v>0</v>
      </c>
      <c r="AK235" s="61" t="n">
        <f aca="false">IF(AND(AI235=1,AJ235=0,AsOfUTC&gt;Q235),1,0)</f>
        <v>0</v>
      </c>
      <c r="AL235" s="61" t="n">
        <f aca="false">IF(AND(AI235=1,OR(TRIM(U235)="Fail",AB235="Open",AND(ISNUMBER(AF235),AF235&lt;&gt;0,TRIM(U235)&lt;&gt;"Pass after CA"))),1,0)</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1</v>
      </c>
    </row>
    <row r="236" customFormat="false" ht="41.25" hidden="false" customHeight="true" outlineLevel="0" collapsed="false">
      <c r="A236" s="57" t="s">
        <v>765</v>
      </c>
      <c r="B236" s="57" t="s">
        <v>225</v>
      </c>
      <c r="C236" s="57" t="str">
        <f aca="false">Flights!$F$11</f>
        <v>MH0003</v>
      </c>
      <c r="D236" s="58" t="n">
        <f aca="false">Flights!$D$11</f>
        <v>46304</v>
      </c>
      <c r="E236" s="57" t="str">
        <f aca="false">Flights!$G$11&amp;"-"&amp;Flights!$H$11</f>
        <v>LHR-KUL</v>
      </c>
      <c r="F236" s="57" t="str">
        <f aca="false">Flights!$K$11</f>
        <v>BC</v>
      </c>
      <c r="G236" s="57" t="s">
        <v>383</v>
      </c>
      <c r="H236" s="57" t="s">
        <v>341</v>
      </c>
      <c r="I236" s="57" t="s">
        <v>462</v>
      </c>
      <c r="J236" s="57" t="s">
        <v>471</v>
      </c>
      <c r="K236" s="67" t="s">
        <v>464</v>
      </c>
      <c r="L236" s="67" t="s">
        <v>703</v>
      </c>
      <c r="M236" s="67" t="s">
        <v>414</v>
      </c>
      <c r="N236" s="67" t="s">
        <v>346</v>
      </c>
      <c r="O236" s="67" t="s">
        <v>415</v>
      </c>
      <c r="P236" s="57" t="s">
        <v>176</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IF(N236="N/A – rule","N/A – RULE",IF(TRIM(U236)="N/A",IF(AT236=0,"INVALID – N/A not permitted for this mandatory check",IF(AND(TRIM(AC236)&lt;&gt;"",TRIM(AE236)&lt;&gt;"",TRIM(T236)&lt;&gt;""),"N/A – JUSTIFIED","INVALID – N/A needs justification, PIC and verifier")),IF(OR(TRIM(U236)="Pass",TRIM(U236)="Pass after CA"),IF(NOT(ISNUMBER(AD236)),"INVALID – completion time missing",IF(TRIM(T236)="","INVALID – PIC missing",IF(TRIM(Z236)="","INVALID – evidence missing",IF(TRIM(AE236)="","INVALID – verifier missing",IF(AND(AQ236=1,TRIM(W236)=""),"INVALID – batch ID missing",IF(AND(AR236=1,OR(NOT(ISNUMBER(X236)),NOT(ISNUMBER(Y236)))),"INVALID – expected/actual qty missing",IF(IF(AND(TRIM(U236)="Pass",ISNUMBER(AF236)),IF(AF236&lt;&gt;0,"INVALID – qty variance: use Fail or Pass after CA",""),"")&amp;IF(AND(TRIM(U236)="Pass",AB236="Open"),"INVALID – corrective action still open: use Fail, then Pass after CA","")&amp;IF(AND(TRIM(U236)="Pass after CA",OR(TRIM(AA236)="",AB236&lt;&gt;"Closed")),"INVALID – corrective action not recorded/closed","")&lt;&gt;"",IF(AND(TRIM(U236)="Pass",ISNUMBER(AF236)),IF(AF236&lt;&gt;0,"INVALID – qty variance: use Fail or Pass after CA",""),"")&amp;IF(AND(TRIM(U236)="Pass",AB236="Open"),"INVALID – corrective action still open: use Fail, then Pass after CA","")&amp;IF(AND(TRIM(U236)="Pass after CA",OR(TRIM(AA236)="",AB236&lt;&gt;"Closed")),"INVALID – corrective action not recorded/closed",""),IF(AND(AS236=1,Documents!$J$11&lt;&gt;"ON FILE"),"INVALID – GLD not on file (Documents sheet)",IF(AND(AS236=2,Documents!$O$11&lt;&gt;"ON FILE"),"INVALID – menu checklist not on file (Documents sheet)",IF(AND(AS236=3,NOT(ISNUMBER(Flights!$AX$11))),"INVALID – enter carrying flight KUL departure (Flights AX)",IF(AG236&gt;AsOfUTC,"INVALID – completion time is in the future",IF(AND(ISNUMBER(S236),AG236&lt;S236),IF(H236="Physical uplift","INVALID – before uplift window (cannot confirm loading)","INVALID – before valid window"),IF(AG236&gt;Flights!$AA$11,"INVALID – completed after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f>
        <v>OPEN</v>
      </c>
      <c r="AI236" s="61" t="n">
        <f aca="false">IF(OR(AH236="N/A – RULE",AH236="N/A – JUSTIFIED"),0,1)</f>
        <v>1</v>
      </c>
      <c r="AJ236" s="61" t="n">
        <f aca="false">IF(LEFT(AH236,8)="COMPLETE",1,0)</f>
        <v>0</v>
      </c>
      <c r="AK236" s="61" t="n">
        <f aca="false">IF(AND(AI236=1,AJ236=0,AsOfUTC&gt;Q236),1,0)</f>
        <v>0</v>
      </c>
      <c r="AL236" s="61" t="n">
        <f aca="false">IF(AND(AI236=1,OR(TRIM(U236)="Fail",AB236="Open",AND(ISNUMBER(AF236),AF236&lt;&gt;0,TRIM(U236)&lt;&gt;"Pass after CA"))),1,0)</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1</v>
      </c>
    </row>
    <row r="237" customFormat="false" ht="41.25" hidden="false" customHeight="true" outlineLevel="0" collapsed="false">
      <c r="A237" s="57" t="s">
        <v>766</v>
      </c>
      <c r="B237" s="57" t="s">
        <v>225</v>
      </c>
      <c r="C237" s="57" t="str">
        <f aca="false">Flights!$F$11</f>
        <v>MH0003</v>
      </c>
      <c r="D237" s="58" t="n">
        <f aca="false">Flights!$D$11</f>
        <v>46304</v>
      </c>
      <c r="E237" s="57" t="str">
        <f aca="false">Flights!$G$11&amp;"-"&amp;Flights!$H$11</f>
        <v>LHR-KUL</v>
      </c>
      <c r="F237" s="57" t="str">
        <f aca="false">Flights!$K$11</f>
        <v>BC</v>
      </c>
      <c r="G237" s="57" t="s">
        <v>383</v>
      </c>
      <c r="H237" s="57" t="s">
        <v>341</v>
      </c>
      <c r="I237" s="57" t="s">
        <v>462</v>
      </c>
      <c r="J237" s="57" t="s">
        <v>474</v>
      </c>
      <c r="K237" s="67" t="s">
        <v>464</v>
      </c>
      <c r="L237" s="67" t="s">
        <v>705</v>
      </c>
      <c r="M237" s="67" t="s">
        <v>414</v>
      </c>
      <c r="N237" s="67" t="s">
        <v>346</v>
      </c>
      <c r="O237" s="67" t="s">
        <v>415</v>
      </c>
      <c r="P237" s="57" t="s">
        <v>176</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IF(N237="N/A – rule","N/A – RULE",IF(TRIM(U237)="N/A",IF(AT237=0,"INVALID – N/A not permitted for this mandatory check",IF(AND(TRIM(AC237)&lt;&gt;"",TRIM(AE237)&lt;&gt;"",TRIM(T237)&lt;&gt;""),"N/A – JUSTIFIED","INVALID – N/A needs justification, PIC and verifier")),IF(OR(TRIM(U237)="Pass",TRIM(U237)="Pass after CA"),IF(NOT(ISNUMBER(AD237)),"INVALID – completion time missing",IF(TRIM(T237)="","INVALID – PIC missing",IF(TRIM(Z237)="","INVALID – evidence missing",IF(TRIM(AE237)="","INVALID – verifier missing",IF(AND(AQ237=1,TRIM(W237)=""),"INVALID – batch ID missing",IF(AND(AR237=1,OR(NOT(ISNUMBER(X237)),NOT(ISNUMBER(Y237)))),"INVALID – expected/actual qty missing",IF(IF(AND(TRIM(U237)="Pass",ISNUMBER(AF237)),IF(AF237&lt;&gt;0,"INVALID – qty variance: use Fail or Pass after CA",""),"")&amp;IF(AND(TRIM(U237)="Pass",AB237="Open"),"INVALID – corrective action still open: use Fail, then Pass after CA","")&amp;IF(AND(TRIM(U237)="Pass after CA",OR(TRIM(AA237)="",AB237&lt;&gt;"Closed")),"INVALID – corrective action not recorded/closed","")&lt;&gt;"",IF(AND(TRIM(U237)="Pass",ISNUMBER(AF237)),IF(AF237&lt;&gt;0,"INVALID – qty variance: use Fail or Pass after CA",""),"")&amp;IF(AND(TRIM(U237)="Pass",AB237="Open"),"INVALID – corrective action still open: use Fail, then Pass after CA","")&amp;IF(AND(TRIM(U237)="Pass after CA",OR(TRIM(AA237)="",AB237&lt;&gt;"Closed")),"INVALID – corrective action not recorded/closed",""),IF(AND(AS237=1,Documents!$J$11&lt;&gt;"ON FILE"),"INVALID – GLD not on file (Documents sheet)",IF(AND(AS237=2,Documents!$O$11&lt;&gt;"ON FILE"),"INVALID – menu checklist not on file (Documents sheet)",IF(AND(AS237=3,NOT(ISNUMBER(Flights!$AX$11))),"INVALID – enter carrying flight KUL departure (Flights AX)",IF(AG237&gt;AsOfUTC,"INVALID – completion time is in the future",IF(AND(ISNUMBER(S237),AG237&lt;S237),IF(H237="Physical uplift","INVALID – before uplift window (cannot confirm loading)","INVALID – before valid window"),IF(AG237&gt;Flights!$AA$11,"INVALID – completed after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f>
        <v>OPEN</v>
      </c>
      <c r="AI237" s="61" t="n">
        <f aca="false">IF(OR(AH237="N/A – RULE",AH237="N/A – JUSTIFIED"),0,1)</f>
        <v>1</v>
      </c>
      <c r="AJ237" s="61" t="n">
        <f aca="false">IF(LEFT(AH237,8)="COMPLETE",1,0)</f>
        <v>0</v>
      </c>
      <c r="AK237" s="61" t="n">
        <f aca="false">IF(AND(AI237=1,AJ237=0,AsOfUTC&gt;Q237),1,0)</f>
        <v>0</v>
      </c>
      <c r="AL237" s="61" t="n">
        <f aca="false">IF(AND(AI237=1,OR(TRIM(U237)="Fail",AB237="Open",AND(ISNUMBER(AF237),AF237&lt;&gt;0,TRIM(U237)&lt;&gt;"Pass after CA"))),1,0)</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1</v>
      </c>
    </row>
    <row r="238" customFormat="false" ht="41.25" hidden="false" customHeight="true" outlineLevel="0" collapsed="false">
      <c r="A238" s="57" t="s">
        <v>767</v>
      </c>
      <c r="B238" s="57" t="s">
        <v>225</v>
      </c>
      <c r="C238" s="57" t="str">
        <f aca="false">Flights!$F$11</f>
        <v>MH0003</v>
      </c>
      <c r="D238" s="58" t="n">
        <f aca="false">Flights!$D$11</f>
        <v>46304</v>
      </c>
      <c r="E238" s="57" t="str">
        <f aca="false">Flights!$G$11&amp;"-"&amp;Flights!$H$11</f>
        <v>LHR-KUL</v>
      </c>
      <c r="F238" s="57" t="str">
        <f aca="false">Flights!$K$11</f>
        <v>BC</v>
      </c>
      <c r="G238" s="57" t="s">
        <v>383</v>
      </c>
      <c r="H238" s="57" t="s">
        <v>341</v>
      </c>
      <c r="I238" s="57" t="s">
        <v>462</v>
      </c>
      <c r="J238" s="57" t="s">
        <v>478</v>
      </c>
      <c r="K238" s="67" t="s">
        <v>464</v>
      </c>
      <c r="L238" s="67" t="s">
        <v>707</v>
      </c>
      <c r="M238" s="67" t="s">
        <v>414</v>
      </c>
      <c r="N238" s="67" t="s">
        <v>346</v>
      </c>
      <c r="O238" s="67" t="s">
        <v>415</v>
      </c>
      <c r="P238" s="57" t="s">
        <v>176</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IF(N238="N/A – rule","N/A – RULE",IF(TRIM(U238)="N/A",IF(AT238=0,"INVALID – N/A not permitted for this mandatory check",IF(AND(TRIM(AC238)&lt;&gt;"",TRIM(AE238)&lt;&gt;"",TRIM(T238)&lt;&gt;""),"N/A – JUSTIFIED","INVALID – N/A needs justification, PIC and verifier")),IF(OR(TRIM(U238)="Pass",TRIM(U238)="Pass after CA"),IF(NOT(ISNUMBER(AD238)),"INVALID – completion time missing",IF(TRIM(T238)="","INVALID – PIC missing",IF(TRIM(Z238)="","INVALID – evidence missing",IF(TRIM(AE238)="","INVALID – verifier missing",IF(AND(AQ238=1,TRIM(W238)=""),"INVALID – batch ID missing",IF(AND(AR238=1,OR(NOT(ISNUMBER(X238)),NOT(ISNUMBER(Y238)))),"INVALID – expected/actual qty missing",IF(IF(AND(TRIM(U238)="Pass",ISNUMBER(AF238)),IF(AF238&lt;&gt;0,"INVALID – qty variance: use Fail or Pass after CA",""),"")&amp;IF(AND(TRIM(U238)="Pass",AB238="Open"),"INVALID – corrective action still open: use Fail, then Pass after CA","")&amp;IF(AND(TRIM(U238)="Pass after CA",OR(TRIM(AA238)="",AB238&lt;&gt;"Closed")),"INVALID – corrective action not recorded/closed","")&lt;&gt;"",IF(AND(TRIM(U238)="Pass",ISNUMBER(AF238)),IF(AF238&lt;&gt;0,"INVALID – qty variance: use Fail or Pass after CA",""),"")&amp;IF(AND(TRIM(U238)="Pass",AB238="Open"),"INVALID – corrective action still open: use Fail, then Pass after CA","")&amp;IF(AND(TRIM(U238)="Pass after CA",OR(TRIM(AA238)="",AB238&lt;&gt;"Closed")),"INVALID – corrective action not recorded/closed",""),IF(AND(AS238=1,Documents!$J$11&lt;&gt;"ON FILE"),"INVALID – GLD not on file (Documents sheet)",IF(AND(AS238=2,Documents!$O$11&lt;&gt;"ON FILE"),"INVALID – menu checklist not on file (Documents sheet)",IF(AND(AS238=3,NOT(ISNUMBER(Flights!$AX$11))),"INVALID – enter carrying flight KUL departure (Flights AX)",IF(AG238&gt;AsOfUTC,"INVALID – completion time is in the future",IF(AND(ISNUMBER(S238),AG238&lt;S238),IF(H238="Physical uplift","INVALID – before uplift window (cannot confirm loading)","INVALID – before valid window"),IF(AG238&gt;Flights!$AA$11,"INVALID – completed after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f>
        <v>OPEN</v>
      </c>
      <c r="AI238" s="61" t="n">
        <f aca="false">IF(OR(AH238="N/A – RULE",AH238="N/A – JUSTIFIED"),0,1)</f>
        <v>1</v>
      </c>
      <c r="AJ238" s="61" t="n">
        <f aca="false">IF(LEFT(AH238,8)="COMPLETE",1,0)</f>
        <v>0</v>
      </c>
      <c r="AK238" s="61" t="n">
        <f aca="false">IF(AND(AI238=1,AJ238=0,AsOfUTC&gt;Q238),1,0)</f>
        <v>0</v>
      </c>
      <c r="AL238" s="61" t="n">
        <f aca="false">IF(AND(AI238=1,OR(TRIM(U238)="Fail",AB238="Open",AND(ISNUMBER(AF238),AF238&lt;&gt;0,TRIM(U238)&lt;&gt;"Pass after CA"))),1,0)</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1</v>
      </c>
    </row>
    <row r="239" customFormat="false" ht="54" hidden="false" customHeight="true" outlineLevel="0" collapsed="false">
      <c r="A239" s="57" t="s">
        <v>768</v>
      </c>
      <c r="B239" s="57" t="s">
        <v>225</v>
      </c>
      <c r="C239" s="57" t="str">
        <f aca="false">Flights!$F$11</f>
        <v>MH0003</v>
      </c>
      <c r="D239" s="58" t="n">
        <f aca="false">Flights!$D$11</f>
        <v>46304</v>
      </c>
      <c r="E239" s="57" t="str">
        <f aca="false">Flights!$G$11&amp;"-"&amp;Flights!$H$11</f>
        <v>LHR-KUL</v>
      </c>
      <c r="F239" s="57" t="str">
        <f aca="false">Flights!$K$11</f>
        <v>BC</v>
      </c>
      <c r="G239" s="57" t="s">
        <v>383</v>
      </c>
      <c r="H239" s="57" t="s">
        <v>341</v>
      </c>
      <c r="I239" s="57" t="s">
        <v>462</v>
      </c>
      <c r="J239" s="57" t="s">
        <v>481</v>
      </c>
      <c r="K239" s="67" t="s">
        <v>579</v>
      </c>
      <c r="L239" s="67" t="s">
        <v>709</v>
      </c>
      <c r="M239" s="67" t="s">
        <v>414</v>
      </c>
      <c r="N239" s="67" t="s">
        <v>346</v>
      </c>
      <c r="O239" s="67" t="s">
        <v>769</v>
      </c>
      <c r="P239" s="57" t="s">
        <v>176</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IF(N239="N/A – rule","N/A – RULE",IF(TRIM(U239)="N/A",IF(AT239=0,"INVALID – N/A not permitted for this mandatory check",IF(AND(TRIM(AC239)&lt;&gt;"",TRIM(AE239)&lt;&gt;"",TRIM(T239)&lt;&gt;""),"N/A – JUSTIFIED","INVALID – N/A needs justification, PIC and verifier")),IF(OR(TRIM(U239)="Pass",TRIM(U239)="Pass after CA"),IF(NOT(ISNUMBER(AD239)),"INVALID – completion time missing",IF(TRIM(T239)="","INVALID – PIC missing",IF(TRIM(Z239)="","INVALID – evidence missing",IF(TRIM(AE239)="","INVALID – verifier missing",IF(AND(AQ239=1,TRIM(W239)=""),"INVALID – batch ID missing",IF(AND(AR239=1,OR(NOT(ISNUMBER(X239)),NOT(ISNUMBER(Y239)))),"INVALID – expected/actual qty missing",IF(IF(AND(TRIM(U239)="Pass",ISNUMBER(AF239)),IF(AF239&lt;&gt;0,"INVALID – qty variance: use Fail or Pass after CA",""),"")&amp;IF(AND(TRIM(U239)="Pass",AB239="Open"),"INVALID – corrective action still open: use Fail, then Pass after CA","")&amp;IF(AND(TRIM(U239)="Pass after CA",OR(TRIM(AA239)="",AB239&lt;&gt;"Closed")),"INVALID – corrective action not recorded/closed","")&lt;&gt;"",IF(AND(TRIM(U239)="Pass",ISNUMBER(AF239)),IF(AF239&lt;&gt;0,"INVALID – qty variance: use Fail or Pass after CA",""),"")&amp;IF(AND(TRIM(U239)="Pass",AB239="Open"),"INVALID – corrective action still open: use Fail, then Pass after CA","")&amp;IF(AND(TRIM(U239)="Pass after CA",OR(TRIM(AA239)="",AB239&lt;&gt;"Closed")),"INVALID – corrective action not recorded/closed",""),IF(AND(AS239=1,Documents!$J$11&lt;&gt;"ON FILE"),"INVALID – GLD not on file (Documents sheet)",IF(AND(AS239=2,Documents!$O$11&lt;&gt;"ON FILE"),"INVALID – menu checklist not on file (Documents sheet)",IF(AND(AS239=3,NOT(ISNUMBER(Flights!$AX$11))),"INVALID – enter carrying flight KUL departure (Flights AX)",IF(AG239&gt;AsOfUTC,"INVALID – completion time is in the future",IF(AND(ISNUMBER(S239),AG239&lt;S239),IF(H239="Physical uplift","INVALID – before uplift window (cannot confirm loading)","INVALID – before valid window"),IF(AG239&gt;Flights!$AA$11,"INVALID – completed after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f>
        <v>OPEN</v>
      </c>
      <c r="AI239" s="61" t="n">
        <f aca="false">IF(OR(AH239="N/A – RULE",AH239="N/A – JUSTIFIED"),0,1)</f>
        <v>1</v>
      </c>
      <c r="AJ239" s="61" t="n">
        <f aca="false">IF(LEFT(AH239,8)="COMPLETE",1,0)</f>
        <v>0</v>
      </c>
      <c r="AK239" s="61" t="n">
        <f aca="false">IF(AND(AI239=1,AJ239=0,AsOfUTC&gt;Q239),1,0)</f>
        <v>0</v>
      </c>
      <c r="AL239" s="61" t="n">
        <f aca="false">IF(AND(AI239=1,OR(TRIM(U239)="Fail",AB239="Open",AND(ISNUMBER(AF239),AF239&lt;&gt;0,TRIM(U239)&lt;&gt;"Pass after CA"))),1,0)</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1</v>
      </c>
    </row>
    <row r="240" customFormat="false" ht="41.25" hidden="false" customHeight="true" outlineLevel="0" collapsed="false">
      <c r="A240" s="57" t="s">
        <v>770</v>
      </c>
      <c r="B240" s="57" t="s">
        <v>225</v>
      </c>
      <c r="C240" s="57" t="str">
        <f aca="false">Flights!$F$11</f>
        <v>MH0003</v>
      </c>
      <c r="D240" s="58" t="n">
        <f aca="false">Flights!$D$11</f>
        <v>46304</v>
      </c>
      <c r="E240" s="57" t="str">
        <f aca="false">Flights!$G$11&amp;"-"&amp;Flights!$H$11</f>
        <v>LHR-KUL</v>
      </c>
      <c r="F240" s="57" t="str">
        <f aca="false">Flights!$K$11</f>
        <v>BC</v>
      </c>
      <c r="G240" s="57" t="s">
        <v>383</v>
      </c>
      <c r="H240" s="57" t="s">
        <v>341</v>
      </c>
      <c r="I240" s="57" t="s">
        <v>462</v>
      </c>
      <c r="J240" s="57" t="s">
        <v>486</v>
      </c>
      <c r="K240" s="67" t="s">
        <v>464</v>
      </c>
      <c r="L240" s="67" t="s">
        <v>711</v>
      </c>
      <c r="M240" s="67" t="s">
        <v>414</v>
      </c>
      <c r="N240" s="67" t="s">
        <v>346</v>
      </c>
      <c r="O240" s="67" t="s">
        <v>415</v>
      </c>
      <c r="P240" s="57" t="s">
        <v>176</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IF(N240="N/A – rule","N/A – RULE",IF(TRIM(U240)="N/A",IF(AT240=0,"INVALID – N/A not permitted for this mandatory check",IF(AND(TRIM(AC240)&lt;&gt;"",TRIM(AE240)&lt;&gt;"",TRIM(T240)&lt;&gt;""),"N/A – JUSTIFIED","INVALID – N/A needs justification, PIC and verifier")),IF(OR(TRIM(U240)="Pass",TRIM(U240)="Pass after CA"),IF(NOT(ISNUMBER(AD240)),"INVALID – completion time missing",IF(TRIM(T240)="","INVALID – PIC missing",IF(TRIM(Z240)="","INVALID – evidence missing",IF(TRIM(AE240)="","INVALID – verifier missing",IF(AND(AQ240=1,TRIM(W240)=""),"INVALID – batch ID missing",IF(AND(AR240=1,OR(NOT(ISNUMBER(X240)),NOT(ISNUMBER(Y240)))),"INVALID – expected/actual qty missing",IF(IF(AND(TRIM(U240)="Pass",ISNUMBER(AF240)),IF(AF240&lt;&gt;0,"INVALID – qty variance: use Fail or Pass after CA",""),"")&amp;IF(AND(TRIM(U240)="Pass",AB240="Open"),"INVALID – corrective action still open: use Fail, then Pass after CA","")&amp;IF(AND(TRIM(U240)="Pass after CA",OR(TRIM(AA240)="",AB240&lt;&gt;"Closed")),"INVALID – corrective action not recorded/closed","")&lt;&gt;"",IF(AND(TRIM(U240)="Pass",ISNUMBER(AF240)),IF(AF240&lt;&gt;0,"INVALID – qty variance: use Fail or Pass after CA",""),"")&amp;IF(AND(TRIM(U240)="Pass",AB240="Open"),"INVALID – corrective action still open: use Fail, then Pass after CA","")&amp;IF(AND(TRIM(U240)="Pass after CA",OR(TRIM(AA240)="",AB240&lt;&gt;"Closed")),"INVALID – corrective action not recorded/closed",""),IF(AND(AS240=1,Documents!$J$11&lt;&gt;"ON FILE"),"INVALID – GLD not on file (Documents sheet)",IF(AND(AS240=2,Documents!$O$11&lt;&gt;"ON FILE"),"INVALID – menu checklist not on file (Documents sheet)",IF(AND(AS240=3,NOT(ISNUMBER(Flights!$AX$11))),"INVALID – enter carrying flight KUL departure (Flights AX)",IF(AG240&gt;AsOfUTC,"INVALID – completion time is in the future",IF(AND(ISNUMBER(S240),AG240&lt;S240),IF(H240="Physical uplift","INVALID – before uplift window (cannot confirm loading)","INVALID – before valid window"),IF(AG240&gt;Flights!$AA$11,"INVALID – completed after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f>
        <v>OPEN</v>
      </c>
      <c r="AI240" s="61" t="n">
        <f aca="false">IF(OR(AH240="N/A – RULE",AH240="N/A – JUSTIFIED"),0,1)</f>
        <v>1</v>
      </c>
      <c r="AJ240" s="61" t="n">
        <f aca="false">IF(LEFT(AH240,8)="COMPLETE",1,0)</f>
        <v>0</v>
      </c>
      <c r="AK240" s="61" t="n">
        <f aca="false">IF(AND(AI240=1,AJ240=0,AsOfUTC&gt;Q240),1,0)</f>
        <v>0</v>
      </c>
      <c r="AL240" s="61" t="n">
        <f aca="false">IF(AND(AI240=1,OR(TRIM(U240)="Fail",AB240="Open",AND(ISNUMBER(AF240),AF240&lt;&gt;0,TRIM(U240)&lt;&gt;"Pass after CA"))),1,0)</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1</v>
      </c>
    </row>
    <row r="241" customFormat="false" ht="41.25" hidden="false" customHeight="true" outlineLevel="0" collapsed="false">
      <c r="A241" s="57" t="s">
        <v>771</v>
      </c>
      <c r="B241" s="57" t="s">
        <v>225</v>
      </c>
      <c r="C241" s="57" t="str">
        <f aca="false">Flights!$F$11</f>
        <v>MH0003</v>
      </c>
      <c r="D241" s="58" t="n">
        <f aca="false">Flights!$D$11</f>
        <v>46304</v>
      </c>
      <c r="E241" s="57" t="str">
        <f aca="false">Flights!$G$11&amp;"-"&amp;Flights!$H$11</f>
        <v>LHR-KUL</v>
      </c>
      <c r="F241" s="57" t="str">
        <f aca="false">Flights!$K$11</f>
        <v>BC</v>
      </c>
      <c r="G241" s="57" t="s">
        <v>383</v>
      </c>
      <c r="H241" s="57" t="s">
        <v>341</v>
      </c>
      <c r="I241" s="57" t="s">
        <v>410</v>
      </c>
      <c r="J241" s="57" t="s">
        <v>489</v>
      </c>
      <c r="K241" s="67" t="s">
        <v>412</v>
      </c>
      <c r="L241" s="67" t="s">
        <v>713</v>
      </c>
      <c r="M241" s="67" t="s">
        <v>414</v>
      </c>
      <c r="N241" s="67" t="s">
        <v>346</v>
      </c>
      <c r="O241" s="67" t="s">
        <v>415</v>
      </c>
      <c r="P241" s="57" t="s">
        <v>176</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IF(N241="N/A – rule","N/A – RULE",IF(TRIM(U241)="N/A",IF(AT241=0,"INVALID – N/A not permitted for this mandatory check",IF(AND(TRIM(AC241)&lt;&gt;"",TRIM(AE241)&lt;&gt;"",TRIM(T241)&lt;&gt;""),"N/A – JUSTIFIED","INVALID – N/A needs justification, PIC and verifier")),IF(OR(TRIM(U241)="Pass",TRIM(U241)="Pass after CA"),IF(NOT(ISNUMBER(AD241)),"INVALID – completion time missing",IF(TRIM(T241)="","INVALID – PIC missing",IF(TRIM(Z241)="","INVALID – evidence missing",IF(TRIM(AE241)="","INVALID – verifier missing",IF(AND(AQ241=1,TRIM(W241)=""),"INVALID – batch ID missing",IF(AND(AR241=1,OR(NOT(ISNUMBER(X241)),NOT(ISNUMBER(Y241)))),"INVALID – expected/actual qty missing",IF(IF(AND(TRIM(U241)="Pass",ISNUMBER(AF241)),IF(AF241&lt;&gt;0,"INVALID – qty variance: use Fail or Pass after CA",""),"")&amp;IF(AND(TRIM(U241)="Pass",AB241="Open"),"INVALID – corrective action still open: use Fail, then Pass after CA","")&amp;IF(AND(TRIM(U241)="Pass after CA",OR(TRIM(AA241)="",AB241&lt;&gt;"Closed")),"INVALID – corrective action not recorded/closed","")&lt;&gt;"",IF(AND(TRIM(U241)="Pass",ISNUMBER(AF241)),IF(AF241&lt;&gt;0,"INVALID – qty variance: use Fail or Pass after CA",""),"")&amp;IF(AND(TRIM(U241)="Pass",AB241="Open"),"INVALID – corrective action still open: use Fail, then Pass after CA","")&amp;IF(AND(TRIM(U241)="Pass after CA",OR(TRIM(AA241)="",AB241&lt;&gt;"Closed")),"INVALID – corrective action not recorded/closed",""),IF(AND(AS241=1,Documents!$J$11&lt;&gt;"ON FILE"),"INVALID – GLD not on file (Documents sheet)",IF(AND(AS241=2,Documents!$O$11&lt;&gt;"ON FILE"),"INVALID – menu checklist not on file (Documents sheet)",IF(AND(AS241=3,NOT(ISNUMBER(Flights!$AX$11))),"INVALID – enter carrying flight KUL departure (Flights AX)",IF(AG241&gt;AsOfUTC,"INVALID – completion time is in the future",IF(AND(ISNUMBER(S241),AG241&lt;S241),IF(H241="Physical uplift","INVALID – before uplift window (cannot confirm loading)","INVALID – before valid window"),IF(AG241&gt;Flights!$AA$11,"INVALID – completed after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f>
        <v>OPEN</v>
      </c>
      <c r="AI241" s="61" t="n">
        <f aca="false">IF(OR(AH241="N/A – RULE",AH241="N/A – JUSTIFIED"),0,1)</f>
        <v>1</v>
      </c>
      <c r="AJ241" s="61" t="n">
        <f aca="false">IF(LEFT(AH241,8)="COMPLETE",1,0)</f>
        <v>0</v>
      </c>
      <c r="AK241" s="61" t="n">
        <f aca="false">IF(AND(AI241=1,AJ241=0,AsOfUTC&gt;Q241),1,0)</f>
        <v>0</v>
      </c>
      <c r="AL241" s="61" t="n">
        <f aca="false">IF(AND(AI241=1,OR(TRIM(U241)="Fail",AB241="Open",AND(ISNUMBER(AF241),AF241&lt;&gt;0,TRIM(U241)&lt;&gt;"Pass after CA"))),1,0)</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1</v>
      </c>
    </row>
    <row r="242" customFormat="false" ht="41.25" hidden="false" customHeight="true" outlineLevel="0" collapsed="false">
      <c r="A242" s="57" t="s">
        <v>772</v>
      </c>
      <c r="B242" s="57" t="s">
        <v>225</v>
      </c>
      <c r="C242" s="57" t="str">
        <f aca="false">Flights!$F$11</f>
        <v>MH0003</v>
      </c>
      <c r="D242" s="58" t="n">
        <f aca="false">Flights!$D$11</f>
        <v>46304</v>
      </c>
      <c r="E242" s="57" t="str">
        <f aca="false">Flights!$G$11&amp;"-"&amp;Flights!$H$11</f>
        <v>LHR-KUL</v>
      </c>
      <c r="F242" s="57" t="str">
        <f aca="false">Flights!$K$11</f>
        <v>BC</v>
      </c>
      <c r="G242" s="57" t="s">
        <v>383</v>
      </c>
      <c r="H242" s="57" t="s">
        <v>341</v>
      </c>
      <c r="I242" s="57" t="s">
        <v>410</v>
      </c>
      <c r="J242" s="57" t="s">
        <v>586</v>
      </c>
      <c r="K242" s="67" t="s">
        <v>412</v>
      </c>
      <c r="L242" s="67" t="s">
        <v>715</v>
      </c>
      <c r="M242" s="67" t="s">
        <v>414</v>
      </c>
      <c r="N242" s="67" t="s">
        <v>346</v>
      </c>
      <c r="O242" s="67" t="s">
        <v>415</v>
      </c>
      <c r="P242" s="57" t="s">
        <v>176</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IF(N242="N/A – rule","N/A – RULE",IF(TRIM(U242)="N/A",IF(AT242=0,"INVALID – N/A not permitted for this mandatory check",IF(AND(TRIM(AC242)&lt;&gt;"",TRIM(AE242)&lt;&gt;"",TRIM(T242)&lt;&gt;""),"N/A – JUSTIFIED","INVALID – N/A needs justification, PIC and verifier")),IF(OR(TRIM(U242)="Pass",TRIM(U242)="Pass after CA"),IF(NOT(ISNUMBER(AD242)),"INVALID – completion time missing",IF(TRIM(T242)="","INVALID – PIC missing",IF(TRIM(Z242)="","INVALID – evidence missing",IF(TRIM(AE242)="","INVALID – verifier missing",IF(AND(AQ242=1,TRIM(W242)=""),"INVALID – batch ID missing",IF(AND(AR242=1,OR(NOT(ISNUMBER(X242)),NOT(ISNUMBER(Y242)))),"INVALID – expected/actual qty missing",IF(IF(AND(TRIM(U242)="Pass",ISNUMBER(AF242)),IF(AF242&lt;&gt;0,"INVALID – qty variance: use Fail or Pass after CA",""),"")&amp;IF(AND(TRIM(U242)="Pass",AB242="Open"),"INVALID – corrective action still open: use Fail, then Pass after CA","")&amp;IF(AND(TRIM(U242)="Pass after CA",OR(TRIM(AA242)="",AB242&lt;&gt;"Closed")),"INVALID – corrective action not recorded/closed","")&lt;&gt;"",IF(AND(TRIM(U242)="Pass",ISNUMBER(AF242)),IF(AF242&lt;&gt;0,"INVALID – qty variance: use Fail or Pass after CA",""),"")&amp;IF(AND(TRIM(U242)="Pass",AB242="Open"),"INVALID – corrective action still open: use Fail, then Pass after CA","")&amp;IF(AND(TRIM(U242)="Pass after CA",OR(TRIM(AA242)="",AB242&lt;&gt;"Closed")),"INVALID – corrective action not recorded/closed",""),IF(AND(AS242=1,Documents!$J$11&lt;&gt;"ON FILE"),"INVALID – GLD not on file (Documents sheet)",IF(AND(AS242=2,Documents!$O$11&lt;&gt;"ON FILE"),"INVALID – menu checklist not on file (Documents sheet)",IF(AND(AS242=3,NOT(ISNUMBER(Flights!$AX$11))),"INVALID – enter carrying flight KUL departure (Flights AX)",IF(AG242&gt;AsOfUTC,"INVALID – completion time is in the future",IF(AND(ISNUMBER(S242),AG242&lt;S242),IF(H242="Physical uplift","INVALID – before uplift window (cannot confirm loading)","INVALID – before valid window"),IF(AG242&gt;Flights!$AA$11,"INVALID – completed after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f>
        <v>OPEN</v>
      </c>
      <c r="AI242" s="61" t="n">
        <f aca="false">IF(OR(AH242="N/A – RULE",AH242="N/A – JUSTIFIED"),0,1)</f>
        <v>1</v>
      </c>
      <c r="AJ242" s="61" t="n">
        <f aca="false">IF(LEFT(AH242,8)="COMPLETE",1,0)</f>
        <v>0</v>
      </c>
      <c r="AK242" s="61" t="n">
        <f aca="false">IF(AND(AI242=1,AJ242=0,AsOfUTC&gt;Q242),1,0)</f>
        <v>0</v>
      </c>
      <c r="AL242" s="61" t="n">
        <f aca="false">IF(AND(AI242=1,OR(TRIM(U242)="Fail",AB242="Open",AND(ISNUMBER(AF242),AF242&lt;&gt;0,TRIM(U242)&lt;&gt;"Pass after CA"))),1,0)</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1</v>
      </c>
    </row>
    <row r="243" customFormat="false" ht="41.25" hidden="false" customHeight="true" outlineLevel="0" collapsed="false">
      <c r="A243" s="57" t="s">
        <v>773</v>
      </c>
      <c r="B243" s="57" t="s">
        <v>225</v>
      </c>
      <c r="C243" s="57" t="str">
        <f aca="false">Flights!$F$11</f>
        <v>MH0003</v>
      </c>
      <c r="D243" s="58" t="n">
        <f aca="false">Flights!$D$11</f>
        <v>46304</v>
      </c>
      <c r="E243" s="57" t="str">
        <f aca="false">Flights!$G$11&amp;"-"&amp;Flights!$H$11</f>
        <v>LHR-KUL</v>
      </c>
      <c r="F243" s="57" t="str">
        <f aca="false">Flights!$K$11</f>
        <v>BC</v>
      </c>
      <c r="G243" s="57" t="s">
        <v>383</v>
      </c>
      <c r="H243" s="57" t="s">
        <v>341</v>
      </c>
      <c r="I243" s="57" t="s">
        <v>410</v>
      </c>
      <c r="J243" s="57" t="s">
        <v>589</v>
      </c>
      <c r="K243" s="67" t="s">
        <v>412</v>
      </c>
      <c r="L243" s="67" t="s">
        <v>717</v>
      </c>
      <c r="M243" s="67" t="s">
        <v>414</v>
      </c>
      <c r="N243" s="67" t="s">
        <v>346</v>
      </c>
      <c r="O243" s="67" t="s">
        <v>415</v>
      </c>
      <c r="P243" s="57" t="s">
        <v>176</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IF(N243="N/A – rule","N/A – RULE",IF(TRIM(U243)="N/A",IF(AT243=0,"INVALID – N/A not permitted for this mandatory check",IF(AND(TRIM(AC243)&lt;&gt;"",TRIM(AE243)&lt;&gt;"",TRIM(T243)&lt;&gt;""),"N/A – JUSTIFIED","INVALID – N/A needs justification, PIC and verifier")),IF(OR(TRIM(U243)="Pass",TRIM(U243)="Pass after CA"),IF(NOT(ISNUMBER(AD243)),"INVALID – completion time missing",IF(TRIM(T243)="","INVALID – PIC missing",IF(TRIM(Z243)="","INVALID – evidence missing",IF(TRIM(AE243)="","INVALID – verifier missing",IF(AND(AQ243=1,TRIM(W243)=""),"INVALID – batch ID missing",IF(AND(AR243=1,OR(NOT(ISNUMBER(X243)),NOT(ISNUMBER(Y243)))),"INVALID – expected/actual qty missing",IF(IF(AND(TRIM(U243)="Pass",ISNUMBER(AF243)),IF(AF243&lt;&gt;0,"INVALID – qty variance: use Fail or Pass after CA",""),"")&amp;IF(AND(TRIM(U243)="Pass",AB243="Open"),"INVALID – corrective action still open: use Fail, then Pass after CA","")&amp;IF(AND(TRIM(U243)="Pass after CA",OR(TRIM(AA243)="",AB243&lt;&gt;"Closed")),"INVALID – corrective action not recorded/closed","")&lt;&gt;"",IF(AND(TRIM(U243)="Pass",ISNUMBER(AF243)),IF(AF243&lt;&gt;0,"INVALID – qty variance: use Fail or Pass after CA",""),"")&amp;IF(AND(TRIM(U243)="Pass",AB243="Open"),"INVALID – corrective action still open: use Fail, then Pass after CA","")&amp;IF(AND(TRIM(U243)="Pass after CA",OR(TRIM(AA243)="",AB243&lt;&gt;"Closed")),"INVALID – corrective action not recorded/closed",""),IF(AND(AS243=1,Documents!$J$11&lt;&gt;"ON FILE"),"INVALID – GLD not on file (Documents sheet)",IF(AND(AS243=2,Documents!$O$11&lt;&gt;"ON FILE"),"INVALID – menu checklist not on file (Documents sheet)",IF(AND(AS243=3,NOT(ISNUMBER(Flights!$AX$11))),"INVALID – enter carrying flight KUL departure (Flights AX)",IF(AG243&gt;AsOfUTC,"INVALID – completion time is in the future",IF(AND(ISNUMBER(S243),AG243&lt;S243),IF(H243="Physical uplift","INVALID – before uplift window (cannot confirm loading)","INVALID – before valid window"),IF(AG243&gt;Flights!$AA$11,"INVALID – completed after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f>
        <v>OPEN</v>
      </c>
      <c r="AI243" s="61" t="n">
        <f aca="false">IF(OR(AH243="N/A – RULE",AH243="N/A – JUSTIFIED"),0,1)</f>
        <v>1</v>
      </c>
      <c r="AJ243" s="61" t="n">
        <f aca="false">IF(LEFT(AH243,8)="COMPLETE",1,0)</f>
        <v>0</v>
      </c>
      <c r="AK243" s="61" t="n">
        <f aca="false">IF(AND(AI243=1,AJ243=0,AsOfUTC&gt;Q243),1,0)</f>
        <v>0</v>
      </c>
      <c r="AL243" s="61" t="n">
        <f aca="false">IF(AND(AI243=1,OR(TRIM(U243)="Fail",AB243="Open",AND(ISNUMBER(AF243),AF243&lt;&gt;0,TRIM(U243)&lt;&gt;"Pass after CA"))),1,0)</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1</v>
      </c>
    </row>
    <row r="244" customFormat="false" ht="54" hidden="false" customHeight="true" outlineLevel="0" collapsed="false">
      <c r="A244" s="57" t="s">
        <v>774</v>
      </c>
      <c r="B244" s="57" t="s">
        <v>225</v>
      </c>
      <c r="C244" s="57" t="str">
        <f aca="false">Flights!$F$11</f>
        <v>MH0003</v>
      </c>
      <c r="D244" s="58" t="n">
        <f aca="false">Flights!$D$11</f>
        <v>46304</v>
      </c>
      <c r="E244" s="57" t="str">
        <f aca="false">Flights!$G$11&amp;"-"&amp;Flights!$H$11</f>
        <v>LHR-KUL</v>
      </c>
      <c r="F244" s="57" t="str">
        <f aca="false">Flights!$K$11</f>
        <v>BC</v>
      </c>
      <c r="G244" s="57" t="s">
        <v>383</v>
      </c>
      <c r="H244" s="57" t="s">
        <v>341</v>
      </c>
      <c r="I244" s="57" t="s">
        <v>592</v>
      </c>
      <c r="J244" s="57" t="s">
        <v>593</v>
      </c>
      <c r="K244" s="67" t="s">
        <v>464</v>
      </c>
      <c r="L244" s="67" t="s">
        <v>719</v>
      </c>
      <c r="M244" s="67" t="s">
        <v>177</v>
      </c>
      <c r="N244" s="67" t="s">
        <v>346</v>
      </c>
      <c r="O244" s="67" t="s">
        <v>775</v>
      </c>
      <c r="P244" s="57" t="s">
        <v>177</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IF(N244="N/A – rule","N/A – RULE",IF(TRIM(U244)="N/A",IF(AT244=0,"INVALID – N/A not permitted for this mandatory check",IF(AND(TRIM(AC244)&lt;&gt;"",TRIM(AE244)&lt;&gt;"",TRIM(T244)&lt;&gt;""),"N/A – JUSTIFIED","INVALID – N/A needs justification, PIC and verifier")),IF(OR(TRIM(U244)="Pass",TRIM(U244)="Pass after CA"),IF(NOT(ISNUMBER(AD244)),"INVALID – completion time missing",IF(TRIM(T244)="","INVALID – PIC missing",IF(TRIM(Z244)="","INVALID – evidence missing",IF(TRIM(AE244)="","INVALID – verifier missing",IF(AND(AQ244=1,TRIM(W244)=""),"INVALID – batch ID missing",IF(AND(AR244=1,OR(NOT(ISNUMBER(X244)),NOT(ISNUMBER(Y244)))),"INVALID – expected/actual qty missing",IF(IF(AND(TRIM(U244)="Pass",ISNUMBER(AF244)),IF(AF244&lt;&gt;0,"INVALID – qty variance: use Fail or Pass after CA",""),"")&amp;IF(AND(TRIM(U244)="Pass",AB244="Open"),"INVALID – corrective action still open: use Fail, then Pass after CA","")&amp;IF(AND(TRIM(U244)="Pass after CA",OR(TRIM(AA244)="",AB244&lt;&gt;"Closed")),"INVALID – corrective action not recorded/closed","")&lt;&gt;"",IF(AND(TRIM(U244)="Pass",ISNUMBER(AF244)),IF(AF244&lt;&gt;0,"INVALID – qty variance: use Fail or Pass after CA",""),"")&amp;IF(AND(TRIM(U244)="Pass",AB244="Open"),"INVALID – corrective action still open: use Fail, then Pass after CA","")&amp;IF(AND(TRIM(U244)="Pass after CA",OR(TRIM(AA244)="",AB244&lt;&gt;"Closed")),"INVALID – corrective action not recorded/closed",""),IF(AND(AS244=1,Documents!$J$11&lt;&gt;"ON FILE"),"INVALID – GLD not on file (Documents sheet)",IF(AND(AS244=2,Documents!$O$11&lt;&gt;"ON FILE"),"INVALID – menu checklist not on file (Documents sheet)",IF(AND(AS244=3,NOT(ISNUMBER(Flights!$AX$11))),"INVALID – enter carrying flight KUL departure (Flights AX)",IF(AG244&gt;AsOfUTC,"INVALID – completion time is in the future",IF(AND(ISNUMBER(S244),AG244&lt;S244),IF(H244="Physical uplift","INVALID – before uplift window (cannot confirm loading)","INVALID – before valid window"),IF(AG244&gt;Flights!$AA$11,"INVALID – completed after departure (cannot establish readiness)",IF(AND(H244="Physical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f>
        <v>OPEN</v>
      </c>
      <c r="AI244" s="61" t="n">
        <f aca="false">IF(OR(AH244="N/A – RULE",AH244="N/A – JUSTIFIED"),0,1)</f>
        <v>1</v>
      </c>
      <c r="AJ244" s="61" t="n">
        <f aca="false">IF(LEFT(AH244,8)="COMPLETE",1,0)</f>
        <v>0</v>
      </c>
      <c r="AK244" s="61" t="n">
        <f aca="false">IF(AND(AI244=1,AJ244=0,AsOfUTC&gt;Q244),1,0)</f>
        <v>0</v>
      </c>
      <c r="AL244" s="61" t="n">
        <f aca="false">IF(AND(AI244=1,OR(TRIM(U244)="Fail",AB244="Open",AND(ISNUMBER(AF244),AF244&lt;&gt;0,TRIM(U244)&lt;&gt;"Pass after CA"))),1,0)</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1</v>
      </c>
    </row>
    <row r="245" customFormat="false" ht="39.75" hidden="false" customHeight="true" outlineLevel="0" collapsed="false">
      <c r="A245" s="57" t="s">
        <v>776</v>
      </c>
      <c r="B245" s="57" t="s">
        <v>225</v>
      </c>
      <c r="C245" s="57" t="str">
        <f aca="false">Flights!$F$11</f>
        <v>MH0003</v>
      </c>
      <c r="D245" s="58" t="n">
        <f aca="false">Flights!$D$11</f>
        <v>46304</v>
      </c>
      <c r="E245" s="57" t="str">
        <f aca="false">Flights!$G$11&amp;"-"&amp;Flights!$H$11</f>
        <v>LHR-KUL</v>
      </c>
      <c r="F245" s="57" t="str">
        <f aca="false">Flights!$K$11</f>
        <v>BC</v>
      </c>
      <c r="G245" s="57" t="s">
        <v>422</v>
      </c>
      <c r="H245" s="57" t="s">
        <v>423</v>
      </c>
      <c r="I245" s="57" t="s">
        <v>342</v>
      </c>
      <c r="J245" s="57" t="s">
        <v>424</v>
      </c>
      <c r="K245" s="67" t="s">
        <v>389</v>
      </c>
      <c r="L245" s="67" t="s">
        <v>425</v>
      </c>
      <c r="M245" s="67"/>
      <c r="N245" s="67" t="s">
        <v>346</v>
      </c>
      <c r="O245" s="67" t="s">
        <v>426</v>
      </c>
      <c r="P245" s="57" t="s">
        <v>176</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Q245-UpliftWindowH/24</f>
        <v>46304.1666666667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IF(N245="N/A – rule","N/A – RULE",IF(TRIM(U245)="N/A",IF(AT245=0,"INVALID – N/A not permitted for this mandatory check",IF(AND(TRIM(AC245)&lt;&gt;"",TRIM(AE245)&lt;&gt;"",TRIM(T245)&lt;&gt;""),"N/A – JUSTIFIED","INVALID – N/A needs justification, PIC and verifier")),IF(OR(TRIM(U245)="Pass",TRIM(U245)="Pass after CA"),IF(NOT(ISNUMBER(AD245)),"INVALID – completion time missing",IF(TRIM(T245)="","INVALID – PIC missing",IF(TRIM(Z245)="","INVALID – evidence missing",IF(TRIM(AE245)="","INVALID – verifier missing",IF(AND(AQ245=1,TRIM(W245)=""),"INVALID – batch ID missing",IF(AND(AR245=1,OR(NOT(ISNUMBER(X245)),NOT(ISNUMBER(Y245)))),"INVALID – expected/actual qty missing",IF(IF(AND(TRIM(U245)="Pass",ISNUMBER(AF245)),IF(AF245&lt;&gt;0,"INVALID – qty variance: use Fail or Pass after CA",""),"")&amp;IF(AND(TRIM(U245)="Pass",AB245="Open"),"INVALID – corrective action still open: use Fail, then Pass after CA","")&amp;IF(AND(TRIM(U245)="Pass after CA",OR(TRIM(AA245)="",AB245&lt;&gt;"Closed")),"INVALID – corrective action not recorded/closed","")&lt;&gt;"",IF(AND(TRIM(U245)="Pass",ISNUMBER(AF245)),IF(AF245&lt;&gt;0,"INVALID – qty variance: use Fail or Pass after CA",""),"")&amp;IF(AND(TRIM(U245)="Pass",AB245="Open"),"INVALID – corrective action still open: use Fail, then Pass after CA","")&amp;IF(AND(TRIM(U245)="Pass after CA",OR(TRIM(AA245)="",AB245&lt;&gt;"Closed")),"INVALID – corrective action not recorded/closed",""),IF(AND(AS245=1,Documents!$J$11&lt;&gt;"ON FILE"),"INVALID – GLD not on file (Documents sheet)",IF(AND(AS245=2,Documents!$O$11&lt;&gt;"ON FILE"),"INVALID – menu checklist not on file (Documents sheet)",IF(AND(AS245=3,NOT(ISNUMBER(Flights!$AX$11))),"INVALID – enter carrying flight KUL departure (Flights AX)",IF(AG245&gt;AsOfUTC,"INVALID – completion time is in the future",IF(AND(ISNUMBER(S245),AG245&lt;S245),IF(H245="Physical uplift","INVALID – before uplift window (cannot confirm loading)","INVALID – before valid window"),IF(AG245&gt;Flights!$AA$11,"INVALID – completed after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f>
        <v>OPEN</v>
      </c>
      <c r="AI245" s="61" t="n">
        <f aca="false">IF(OR(AH245="N/A – RULE",AH245="N/A – JUSTIFIED"),0,1)</f>
        <v>1</v>
      </c>
      <c r="AJ245" s="61" t="n">
        <f aca="false">IF(LEFT(AH245,8)="COMPLETE",1,0)</f>
        <v>0</v>
      </c>
      <c r="AK245" s="61" t="n">
        <f aca="false">IF(AND(AI245=1,AJ245=0,AsOfUTC&gt;Q245),1,0)</f>
        <v>0</v>
      </c>
      <c r="AL245" s="61" t="n">
        <f aca="false">IF(AND(AI245=1,OR(TRIM(U245)="Fail",AB245="Open",AND(ISNUMBER(AF245),AF245&lt;&gt;0,TRIM(U245)&lt;&gt;"Pass after CA"))),1,0)</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row>
    <row r="246" customFormat="false" ht="39.75" hidden="false" customHeight="true" outlineLevel="0" collapsed="false">
      <c r="A246" s="57" t="s">
        <v>777</v>
      </c>
      <c r="B246" s="57" t="s">
        <v>225</v>
      </c>
      <c r="C246" s="57" t="str">
        <f aca="false">Flights!$F$11</f>
        <v>MH0003</v>
      </c>
      <c r="D246" s="58" t="n">
        <f aca="false">Flights!$D$11</f>
        <v>46304</v>
      </c>
      <c r="E246" s="57" t="str">
        <f aca="false">Flights!$G$11&amp;"-"&amp;Flights!$H$11</f>
        <v>LHR-KUL</v>
      </c>
      <c r="F246" s="57" t="str">
        <f aca="false">Flights!$K$11</f>
        <v>BC</v>
      </c>
      <c r="G246" s="57" t="s">
        <v>422</v>
      </c>
      <c r="H246" s="57" t="s">
        <v>423</v>
      </c>
      <c r="I246" s="57" t="s">
        <v>391</v>
      </c>
      <c r="J246" s="57" t="s">
        <v>428</v>
      </c>
      <c r="K246" s="67" t="s">
        <v>389</v>
      </c>
      <c r="L246" s="67" t="s">
        <v>425</v>
      </c>
      <c r="M246" s="67"/>
      <c r="N246" s="67" t="s">
        <v>346</v>
      </c>
      <c r="O246" s="67" t="s">
        <v>426</v>
      </c>
      <c r="P246" s="57" t="s">
        <v>176</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Q246-UpliftWindowH/24</f>
        <v>46304.1666666667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IF(N246="N/A – rule","N/A – RULE",IF(TRIM(U246)="N/A",IF(AT246=0,"INVALID – N/A not permitted for this mandatory check",IF(AND(TRIM(AC246)&lt;&gt;"",TRIM(AE246)&lt;&gt;"",TRIM(T246)&lt;&gt;""),"N/A – JUSTIFIED","INVALID – N/A needs justification, PIC and verifier")),IF(OR(TRIM(U246)="Pass",TRIM(U246)="Pass after CA"),IF(NOT(ISNUMBER(AD246)),"INVALID – completion time missing",IF(TRIM(T246)="","INVALID – PIC missing",IF(TRIM(Z246)="","INVALID – evidence missing",IF(TRIM(AE246)="","INVALID – verifier missing",IF(AND(AQ246=1,TRIM(W246)=""),"INVALID – batch ID missing",IF(AND(AR246=1,OR(NOT(ISNUMBER(X246)),NOT(ISNUMBER(Y246)))),"INVALID – expected/actual qty missing",IF(IF(AND(TRIM(U246)="Pass",ISNUMBER(AF246)),IF(AF246&lt;&gt;0,"INVALID – qty variance: use Fail or Pass after CA",""),"")&amp;IF(AND(TRIM(U246)="Pass",AB246="Open"),"INVALID – corrective action still open: use Fail, then Pass after CA","")&amp;IF(AND(TRIM(U246)="Pass after CA",OR(TRIM(AA246)="",AB246&lt;&gt;"Closed")),"INVALID – corrective action not recorded/closed","")&lt;&gt;"",IF(AND(TRIM(U246)="Pass",ISNUMBER(AF246)),IF(AF246&lt;&gt;0,"INVALID – qty variance: use Fail or Pass after CA",""),"")&amp;IF(AND(TRIM(U246)="Pass",AB246="Open"),"INVALID – corrective action still open: use Fail, then Pass after CA","")&amp;IF(AND(TRIM(U246)="Pass after CA",OR(TRIM(AA246)="",AB246&lt;&gt;"Closed")),"INVALID – corrective action not recorded/closed",""),IF(AND(AS246=1,Documents!$J$11&lt;&gt;"ON FILE"),"INVALID – GLD not on file (Documents sheet)",IF(AND(AS246=2,Documents!$O$11&lt;&gt;"ON FILE"),"INVALID – menu checklist not on file (Documents sheet)",IF(AND(AS246=3,NOT(ISNUMBER(Flights!$AX$11))),"INVALID – enter carrying flight KUL departure (Flights AX)",IF(AG246&gt;AsOfUTC,"INVALID – completion time is in the future",IF(AND(ISNUMBER(S246),AG246&lt;S246),IF(H246="Physical uplift","INVALID – before uplift window (cannot confirm loading)","INVALID – before valid window"),IF(AG246&gt;Flights!$AA$11,"INVALID – completed after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f>
        <v>OPEN</v>
      </c>
      <c r="AI246" s="61" t="n">
        <f aca="false">IF(OR(AH246="N/A – RULE",AH246="N/A – JUSTIFIED"),0,1)</f>
        <v>1</v>
      </c>
      <c r="AJ246" s="61" t="n">
        <f aca="false">IF(LEFT(AH246,8)="COMPLETE",1,0)</f>
        <v>0</v>
      </c>
      <c r="AK246" s="61" t="n">
        <f aca="false">IF(AND(AI246=1,AJ246=0,AsOfUTC&gt;Q246),1,0)</f>
        <v>0</v>
      </c>
      <c r="AL246" s="61" t="n">
        <f aca="false">IF(AND(AI246=1,OR(TRIM(U246)="Fail",AB246="Open",AND(ISNUMBER(AF246),AF246&lt;&gt;0,TRIM(U246)&lt;&gt;"Pass after CA"))),1,0)</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row>
    <row r="247" customFormat="false" ht="41.25" hidden="false" customHeight="true" outlineLevel="0" collapsed="false">
      <c r="A247" s="57" t="s">
        <v>778</v>
      </c>
      <c r="B247" s="57" t="s">
        <v>225</v>
      </c>
      <c r="C247" s="57" t="str">
        <f aca="false">Flights!$F$11</f>
        <v>MH0003</v>
      </c>
      <c r="D247" s="58" t="n">
        <f aca="false">Flights!$D$11</f>
        <v>46304</v>
      </c>
      <c r="E247" s="57" t="str">
        <f aca="false">Flights!$G$11&amp;"-"&amp;Flights!$H$11</f>
        <v>LHR-KUL</v>
      </c>
      <c r="F247" s="57" t="str">
        <f aca="false">Flights!$K$11</f>
        <v>BC</v>
      </c>
      <c r="G247" s="57" t="s">
        <v>422</v>
      </c>
      <c r="H247" s="57" t="s">
        <v>423</v>
      </c>
      <c r="I247" s="57" t="s">
        <v>374</v>
      </c>
      <c r="J247" s="57" t="s">
        <v>779</v>
      </c>
      <c r="K247" s="67" t="s">
        <v>780</v>
      </c>
      <c r="L247" s="67" t="s">
        <v>662</v>
      </c>
      <c r="M247" s="67"/>
      <c r="N247" s="67" t="s">
        <v>346</v>
      </c>
      <c r="O247" s="67" t="s">
        <v>663</v>
      </c>
      <c r="P247" s="57" t="s">
        <v>177</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IF(N247="N/A – rule","N/A – RULE",IF(TRIM(U247)="N/A",IF(AT247=0,"INVALID – N/A not permitted for this mandatory check",IF(AND(TRIM(AC247)&lt;&gt;"",TRIM(AE247)&lt;&gt;"",TRIM(T247)&lt;&gt;""),"N/A – JUSTIFIED","INVALID – N/A needs justification, PIC and verifier")),IF(OR(TRIM(U247)="Pass",TRIM(U247)="Pass after CA"),IF(NOT(ISNUMBER(AD247)),"INVALID – completion time missing",IF(TRIM(T247)="","INVALID – PIC missing",IF(TRIM(Z247)="","INVALID – evidence missing",IF(TRIM(AE247)="","INVALID – verifier missing",IF(AND(AQ247=1,TRIM(W247)=""),"INVALID – batch ID missing",IF(AND(AR247=1,OR(NOT(ISNUMBER(X247)),NOT(ISNUMBER(Y247)))),"INVALID – expected/actual qty missing",IF(IF(AND(TRIM(U247)="Pass",ISNUMBER(AF247)),IF(AF247&lt;&gt;0,"INVALID – qty variance: use Fail or Pass after CA",""),"")&amp;IF(AND(TRIM(U247)="Pass",AB247="Open"),"INVALID – corrective action still open: use Fail, then Pass after CA","")&amp;IF(AND(TRIM(U247)="Pass after CA",OR(TRIM(AA247)="",AB247&lt;&gt;"Closed")),"INVALID – corrective action not recorded/closed","")&lt;&gt;"",IF(AND(TRIM(U247)="Pass",ISNUMBER(AF247)),IF(AF247&lt;&gt;0,"INVALID – qty variance: use Fail or Pass after CA",""),"")&amp;IF(AND(TRIM(U247)="Pass",AB247="Open"),"INVALID – corrective action still open: use Fail, then Pass after CA","")&amp;IF(AND(TRIM(U247)="Pass after CA",OR(TRIM(AA247)="",AB247&lt;&gt;"Closed")),"INVALID – corrective action not recorded/closed",""),IF(AND(AS247=1,Documents!$J$11&lt;&gt;"ON FILE"),"INVALID – GLD not on file (Documents sheet)",IF(AND(AS247=2,Documents!$O$11&lt;&gt;"ON FILE"),"INVALID – menu checklist not on file (Documents sheet)",IF(AND(AS247=3,NOT(ISNUMBER(Flights!$AX$11))),"INVALID – enter carrying flight KUL departure (Flights AX)",IF(AG247&gt;AsOfUTC,"INVALID – completion time is in the future",IF(AND(ISNUMBER(S247),AG247&lt;S247),IF(H247="Physical uplift","INVALID – before uplift window (cannot confirm loading)","INVALID – before valid window"),IF(AG247&gt;Flights!$AA$11,"INVALID – completed after departure (cannot establish readiness)",IF(AND(H247="Physical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f>
        <v>OPEN</v>
      </c>
      <c r="AI247" s="61" t="n">
        <f aca="false">IF(OR(AH247="N/A – RULE",AH247="N/A – JUSTIFIED"),0,1)</f>
        <v>1</v>
      </c>
      <c r="AJ247" s="61" t="n">
        <f aca="false">IF(LEFT(AH247,8)="COMPLETE",1,0)</f>
        <v>0</v>
      </c>
      <c r="AK247" s="61" t="n">
        <f aca="false">IF(AND(AI247=1,AJ247=0,AsOfUTC&gt;Q247),1,0)</f>
        <v>0</v>
      </c>
      <c r="AL247" s="61" t="n">
        <f aca="false">IF(AND(AI247=1,OR(TRIM(U247)="Fail",AB247="Open",AND(ISNUMBER(AF247),AF247&lt;&gt;0,TRIM(U247)&lt;&gt;"Pass after CA"))),1,0)</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row>
    <row r="248" customFormat="false" ht="39.75" hidden="false" customHeight="true" outlineLevel="0" collapsed="false">
      <c r="A248" s="57" t="s">
        <v>781</v>
      </c>
      <c r="B248" s="57" t="s">
        <v>225</v>
      </c>
      <c r="C248" s="57" t="str">
        <f aca="false">Flights!$F$11</f>
        <v>MH0003</v>
      </c>
      <c r="D248" s="58" t="n">
        <f aca="false">Flights!$D$11</f>
        <v>46304</v>
      </c>
      <c r="E248" s="57" t="str">
        <f aca="false">Flights!$G$11&amp;"-"&amp;Flights!$H$11</f>
        <v>LHR-KUL</v>
      </c>
      <c r="F248" s="57" t="str">
        <f aca="false">Flights!$K$11</f>
        <v>BC</v>
      </c>
      <c r="G248" s="57" t="s">
        <v>422</v>
      </c>
      <c r="H248" s="57" t="s">
        <v>423</v>
      </c>
      <c r="I248" s="57" t="s">
        <v>403</v>
      </c>
      <c r="J248" s="57" t="s">
        <v>430</v>
      </c>
      <c r="K248" s="67" t="s">
        <v>464</v>
      </c>
      <c r="L248" s="67" t="s">
        <v>406</v>
      </c>
      <c r="M248" s="67" t="s">
        <v>176</v>
      </c>
      <c r="N248" s="67" t="s">
        <v>346</v>
      </c>
      <c r="O248" s="67"/>
      <c r="P248" s="57" t="s">
        <v>176</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Q248-UpliftWindowH/24</f>
        <v>46304.1666666667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IF(N248="N/A – rule","N/A – RULE",IF(TRIM(U248)="N/A",IF(AT248=0,"INVALID – N/A not permitted for this mandatory check",IF(AND(TRIM(AC248)&lt;&gt;"",TRIM(AE248)&lt;&gt;"",TRIM(T248)&lt;&gt;""),"N/A – JUSTIFIED","INVALID – N/A needs justification, PIC and verifier")),IF(OR(TRIM(U248)="Pass",TRIM(U248)="Pass after CA"),IF(NOT(ISNUMBER(AD248)),"INVALID – completion time missing",IF(TRIM(T248)="","INVALID – PIC missing",IF(TRIM(Z248)="","INVALID – evidence missing",IF(TRIM(AE248)="","INVALID – verifier missing",IF(AND(AQ248=1,TRIM(W248)=""),"INVALID – batch ID missing",IF(AND(AR248=1,OR(NOT(ISNUMBER(X248)),NOT(ISNUMBER(Y248)))),"INVALID – expected/actual qty missing",IF(IF(AND(TRIM(U248)="Pass",ISNUMBER(AF248)),IF(AF248&lt;&gt;0,"INVALID – qty variance: use Fail or Pass after CA",""),"")&amp;IF(AND(TRIM(U248)="Pass",AB248="Open"),"INVALID – corrective action still open: use Fail, then Pass after CA","")&amp;IF(AND(TRIM(U248)="Pass after CA",OR(TRIM(AA248)="",AB248&lt;&gt;"Closed")),"INVALID – corrective action not recorded/closed","")&lt;&gt;"",IF(AND(TRIM(U248)="Pass",ISNUMBER(AF248)),IF(AF248&lt;&gt;0,"INVALID – qty variance: use Fail or Pass after CA",""),"")&amp;IF(AND(TRIM(U248)="Pass",AB248="Open"),"INVALID – corrective action still open: use Fail, then Pass after CA","")&amp;IF(AND(TRIM(U248)="Pass after CA",OR(TRIM(AA248)="",AB248&lt;&gt;"Closed")),"INVALID – corrective action not recorded/closed",""),IF(AND(AS248=1,Documents!$J$11&lt;&gt;"ON FILE"),"INVALID – GLD not on file (Documents sheet)",IF(AND(AS248=2,Documents!$O$11&lt;&gt;"ON FILE"),"INVALID – menu checklist not on file (Documents sheet)",IF(AND(AS248=3,NOT(ISNUMBER(Flights!$AX$11))),"INVALID – enter carrying flight KUL departure (Flights AX)",IF(AG248&gt;AsOfUTC,"INVALID – completion time is in the future",IF(AND(ISNUMBER(S248),AG248&lt;S248),IF(H248="Physical uplift","INVALID – before uplift window (cannot confirm loading)","INVALID – before valid window"),IF(AG248&gt;Flights!$AA$11,"INVALID – completed after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f>
        <v>OPEN</v>
      </c>
      <c r="AI248" s="61" t="n">
        <f aca="false">IF(OR(AH248="N/A – RULE",AH248="N/A – JUSTIFIED"),0,1)</f>
        <v>1</v>
      </c>
      <c r="AJ248" s="61" t="n">
        <f aca="false">IF(LEFT(AH248,8)="COMPLETE",1,0)</f>
        <v>0</v>
      </c>
      <c r="AK248" s="61" t="n">
        <f aca="false">IF(AND(AI248=1,AJ248=0,AsOfUTC&gt;Q248),1,0)</f>
        <v>0</v>
      </c>
      <c r="AL248" s="61" t="n">
        <f aca="false">IF(AND(AI248=1,OR(TRIM(U248)="Fail",AB248="Open",AND(ISNUMBER(AF248),AF248&lt;&gt;0,TRIM(U248)&lt;&gt;"Pass after CA"))),1,0)</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1</v>
      </c>
    </row>
    <row r="249" customFormat="false" ht="41.25" hidden="false" customHeight="true" outlineLevel="0" collapsed="false">
      <c r="A249" s="57" t="s">
        <v>782</v>
      </c>
      <c r="B249" s="57" t="s">
        <v>225</v>
      </c>
      <c r="C249" s="57" t="str">
        <f aca="false">Flights!$F$11</f>
        <v>MH0003</v>
      </c>
      <c r="D249" s="58" t="n">
        <f aca="false">Flights!$D$11</f>
        <v>46304</v>
      </c>
      <c r="E249" s="57" t="str">
        <f aca="false">Flights!$G$11&amp;"-"&amp;Flights!$H$11</f>
        <v>LHR-KUL</v>
      </c>
      <c r="F249" s="57" t="str">
        <f aca="false">Flights!$K$11</f>
        <v>BC</v>
      </c>
      <c r="G249" s="57" t="s">
        <v>422</v>
      </c>
      <c r="H249" s="57" t="s">
        <v>423</v>
      </c>
      <c r="I249" s="57" t="s">
        <v>403</v>
      </c>
      <c r="J249" s="57" t="s">
        <v>724</v>
      </c>
      <c r="K249" s="67" t="s">
        <v>693</v>
      </c>
      <c r="L249" s="67" t="s">
        <v>694</v>
      </c>
      <c r="M249" s="67" t="s">
        <v>177</v>
      </c>
      <c r="N249" s="67" t="s">
        <v>407</v>
      </c>
      <c r="O249" s="67" t="s">
        <v>783</v>
      </c>
      <c r="P249" s="57" t="s">
        <v>176</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Q249-UpliftWindowH/24</f>
        <v>46304.1666666667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IF(N249="N/A – rule","N/A – RULE",IF(TRIM(U249)="N/A",IF(AT249=0,"INVALID – N/A not permitted for this mandatory check",IF(AND(TRIM(AC249)&lt;&gt;"",TRIM(AE249)&lt;&gt;"",TRIM(T249)&lt;&gt;""),"N/A – JUSTIFIED","INVALID – N/A needs justification, PIC and verifier")),IF(OR(TRIM(U249)="Pass",TRIM(U249)="Pass after CA"),IF(NOT(ISNUMBER(AD249)),"INVALID – completion time missing",IF(TRIM(T249)="","INVALID – PIC missing",IF(TRIM(Z249)="","INVALID – evidence missing",IF(TRIM(AE249)="","INVALID – verifier missing",IF(AND(AQ249=1,TRIM(W249)=""),"INVALID – batch ID missing",IF(AND(AR249=1,OR(NOT(ISNUMBER(X249)),NOT(ISNUMBER(Y249)))),"INVALID – expected/actual qty missing",IF(IF(AND(TRIM(U249)="Pass",ISNUMBER(AF249)),IF(AF249&lt;&gt;0,"INVALID – qty variance: use Fail or Pass after CA",""),"")&amp;IF(AND(TRIM(U249)="Pass",AB249="Open"),"INVALID – corrective action still open: use Fail, then Pass after CA","")&amp;IF(AND(TRIM(U249)="Pass after CA",OR(TRIM(AA249)="",AB249&lt;&gt;"Closed")),"INVALID – corrective action not recorded/closed","")&lt;&gt;"",IF(AND(TRIM(U249)="Pass",ISNUMBER(AF249)),IF(AF249&lt;&gt;0,"INVALID – qty variance: use Fail or Pass after CA",""),"")&amp;IF(AND(TRIM(U249)="Pass",AB249="Open"),"INVALID – corrective action still open: use Fail, then Pass after CA","")&amp;IF(AND(TRIM(U249)="Pass after CA",OR(TRIM(AA249)="",AB249&lt;&gt;"Closed")),"INVALID – corrective action not recorded/closed",""),IF(AND(AS249=1,Documents!$J$11&lt;&gt;"ON FILE"),"INVALID – GLD not on file (Documents sheet)",IF(AND(AS249=2,Documents!$O$11&lt;&gt;"ON FILE"),"INVALID – menu checklist not on file (Documents sheet)",IF(AND(AS249=3,NOT(ISNUMBER(Flights!$AX$11))),"INVALID – enter carrying flight KUL departure (Flights AX)",IF(AG249&gt;AsOfUTC,"INVALID – completion time is in the future",IF(AND(ISNUMBER(S249),AG249&lt;S249),IF(H249="Physical uplift","INVALID – before uplift window (cannot confirm loading)","INVALID – before valid window"),IF(AG249&gt;Flights!$AA$11,"INVALID – completed after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f>
        <v>OPEN – CLARIFICATION</v>
      </c>
      <c r="AI249" s="61" t="n">
        <f aca="false">IF(OR(AH249="N/A – RULE",AH249="N/A – JUSTIFIED"),0,1)</f>
        <v>1</v>
      </c>
      <c r="AJ249" s="61" t="n">
        <f aca="false">IF(LEFT(AH249,8)="COMPLETE",1,0)</f>
        <v>0</v>
      </c>
      <c r="AK249" s="61" t="n">
        <f aca="false">IF(AND(AI249=1,AJ249=0,AsOfUTC&gt;Q249),1,0)</f>
        <v>0</v>
      </c>
      <c r="AL249" s="61" t="n">
        <f aca="false">IF(AND(AI249=1,OR(TRIM(U249)="Fail",AB249="Open",AND(ISNUMBER(AF249),AF249&lt;&gt;0,TRIM(U249)&lt;&gt;"Pass after CA"))),1,0)</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row>
    <row r="250" customFormat="false" ht="39.75" hidden="false" customHeight="true" outlineLevel="0" collapsed="false">
      <c r="A250" s="57" t="s">
        <v>784</v>
      </c>
      <c r="B250" s="57" t="s">
        <v>225</v>
      </c>
      <c r="C250" s="57" t="str">
        <f aca="false">Flights!$F$11</f>
        <v>MH0003</v>
      </c>
      <c r="D250" s="58" t="n">
        <f aca="false">Flights!$D$11</f>
        <v>46304</v>
      </c>
      <c r="E250" s="57" t="str">
        <f aca="false">Flights!$G$11&amp;"-"&amp;Flights!$H$11</f>
        <v>LHR-KUL</v>
      </c>
      <c r="F250" s="57" t="str">
        <f aca="false">Flights!$K$11</f>
        <v>BC</v>
      </c>
      <c r="G250" s="57" t="s">
        <v>422</v>
      </c>
      <c r="H250" s="57" t="s">
        <v>423</v>
      </c>
      <c r="I250" s="57" t="s">
        <v>403</v>
      </c>
      <c r="J250" s="57" t="s">
        <v>606</v>
      </c>
      <c r="K250" s="67" t="s">
        <v>464</v>
      </c>
      <c r="L250" s="67" t="s">
        <v>697</v>
      </c>
      <c r="M250" s="67" t="s">
        <v>177</v>
      </c>
      <c r="N250" s="67" t="s">
        <v>346</v>
      </c>
      <c r="O250" s="67"/>
      <c r="P250" s="57" t="s">
        <v>176</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Q250-UpliftWindowH/24</f>
        <v>46304.1666666667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IF(N250="N/A – rule","N/A – RULE",IF(TRIM(U250)="N/A",IF(AT250=0,"INVALID – N/A not permitted for this mandatory check",IF(AND(TRIM(AC250)&lt;&gt;"",TRIM(AE250)&lt;&gt;"",TRIM(T250)&lt;&gt;""),"N/A – JUSTIFIED","INVALID – N/A needs justification, PIC and verifier")),IF(OR(TRIM(U250)="Pass",TRIM(U250)="Pass after CA"),IF(NOT(ISNUMBER(AD250)),"INVALID – completion time missing",IF(TRIM(T250)="","INVALID – PIC missing",IF(TRIM(Z250)="","INVALID – evidence missing",IF(TRIM(AE250)="","INVALID – verifier missing",IF(AND(AQ250=1,TRIM(W250)=""),"INVALID – batch ID missing",IF(AND(AR250=1,OR(NOT(ISNUMBER(X250)),NOT(ISNUMBER(Y250)))),"INVALID – expected/actual qty missing",IF(IF(AND(TRIM(U250)="Pass",ISNUMBER(AF250)),IF(AF250&lt;&gt;0,"INVALID – qty variance: use Fail or Pass after CA",""),"")&amp;IF(AND(TRIM(U250)="Pass",AB250="Open"),"INVALID – corrective action still open: use Fail, then Pass after CA","")&amp;IF(AND(TRIM(U250)="Pass after CA",OR(TRIM(AA250)="",AB250&lt;&gt;"Closed")),"INVALID – corrective action not recorded/closed","")&lt;&gt;"",IF(AND(TRIM(U250)="Pass",ISNUMBER(AF250)),IF(AF250&lt;&gt;0,"INVALID – qty variance: use Fail or Pass after CA",""),"")&amp;IF(AND(TRIM(U250)="Pass",AB250="Open"),"INVALID – corrective action still open: use Fail, then Pass after CA","")&amp;IF(AND(TRIM(U250)="Pass after CA",OR(TRIM(AA250)="",AB250&lt;&gt;"Closed")),"INVALID – corrective action not recorded/closed",""),IF(AND(AS250=1,Documents!$J$11&lt;&gt;"ON FILE"),"INVALID – GLD not on file (Documents sheet)",IF(AND(AS250=2,Documents!$O$11&lt;&gt;"ON FILE"),"INVALID – menu checklist not on file (Documents sheet)",IF(AND(AS250=3,NOT(ISNUMBER(Flights!$AX$11))),"INVALID – enter carrying flight KUL departure (Flights AX)",IF(AG250&gt;AsOfUTC,"INVALID – completion time is in the future",IF(AND(ISNUMBER(S250),AG250&lt;S250),IF(H250="Physical uplift","INVALID – before uplift window (cannot confirm loading)","INVALID – before valid window"),IF(AG250&gt;Flights!$AA$11,"INVALID – completed after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f>
        <v>OPEN</v>
      </c>
      <c r="AI250" s="61" t="n">
        <f aca="false">IF(OR(AH250="N/A – RULE",AH250="N/A – JUSTIFIED"),0,1)</f>
        <v>1</v>
      </c>
      <c r="AJ250" s="61" t="n">
        <f aca="false">IF(LEFT(AH250,8)="COMPLETE",1,0)</f>
        <v>0</v>
      </c>
      <c r="AK250" s="61" t="n">
        <f aca="false">IF(AND(AI250=1,AJ250=0,AsOfUTC&gt;Q250),1,0)</f>
        <v>0</v>
      </c>
      <c r="AL250" s="61" t="n">
        <f aca="false">IF(AND(AI250=1,OR(TRIM(U250)="Fail",AB250="Open",AND(ISNUMBER(AF250),AF250&lt;&gt;0,TRIM(U250)&lt;&gt;"Pass after CA"))),1,0)</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1</v>
      </c>
    </row>
    <row r="251" customFormat="false" ht="39.75" hidden="false" customHeight="true" outlineLevel="0" collapsed="false">
      <c r="A251" s="57" t="s">
        <v>785</v>
      </c>
      <c r="B251" s="57" t="s">
        <v>225</v>
      </c>
      <c r="C251" s="57" t="str">
        <f aca="false">Flights!$F$11</f>
        <v>MH0003</v>
      </c>
      <c r="D251" s="58" t="n">
        <f aca="false">Flights!$D$11</f>
        <v>46304</v>
      </c>
      <c r="E251" s="57" t="str">
        <f aca="false">Flights!$G$11&amp;"-"&amp;Flights!$H$11</f>
        <v>LHR-KUL</v>
      </c>
      <c r="F251" s="57" t="str">
        <f aca="false">Flights!$K$11</f>
        <v>BC</v>
      </c>
      <c r="G251" s="57" t="s">
        <v>422</v>
      </c>
      <c r="H251" s="57" t="s">
        <v>423</v>
      </c>
      <c r="I251" s="57" t="s">
        <v>462</v>
      </c>
      <c r="J251" s="57" t="s">
        <v>500</v>
      </c>
      <c r="K251" s="67" t="s">
        <v>464</v>
      </c>
      <c r="L251" s="67" t="s">
        <v>699</v>
      </c>
      <c r="M251" s="67" t="s">
        <v>414</v>
      </c>
      <c r="N251" s="67" t="s">
        <v>346</v>
      </c>
      <c r="O251" s="67"/>
      <c r="P251" s="57" t="s">
        <v>176</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Q251-UpliftWindowH/24</f>
        <v>46304.1666666667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IF(N251="N/A – rule","N/A – RULE",IF(TRIM(U251)="N/A",IF(AT251=0,"INVALID – N/A not permitted for this mandatory check",IF(AND(TRIM(AC251)&lt;&gt;"",TRIM(AE251)&lt;&gt;"",TRIM(T251)&lt;&gt;""),"N/A – JUSTIFIED","INVALID – N/A needs justification, PIC and verifier")),IF(OR(TRIM(U251)="Pass",TRIM(U251)="Pass after CA"),IF(NOT(ISNUMBER(AD251)),"INVALID – completion time missing",IF(TRIM(T251)="","INVALID – PIC missing",IF(TRIM(Z251)="","INVALID – evidence missing",IF(TRIM(AE251)="","INVALID – verifier missing",IF(AND(AQ251=1,TRIM(W251)=""),"INVALID – batch ID missing",IF(AND(AR251=1,OR(NOT(ISNUMBER(X251)),NOT(ISNUMBER(Y251)))),"INVALID – expected/actual qty missing",IF(IF(AND(TRIM(U251)="Pass",ISNUMBER(AF251)),IF(AF251&lt;&gt;0,"INVALID – qty variance: use Fail or Pass after CA",""),"")&amp;IF(AND(TRIM(U251)="Pass",AB251="Open"),"INVALID – corrective action still open: use Fail, then Pass after CA","")&amp;IF(AND(TRIM(U251)="Pass after CA",OR(TRIM(AA251)="",AB251&lt;&gt;"Closed")),"INVALID – corrective action not recorded/closed","")&lt;&gt;"",IF(AND(TRIM(U251)="Pass",ISNUMBER(AF251)),IF(AF251&lt;&gt;0,"INVALID – qty variance: use Fail or Pass after CA",""),"")&amp;IF(AND(TRIM(U251)="Pass",AB251="Open"),"INVALID – corrective action still open: use Fail, then Pass after CA","")&amp;IF(AND(TRIM(U251)="Pass after CA",OR(TRIM(AA251)="",AB251&lt;&gt;"Closed")),"INVALID – corrective action not recorded/closed",""),IF(AND(AS251=1,Documents!$J$11&lt;&gt;"ON FILE"),"INVALID – GLD not on file (Documents sheet)",IF(AND(AS251=2,Documents!$O$11&lt;&gt;"ON FILE"),"INVALID – menu checklist not on file (Documents sheet)",IF(AND(AS251=3,NOT(ISNUMBER(Flights!$AX$11))),"INVALID – enter carrying flight KUL departure (Flights AX)",IF(AG251&gt;AsOfUTC,"INVALID – completion time is in the future",IF(AND(ISNUMBER(S251),AG251&lt;S251),IF(H251="Physical uplift","INVALID – before uplift window (cannot confirm loading)","INVALID – before valid window"),IF(AG251&gt;Flights!$AA$11,"INVALID – completed after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f>
        <v>OPEN</v>
      </c>
      <c r="AI251" s="61" t="n">
        <f aca="false">IF(OR(AH251="N/A – RULE",AH251="N/A – JUSTIFIED"),0,1)</f>
        <v>1</v>
      </c>
      <c r="AJ251" s="61" t="n">
        <f aca="false">IF(LEFT(AH251,8)="COMPLETE",1,0)</f>
        <v>0</v>
      </c>
      <c r="AK251" s="61" t="n">
        <f aca="false">IF(AND(AI251=1,AJ251=0,AsOfUTC&gt;Q251),1,0)</f>
        <v>0</v>
      </c>
      <c r="AL251" s="61" t="n">
        <f aca="false">IF(AND(AI251=1,OR(TRIM(U251)="Fail",AB251="Open",AND(ISNUMBER(AF251),AF251&lt;&gt;0,TRIM(U251)&lt;&gt;"Pass after CA"))),1,0)</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1</v>
      </c>
    </row>
    <row r="252" customFormat="false" ht="39.75" hidden="false" customHeight="true" outlineLevel="0" collapsed="false">
      <c r="A252" s="57" t="s">
        <v>786</v>
      </c>
      <c r="B252" s="57" t="s">
        <v>225</v>
      </c>
      <c r="C252" s="57" t="str">
        <f aca="false">Flights!$F$11</f>
        <v>MH0003</v>
      </c>
      <c r="D252" s="58" t="n">
        <f aca="false">Flights!$D$11</f>
        <v>46304</v>
      </c>
      <c r="E252" s="57" t="str">
        <f aca="false">Flights!$G$11&amp;"-"&amp;Flights!$H$11</f>
        <v>LHR-KUL</v>
      </c>
      <c r="F252" s="57" t="str">
        <f aca="false">Flights!$K$11</f>
        <v>BC</v>
      </c>
      <c r="G252" s="57" t="s">
        <v>422</v>
      </c>
      <c r="H252" s="57" t="s">
        <v>423</v>
      </c>
      <c r="I252" s="57" t="s">
        <v>462</v>
      </c>
      <c r="J252" s="57" t="s">
        <v>502</v>
      </c>
      <c r="K252" s="67" t="s">
        <v>464</v>
      </c>
      <c r="L252" s="67" t="s">
        <v>701</v>
      </c>
      <c r="M252" s="67" t="s">
        <v>414</v>
      </c>
      <c r="N252" s="67" t="s">
        <v>346</v>
      </c>
      <c r="O252" s="67"/>
      <c r="P252" s="57" t="s">
        <v>176</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Q252-UpliftWindowH/24</f>
        <v>46304.1666666667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IF(N252="N/A – rule","N/A – RULE",IF(TRIM(U252)="N/A",IF(AT252=0,"INVALID – N/A not permitted for this mandatory check",IF(AND(TRIM(AC252)&lt;&gt;"",TRIM(AE252)&lt;&gt;"",TRIM(T252)&lt;&gt;""),"N/A – JUSTIFIED","INVALID – N/A needs justification, PIC and verifier")),IF(OR(TRIM(U252)="Pass",TRIM(U252)="Pass after CA"),IF(NOT(ISNUMBER(AD252)),"INVALID – completion time missing",IF(TRIM(T252)="","INVALID – PIC missing",IF(TRIM(Z252)="","INVALID – evidence missing",IF(TRIM(AE252)="","INVALID – verifier missing",IF(AND(AQ252=1,TRIM(W252)=""),"INVALID – batch ID missing",IF(AND(AR252=1,OR(NOT(ISNUMBER(X252)),NOT(ISNUMBER(Y252)))),"INVALID – expected/actual qty missing",IF(IF(AND(TRIM(U252)="Pass",ISNUMBER(AF252)),IF(AF252&lt;&gt;0,"INVALID – qty variance: use Fail or Pass after CA",""),"")&amp;IF(AND(TRIM(U252)="Pass",AB252="Open"),"INVALID – corrective action still open: use Fail, then Pass after CA","")&amp;IF(AND(TRIM(U252)="Pass after CA",OR(TRIM(AA252)="",AB252&lt;&gt;"Closed")),"INVALID – corrective action not recorded/closed","")&lt;&gt;"",IF(AND(TRIM(U252)="Pass",ISNUMBER(AF252)),IF(AF252&lt;&gt;0,"INVALID – qty variance: use Fail or Pass after CA",""),"")&amp;IF(AND(TRIM(U252)="Pass",AB252="Open"),"INVALID – corrective action still open: use Fail, then Pass after CA","")&amp;IF(AND(TRIM(U252)="Pass after CA",OR(TRIM(AA252)="",AB252&lt;&gt;"Closed")),"INVALID – corrective action not recorded/closed",""),IF(AND(AS252=1,Documents!$J$11&lt;&gt;"ON FILE"),"INVALID – GLD not on file (Documents sheet)",IF(AND(AS252=2,Documents!$O$11&lt;&gt;"ON FILE"),"INVALID – menu checklist not on file (Documents sheet)",IF(AND(AS252=3,NOT(ISNUMBER(Flights!$AX$11))),"INVALID – enter carrying flight KUL departure (Flights AX)",IF(AG252&gt;AsOfUTC,"INVALID – completion time is in the future",IF(AND(ISNUMBER(S252),AG252&lt;S252),IF(H252="Physical uplift","INVALID – before uplift window (cannot confirm loading)","INVALID – before valid window"),IF(AG252&gt;Flights!$AA$11,"INVALID – completed after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f>
        <v>OPEN</v>
      </c>
      <c r="AI252" s="61" t="n">
        <f aca="false">IF(OR(AH252="N/A – RULE",AH252="N/A – JUSTIFIED"),0,1)</f>
        <v>1</v>
      </c>
      <c r="AJ252" s="61" t="n">
        <f aca="false">IF(LEFT(AH252,8)="COMPLETE",1,0)</f>
        <v>0</v>
      </c>
      <c r="AK252" s="61" t="n">
        <f aca="false">IF(AND(AI252=1,AJ252=0,AsOfUTC&gt;Q252),1,0)</f>
        <v>0</v>
      </c>
      <c r="AL252" s="61" t="n">
        <f aca="false">IF(AND(AI252=1,OR(TRIM(U252)="Fail",AB252="Open",AND(ISNUMBER(AF252),AF252&lt;&gt;0,TRIM(U252)&lt;&gt;"Pass after CA"))),1,0)</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1</v>
      </c>
    </row>
    <row r="253" customFormat="false" ht="39.75" hidden="false" customHeight="true" outlineLevel="0" collapsed="false">
      <c r="A253" s="57" t="s">
        <v>787</v>
      </c>
      <c r="B253" s="57" t="s">
        <v>225</v>
      </c>
      <c r="C253" s="57" t="str">
        <f aca="false">Flights!$F$11</f>
        <v>MH0003</v>
      </c>
      <c r="D253" s="58" t="n">
        <f aca="false">Flights!$D$11</f>
        <v>46304</v>
      </c>
      <c r="E253" s="57" t="str">
        <f aca="false">Flights!$G$11&amp;"-"&amp;Flights!$H$11</f>
        <v>LHR-KUL</v>
      </c>
      <c r="F253" s="57" t="str">
        <f aca="false">Flights!$K$11</f>
        <v>BC</v>
      </c>
      <c r="G253" s="57" t="s">
        <v>422</v>
      </c>
      <c r="H253" s="57" t="s">
        <v>423</v>
      </c>
      <c r="I253" s="57" t="s">
        <v>462</v>
      </c>
      <c r="J253" s="57" t="s">
        <v>504</v>
      </c>
      <c r="K253" s="67" t="s">
        <v>464</v>
      </c>
      <c r="L253" s="67" t="s">
        <v>703</v>
      </c>
      <c r="M253" s="67" t="s">
        <v>414</v>
      </c>
      <c r="N253" s="67" t="s">
        <v>346</v>
      </c>
      <c r="O253" s="67"/>
      <c r="P253" s="57" t="s">
        <v>176</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Q253-UpliftWindowH/24</f>
        <v>46304.1666666667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IF(N253="N/A – rule","N/A – RULE",IF(TRIM(U253)="N/A",IF(AT253=0,"INVALID – N/A not permitted for this mandatory check",IF(AND(TRIM(AC253)&lt;&gt;"",TRIM(AE253)&lt;&gt;"",TRIM(T253)&lt;&gt;""),"N/A – JUSTIFIED","INVALID – N/A needs justification, PIC and verifier")),IF(OR(TRIM(U253)="Pass",TRIM(U253)="Pass after CA"),IF(NOT(ISNUMBER(AD253)),"INVALID – completion time missing",IF(TRIM(T253)="","INVALID – PIC missing",IF(TRIM(Z253)="","INVALID – evidence missing",IF(TRIM(AE253)="","INVALID – verifier missing",IF(AND(AQ253=1,TRIM(W253)=""),"INVALID – batch ID missing",IF(AND(AR253=1,OR(NOT(ISNUMBER(X253)),NOT(ISNUMBER(Y253)))),"INVALID – expected/actual qty missing",IF(IF(AND(TRIM(U253)="Pass",ISNUMBER(AF253)),IF(AF253&lt;&gt;0,"INVALID – qty variance: use Fail or Pass after CA",""),"")&amp;IF(AND(TRIM(U253)="Pass",AB253="Open"),"INVALID – corrective action still open: use Fail, then Pass after CA","")&amp;IF(AND(TRIM(U253)="Pass after CA",OR(TRIM(AA253)="",AB253&lt;&gt;"Closed")),"INVALID – corrective action not recorded/closed","")&lt;&gt;"",IF(AND(TRIM(U253)="Pass",ISNUMBER(AF253)),IF(AF253&lt;&gt;0,"INVALID – qty variance: use Fail or Pass after CA",""),"")&amp;IF(AND(TRIM(U253)="Pass",AB253="Open"),"INVALID – corrective action still open: use Fail, then Pass after CA","")&amp;IF(AND(TRIM(U253)="Pass after CA",OR(TRIM(AA253)="",AB253&lt;&gt;"Closed")),"INVALID – corrective action not recorded/closed",""),IF(AND(AS253=1,Documents!$J$11&lt;&gt;"ON FILE"),"INVALID – GLD not on file (Documents sheet)",IF(AND(AS253=2,Documents!$O$11&lt;&gt;"ON FILE"),"INVALID – menu checklist not on file (Documents sheet)",IF(AND(AS253=3,NOT(ISNUMBER(Flights!$AX$11))),"INVALID – enter carrying flight KUL departure (Flights AX)",IF(AG253&gt;AsOfUTC,"INVALID – completion time is in the future",IF(AND(ISNUMBER(S253),AG253&lt;S253),IF(H253="Physical uplift","INVALID – before uplift window (cannot confirm loading)","INVALID – before valid window"),IF(AG253&gt;Flights!$AA$11,"INVALID – completed after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f>
        <v>OPEN</v>
      </c>
      <c r="AI253" s="61" t="n">
        <f aca="false">IF(OR(AH253="N/A – RULE",AH253="N/A – JUSTIFIED"),0,1)</f>
        <v>1</v>
      </c>
      <c r="AJ253" s="61" t="n">
        <f aca="false">IF(LEFT(AH253,8)="COMPLETE",1,0)</f>
        <v>0</v>
      </c>
      <c r="AK253" s="61" t="n">
        <f aca="false">IF(AND(AI253=1,AJ253=0,AsOfUTC&gt;Q253),1,0)</f>
        <v>0</v>
      </c>
      <c r="AL253" s="61" t="n">
        <f aca="false">IF(AND(AI253=1,OR(TRIM(U253)="Fail",AB253="Open",AND(ISNUMBER(AF253),AF253&lt;&gt;0,TRIM(U253)&lt;&gt;"Pass after CA"))),1,0)</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1</v>
      </c>
    </row>
    <row r="254" customFormat="false" ht="39.75" hidden="false" customHeight="true" outlineLevel="0" collapsed="false">
      <c r="A254" s="57" t="s">
        <v>788</v>
      </c>
      <c r="B254" s="57" t="s">
        <v>225</v>
      </c>
      <c r="C254" s="57" t="str">
        <f aca="false">Flights!$F$11</f>
        <v>MH0003</v>
      </c>
      <c r="D254" s="58" t="n">
        <f aca="false">Flights!$D$11</f>
        <v>46304</v>
      </c>
      <c r="E254" s="57" t="str">
        <f aca="false">Flights!$G$11&amp;"-"&amp;Flights!$H$11</f>
        <v>LHR-KUL</v>
      </c>
      <c r="F254" s="57" t="str">
        <f aca="false">Flights!$K$11</f>
        <v>BC</v>
      </c>
      <c r="G254" s="57" t="s">
        <v>422</v>
      </c>
      <c r="H254" s="57" t="s">
        <v>423</v>
      </c>
      <c r="I254" s="57" t="s">
        <v>462</v>
      </c>
      <c r="J254" s="57" t="s">
        <v>506</v>
      </c>
      <c r="K254" s="67" t="s">
        <v>464</v>
      </c>
      <c r="L254" s="67" t="s">
        <v>705</v>
      </c>
      <c r="M254" s="67" t="s">
        <v>414</v>
      </c>
      <c r="N254" s="67" t="s">
        <v>346</v>
      </c>
      <c r="O254" s="67"/>
      <c r="P254" s="57" t="s">
        <v>176</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Q254-UpliftWindowH/24</f>
        <v>46304.1666666667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IF(N254="N/A – rule","N/A – RULE",IF(TRIM(U254)="N/A",IF(AT254=0,"INVALID – N/A not permitted for this mandatory check",IF(AND(TRIM(AC254)&lt;&gt;"",TRIM(AE254)&lt;&gt;"",TRIM(T254)&lt;&gt;""),"N/A – JUSTIFIED","INVALID – N/A needs justification, PIC and verifier")),IF(OR(TRIM(U254)="Pass",TRIM(U254)="Pass after CA"),IF(NOT(ISNUMBER(AD254)),"INVALID – completion time missing",IF(TRIM(T254)="","INVALID – PIC missing",IF(TRIM(Z254)="","INVALID – evidence missing",IF(TRIM(AE254)="","INVALID – verifier missing",IF(AND(AQ254=1,TRIM(W254)=""),"INVALID – batch ID missing",IF(AND(AR254=1,OR(NOT(ISNUMBER(X254)),NOT(ISNUMBER(Y254)))),"INVALID – expected/actual qty missing",IF(IF(AND(TRIM(U254)="Pass",ISNUMBER(AF254)),IF(AF254&lt;&gt;0,"INVALID – qty variance: use Fail or Pass after CA",""),"")&amp;IF(AND(TRIM(U254)="Pass",AB254="Open"),"INVALID – corrective action still open: use Fail, then Pass after CA","")&amp;IF(AND(TRIM(U254)="Pass after CA",OR(TRIM(AA254)="",AB254&lt;&gt;"Closed")),"INVALID – corrective action not recorded/closed","")&lt;&gt;"",IF(AND(TRIM(U254)="Pass",ISNUMBER(AF254)),IF(AF254&lt;&gt;0,"INVALID – qty variance: use Fail or Pass after CA",""),"")&amp;IF(AND(TRIM(U254)="Pass",AB254="Open"),"INVALID – corrective action still open: use Fail, then Pass after CA","")&amp;IF(AND(TRIM(U254)="Pass after CA",OR(TRIM(AA254)="",AB254&lt;&gt;"Closed")),"INVALID – corrective action not recorded/closed",""),IF(AND(AS254=1,Documents!$J$11&lt;&gt;"ON FILE"),"INVALID – GLD not on file (Documents sheet)",IF(AND(AS254=2,Documents!$O$11&lt;&gt;"ON FILE"),"INVALID – menu checklist not on file (Documents sheet)",IF(AND(AS254=3,NOT(ISNUMBER(Flights!$AX$11))),"INVALID – enter carrying flight KUL departure (Flights AX)",IF(AG254&gt;AsOfUTC,"INVALID – completion time is in the future",IF(AND(ISNUMBER(S254),AG254&lt;S254),IF(H254="Physical uplift","INVALID – before uplift window (cannot confirm loading)","INVALID – before valid window"),IF(AG254&gt;Flights!$AA$11,"INVALID – completed after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f>
        <v>OPEN</v>
      </c>
      <c r="AI254" s="61" t="n">
        <f aca="false">IF(OR(AH254="N/A – RULE",AH254="N/A – JUSTIFIED"),0,1)</f>
        <v>1</v>
      </c>
      <c r="AJ254" s="61" t="n">
        <f aca="false">IF(LEFT(AH254,8)="COMPLETE",1,0)</f>
        <v>0</v>
      </c>
      <c r="AK254" s="61" t="n">
        <f aca="false">IF(AND(AI254=1,AJ254=0,AsOfUTC&gt;Q254),1,0)</f>
        <v>0</v>
      </c>
      <c r="AL254" s="61" t="n">
        <f aca="false">IF(AND(AI254=1,OR(TRIM(U254)="Fail",AB254="Open",AND(ISNUMBER(AF254),AF254&lt;&gt;0,TRIM(U254)&lt;&gt;"Pass after CA"))),1,0)</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1</v>
      </c>
    </row>
    <row r="255" customFormat="false" ht="39.75" hidden="false" customHeight="true" outlineLevel="0" collapsed="false">
      <c r="A255" s="57" t="s">
        <v>789</v>
      </c>
      <c r="B255" s="57" t="s">
        <v>225</v>
      </c>
      <c r="C255" s="57" t="str">
        <f aca="false">Flights!$F$11</f>
        <v>MH0003</v>
      </c>
      <c r="D255" s="58" t="n">
        <f aca="false">Flights!$D$11</f>
        <v>46304</v>
      </c>
      <c r="E255" s="57" t="str">
        <f aca="false">Flights!$G$11&amp;"-"&amp;Flights!$H$11</f>
        <v>LHR-KUL</v>
      </c>
      <c r="F255" s="57" t="str">
        <f aca="false">Flights!$K$11</f>
        <v>BC</v>
      </c>
      <c r="G255" s="57" t="s">
        <v>422</v>
      </c>
      <c r="H255" s="57" t="s">
        <v>423</v>
      </c>
      <c r="I255" s="57" t="s">
        <v>462</v>
      </c>
      <c r="J255" s="57" t="s">
        <v>509</v>
      </c>
      <c r="K255" s="67" t="s">
        <v>464</v>
      </c>
      <c r="L255" s="67" t="s">
        <v>707</v>
      </c>
      <c r="M255" s="67" t="s">
        <v>414</v>
      </c>
      <c r="N255" s="67" t="s">
        <v>346</v>
      </c>
      <c r="O255" s="67"/>
      <c r="P255" s="57" t="s">
        <v>176</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Q255-UpliftWindowH/24</f>
        <v>46304.1666666667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IF(N255="N/A – rule","N/A – RULE",IF(TRIM(U255)="N/A",IF(AT255=0,"INVALID – N/A not permitted for this mandatory check",IF(AND(TRIM(AC255)&lt;&gt;"",TRIM(AE255)&lt;&gt;"",TRIM(T255)&lt;&gt;""),"N/A – JUSTIFIED","INVALID – N/A needs justification, PIC and verifier")),IF(OR(TRIM(U255)="Pass",TRIM(U255)="Pass after CA"),IF(NOT(ISNUMBER(AD255)),"INVALID – completion time missing",IF(TRIM(T255)="","INVALID – PIC missing",IF(TRIM(Z255)="","INVALID – evidence missing",IF(TRIM(AE255)="","INVALID – verifier missing",IF(AND(AQ255=1,TRIM(W255)=""),"INVALID – batch ID missing",IF(AND(AR255=1,OR(NOT(ISNUMBER(X255)),NOT(ISNUMBER(Y255)))),"INVALID – expected/actual qty missing",IF(IF(AND(TRIM(U255)="Pass",ISNUMBER(AF255)),IF(AF255&lt;&gt;0,"INVALID – qty variance: use Fail or Pass after CA",""),"")&amp;IF(AND(TRIM(U255)="Pass",AB255="Open"),"INVALID – corrective action still open: use Fail, then Pass after CA","")&amp;IF(AND(TRIM(U255)="Pass after CA",OR(TRIM(AA255)="",AB255&lt;&gt;"Closed")),"INVALID – corrective action not recorded/closed","")&lt;&gt;"",IF(AND(TRIM(U255)="Pass",ISNUMBER(AF255)),IF(AF255&lt;&gt;0,"INVALID – qty variance: use Fail or Pass after CA",""),"")&amp;IF(AND(TRIM(U255)="Pass",AB255="Open"),"INVALID – corrective action still open: use Fail, then Pass after CA","")&amp;IF(AND(TRIM(U255)="Pass after CA",OR(TRIM(AA255)="",AB255&lt;&gt;"Closed")),"INVALID – corrective action not recorded/closed",""),IF(AND(AS255=1,Documents!$J$11&lt;&gt;"ON FILE"),"INVALID – GLD not on file (Documents sheet)",IF(AND(AS255=2,Documents!$O$11&lt;&gt;"ON FILE"),"INVALID – menu checklist not on file (Documents sheet)",IF(AND(AS255=3,NOT(ISNUMBER(Flights!$AX$11))),"INVALID – enter carrying flight KUL departure (Flights AX)",IF(AG255&gt;AsOfUTC,"INVALID – completion time is in the future",IF(AND(ISNUMBER(S255),AG255&lt;S255),IF(H255="Physical uplift","INVALID – before uplift window (cannot confirm loading)","INVALID – before valid window"),IF(AG255&gt;Flights!$AA$11,"INVALID – completed after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f>
        <v>OPEN</v>
      </c>
      <c r="AI255" s="61" t="n">
        <f aca="false">IF(OR(AH255="N/A – RULE",AH255="N/A – JUSTIFIED"),0,1)</f>
        <v>1</v>
      </c>
      <c r="AJ255" s="61" t="n">
        <f aca="false">IF(LEFT(AH255,8)="COMPLETE",1,0)</f>
        <v>0</v>
      </c>
      <c r="AK255" s="61" t="n">
        <f aca="false">IF(AND(AI255=1,AJ255=0,AsOfUTC&gt;Q255),1,0)</f>
        <v>0</v>
      </c>
      <c r="AL255" s="61" t="n">
        <f aca="false">IF(AND(AI255=1,OR(TRIM(U255)="Fail",AB255="Open",AND(ISNUMBER(AF255),AF255&lt;&gt;0,TRIM(U255)&lt;&gt;"Pass after CA"))),1,0)</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1</v>
      </c>
    </row>
    <row r="256" customFormat="false" ht="39.75" hidden="false" customHeight="true" outlineLevel="0" collapsed="false">
      <c r="A256" s="57" t="s">
        <v>790</v>
      </c>
      <c r="B256" s="57" t="s">
        <v>225</v>
      </c>
      <c r="C256" s="57" t="str">
        <f aca="false">Flights!$F$11</f>
        <v>MH0003</v>
      </c>
      <c r="D256" s="58" t="n">
        <f aca="false">Flights!$D$11</f>
        <v>46304</v>
      </c>
      <c r="E256" s="57" t="str">
        <f aca="false">Flights!$G$11&amp;"-"&amp;Flights!$H$11</f>
        <v>LHR-KUL</v>
      </c>
      <c r="F256" s="57" t="str">
        <f aca="false">Flights!$K$11</f>
        <v>BC</v>
      </c>
      <c r="G256" s="57" t="s">
        <v>422</v>
      </c>
      <c r="H256" s="57" t="s">
        <v>423</v>
      </c>
      <c r="I256" s="57" t="s">
        <v>462</v>
      </c>
      <c r="J256" s="57" t="s">
        <v>511</v>
      </c>
      <c r="K256" s="67" t="s">
        <v>579</v>
      </c>
      <c r="L256" s="67" t="s">
        <v>709</v>
      </c>
      <c r="M256" s="67" t="s">
        <v>414</v>
      </c>
      <c r="N256" s="67" t="s">
        <v>346</v>
      </c>
      <c r="O256" s="67" t="s">
        <v>512</v>
      </c>
      <c r="P256" s="57" t="s">
        <v>176</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Q256-UpliftWindowH/24</f>
        <v>46304.1666666667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IF(N256="N/A – rule","N/A – RULE",IF(TRIM(U256)="N/A",IF(AT256=0,"INVALID – N/A not permitted for this mandatory check",IF(AND(TRIM(AC256)&lt;&gt;"",TRIM(AE256)&lt;&gt;"",TRIM(T256)&lt;&gt;""),"N/A – JUSTIFIED","INVALID – N/A needs justification, PIC and verifier")),IF(OR(TRIM(U256)="Pass",TRIM(U256)="Pass after CA"),IF(NOT(ISNUMBER(AD256)),"INVALID – completion time missing",IF(TRIM(T256)="","INVALID – PIC missing",IF(TRIM(Z256)="","INVALID – evidence missing",IF(TRIM(AE256)="","INVALID – verifier missing",IF(AND(AQ256=1,TRIM(W256)=""),"INVALID – batch ID missing",IF(AND(AR256=1,OR(NOT(ISNUMBER(X256)),NOT(ISNUMBER(Y256)))),"INVALID – expected/actual qty missing",IF(IF(AND(TRIM(U256)="Pass",ISNUMBER(AF256)),IF(AF256&lt;&gt;0,"INVALID – qty variance: use Fail or Pass after CA",""),"")&amp;IF(AND(TRIM(U256)="Pass",AB256="Open"),"INVALID – corrective action still open: use Fail, then Pass after CA","")&amp;IF(AND(TRIM(U256)="Pass after CA",OR(TRIM(AA256)="",AB256&lt;&gt;"Closed")),"INVALID – corrective action not recorded/closed","")&lt;&gt;"",IF(AND(TRIM(U256)="Pass",ISNUMBER(AF256)),IF(AF256&lt;&gt;0,"INVALID – qty variance: use Fail or Pass after CA",""),"")&amp;IF(AND(TRIM(U256)="Pass",AB256="Open"),"INVALID – corrective action still open: use Fail, then Pass after CA","")&amp;IF(AND(TRIM(U256)="Pass after CA",OR(TRIM(AA256)="",AB256&lt;&gt;"Closed")),"INVALID – corrective action not recorded/closed",""),IF(AND(AS256=1,Documents!$J$11&lt;&gt;"ON FILE"),"INVALID – GLD not on file (Documents sheet)",IF(AND(AS256=2,Documents!$O$11&lt;&gt;"ON FILE"),"INVALID – menu checklist not on file (Documents sheet)",IF(AND(AS256=3,NOT(ISNUMBER(Flights!$AX$11))),"INVALID – enter carrying flight KUL departure (Flights AX)",IF(AG256&gt;AsOfUTC,"INVALID – completion time is in the future",IF(AND(ISNUMBER(S256),AG256&lt;S256),IF(H256="Physical uplift","INVALID – before uplift window (cannot confirm loading)","INVALID – before valid window"),IF(AG256&gt;Flights!$AA$11,"INVALID – completed after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f>
        <v>OPEN</v>
      </c>
      <c r="AI256" s="61" t="n">
        <f aca="false">IF(OR(AH256="N/A – RULE",AH256="N/A – JUSTIFIED"),0,1)</f>
        <v>1</v>
      </c>
      <c r="AJ256" s="61" t="n">
        <f aca="false">IF(LEFT(AH256,8)="COMPLETE",1,0)</f>
        <v>0</v>
      </c>
      <c r="AK256" s="61" t="n">
        <f aca="false">IF(AND(AI256=1,AJ256=0,AsOfUTC&gt;Q256),1,0)</f>
        <v>0</v>
      </c>
      <c r="AL256" s="61" t="n">
        <f aca="false">IF(AND(AI256=1,OR(TRIM(U256)="Fail",AB256="Open",AND(ISNUMBER(AF256),AF256&lt;&gt;0,TRIM(U256)&lt;&gt;"Pass after CA"))),1,0)</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1</v>
      </c>
    </row>
    <row r="257" customFormat="false" ht="39.75" hidden="false" customHeight="true" outlineLevel="0" collapsed="false">
      <c r="A257" s="57" t="s">
        <v>791</v>
      </c>
      <c r="B257" s="57" t="s">
        <v>225</v>
      </c>
      <c r="C257" s="57" t="str">
        <f aca="false">Flights!$F$11</f>
        <v>MH0003</v>
      </c>
      <c r="D257" s="58" t="n">
        <f aca="false">Flights!$D$11</f>
        <v>46304</v>
      </c>
      <c r="E257" s="57" t="str">
        <f aca="false">Flights!$G$11&amp;"-"&amp;Flights!$H$11</f>
        <v>LHR-KUL</v>
      </c>
      <c r="F257" s="57" t="str">
        <f aca="false">Flights!$K$11</f>
        <v>BC</v>
      </c>
      <c r="G257" s="57" t="s">
        <v>422</v>
      </c>
      <c r="H257" s="57" t="s">
        <v>423</v>
      </c>
      <c r="I257" s="57" t="s">
        <v>462</v>
      </c>
      <c r="J257" s="57" t="s">
        <v>514</v>
      </c>
      <c r="K257" s="67" t="s">
        <v>464</v>
      </c>
      <c r="L257" s="67" t="s">
        <v>711</v>
      </c>
      <c r="M257" s="67" t="s">
        <v>414</v>
      </c>
      <c r="N257" s="67" t="s">
        <v>346</v>
      </c>
      <c r="O257" s="67"/>
      <c r="P257" s="57" t="s">
        <v>176</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Q257-UpliftWindowH/24</f>
        <v>46304.1666666667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IF(N257="N/A – rule","N/A – RULE",IF(TRIM(U257)="N/A",IF(AT257=0,"INVALID – N/A not permitted for this mandatory check",IF(AND(TRIM(AC257)&lt;&gt;"",TRIM(AE257)&lt;&gt;"",TRIM(T257)&lt;&gt;""),"N/A – JUSTIFIED","INVALID – N/A needs justification, PIC and verifier")),IF(OR(TRIM(U257)="Pass",TRIM(U257)="Pass after CA"),IF(NOT(ISNUMBER(AD257)),"INVALID – completion time missing",IF(TRIM(T257)="","INVALID – PIC missing",IF(TRIM(Z257)="","INVALID – evidence missing",IF(TRIM(AE257)="","INVALID – verifier missing",IF(AND(AQ257=1,TRIM(W257)=""),"INVALID – batch ID missing",IF(AND(AR257=1,OR(NOT(ISNUMBER(X257)),NOT(ISNUMBER(Y257)))),"INVALID – expected/actual qty missing",IF(IF(AND(TRIM(U257)="Pass",ISNUMBER(AF257)),IF(AF257&lt;&gt;0,"INVALID – qty variance: use Fail or Pass after CA",""),"")&amp;IF(AND(TRIM(U257)="Pass",AB257="Open"),"INVALID – corrective action still open: use Fail, then Pass after CA","")&amp;IF(AND(TRIM(U257)="Pass after CA",OR(TRIM(AA257)="",AB257&lt;&gt;"Closed")),"INVALID – corrective action not recorded/closed","")&lt;&gt;"",IF(AND(TRIM(U257)="Pass",ISNUMBER(AF257)),IF(AF257&lt;&gt;0,"INVALID – qty variance: use Fail or Pass after CA",""),"")&amp;IF(AND(TRIM(U257)="Pass",AB257="Open"),"INVALID – corrective action still open: use Fail, then Pass after CA","")&amp;IF(AND(TRIM(U257)="Pass after CA",OR(TRIM(AA257)="",AB257&lt;&gt;"Closed")),"INVALID – corrective action not recorded/closed",""),IF(AND(AS257=1,Documents!$J$11&lt;&gt;"ON FILE"),"INVALID – GLD not on file (Documents sheet)",IF(AND(AS257=2,Documents!$O$11&lt;&gt;"ON FILE"),"INVALID – menu checklist not on file (Documents sheet)",IF(AND(AS257=3,NOT(ISNUMBER(Flights!$AX$11))),"INVALID – enter carrying flight KUL departure (Flights AX)",IF(AG257&gt;AsOfUTC,"INVALID – completion time is in the future",IF(AND(ISNUMBER(S257),AG257&lt;S257),IF(H257="Physical uplift","INVALID – before uplift window (cannot confirm loading)","INVALID – before valid window"),IF(AG257&gt;Flights!$AA$11,"INVALID – completed after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f>
        <v>OPEN</v>
      </c>
      <c r="AI257" s="61" t="n">
        <f aca="false">IF(OR(AH257="N/A – RULE",AH257="N/A – JUSTIFIED"),0,1)</f>
        <v>1</v>
      </c>
      <c r="AJ257" s="61" t="n">
        <f aca="false">IF(LEFT(AH257,8)="COMPLETE",1,0)</f>
        <v>0</v>
      </c>
      <c r="AK257" s="61" t="n">
        <f aca="false">IF(AND(AI257=1,AJ257=0,AsOfUTC&gt;Q257),1,0)</f>
        <v>0</v>
      </c>
      <c r="AL257" s="61" t="n">
        <f aca="false">IF(AND(AI257=1,OR(TRIM(U257)="Fail",AB257="Open",AND(ISNUMBER(AF257),AF257&lt;&gt;0,TRIM(U257)&lt;&gt;"Pass after CA"))),1,0)</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1</v>
      </c>
    </row>
    <row r="258" customFormat="false" ht="39.75" hidden="false" customHeight="true" outlineLevel="0" collapsed="false">
      <c r="A258" s="57" t="s">
        <v>792</v>
      </c>
      <c r="B258" s="57" t="s">
        <v>225</v>
      </c>
      <c r="C258" s="57" t="str">
        <f aca="false">Flights!$F$11</f>
        <v>MH0003</v>
      </c>
      <c r="D258" s="58" t="n">
        <f aca="false">Flights!$D$11</f>
        <v>46304</v>
      </c>
      <c r="E258" s="57" t="str">
        <f aca="false">Flights!$G$11&amp;"-"&amp;Flights!$H$11</f>
        <v>LHR-KUL</v>
      </c>
      <c r="F258" s="57" t="str">
        <f aca="false">Flights!$K$11</f>
        <v>BC</v>
      </c>
      <c r="G258" s="57" t="s">
        <v>422</v>
      </c>
      <c r="H258" s="57" t="s">
        <v>423</v>
      </c>
      <c r="I258" s="57" t="s">
        <v>410</v>
      </c>
      <c r="J258" s="57" t="s">
        <v>516</v>
      </c>
      <c r="K258" s="67" t="s">
        <v>412</v>
      </c>
      <c r="L258" s="67" t="s">
        <v>713</v>
      </c>
      <c r="M258" s="67" t="s">
        <v>414</v>
      </c>
      <c r="N258" s="67" t="s">
        <v>346</v>
      </c>
      <c r="O258" s="67"/>
      <c r="P258" s="57" t="s">
        <v>176</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Q258-UpliftWindowH/24</f>
        <v>46304.1666666667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IF(N258="N/A – rule","N/A – RULE",IF(TRIM(U258)="N/A",IF(AT258=0,"INVALID – N/A not permitted for this mandatory check",IF(AND(TRIM(AC258)&lt;&gt;"",TRIM(AE258)&lt;&gt;"",TRIM(T258)&lt;&gt;""),"N/A – JUSTIFIED","INVALID – N/A needs justification, PIC and verifier")),IF(OR(TRIM(U258)="Pass",TRIM(U258)="Pass after CA"),IF(NOT(ISNUMBER(AD258)),"INVALID – completion time missing",IF(TRIM(T258)="","INVALID – PIC missing",IF(TRIM(Z258)="","INVALID – evidence missing",IF(TRIM(AE258)="","INVALID – verifier missing",IF(AND(AQ258=1,TRIM(W258)=""),"INVALID – batch ID missing",IF(AND(AR258=1,OR(NOT(ISNUMBER(X258)),NOT(ISNUMBER(Y258)))),"INVALID – expected/actual qty missing",IF(IF(AND(TRIM(U258)="Pass",ISNUMBER(AF258)),IF(AF258&lt;&gt;0,"INVALID – qty variance: use Fail or Pass after CA",""),"")&amp;IF(AND(TRIM(U258)="Pass",AB258="Open"),"INVALID – corrective action still open: use Fail, then Pass after CA","")&amp;IF(AND(TRIM(U258)="Pass after CA",OR(TRIM(AA258)="",AB258&lt;&gt;"Closed")),"INVALID – corrective action not recorded/closed","")&lt;&gt;"",IF(AND(TRIM(U258)="Pass",ISNUMBER(AF258)),IF(AF258&lt;&gt;0,"INVALID – qty variance: use Fail or Pass after CA",""),"")&amp;IF(AND(TRIM(U258)="Pass",AB258="Open"),"INVALID – corrective action still open: use Fail, then Pass after CA","")&amp;IF(AND(TRIM(U258)="Pass after CA",OR(TRIM(AA258)="",AB258&lt;&gt;"Closed")),"INVALID – corrective action not recorded/closed",""),IF(AND(AS258=1,Documents!$J$11&lt;&gt;"ON FILE"),"INVALID – GLD not on file (Documents sheet)",IF(AND(AS258=2,Documents!$O$11&lt;&gt;"ON FILE"),"INVALID – menu checklist not on file (Documents sheet)",IF(AND(AS258=3,NOT(ISNUMBER(Flights!$AX$11))),"INVALID – enter carrying flight KUL departure (Flights AX)",IF(AG258&gt;AsOfUTC,"INVALID – completion time is in the future",IF(AND(ISNUMBER(S258),AG258&lt;S258),IF(H258="Physical uplift","INVALID – before uplift window (cannot confirm loading)","INVALID – before valid window"),IF(AG258&gt;Flights!$AA$11,"INVALID – completed after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f>
        <v>OPEN</v>
      </c>
      <c r="AI258" s="61" t="n">
        <f aca="false">IF(OR(AH258="N/A – RULE",AH258="N/A – JUSTIFIED"),0,1)</f>
        <v>1</v>
      </c>
      <c r="AJ258" s="61" t="n">
        <f aca="false">IF(LEFT(AH258,8)="COMPLETE",1,0)</f>
        <v>0</v>
      </c>
      <c r="AK258" s="61" t="n">
        <f aca="false">IF(AND(AI258=1,AJ258=0,AsOfUTC&gt;Q258),1,0)</f>
        <v>0</v>
      </c>
      <c r="AL258" s="61" t="n">
        <f aca="false">IF(AND(AI258=1,OR(TRIM(U258)="Fail",AB258="Open",AND(ISNUMBER(AF258),AF258&lt;&gt;0,TRIM(U258)&lt;&gt;"Pass after CA"))),1,0)</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1</v>
      </c>
    </row>
    <row r="259" customFormat="false" ht="39.75" hidden="false" customHeight="true" outlineLevel="0" collapsed="false">
      <c r="A259" s="57" t="s">
        <v>793</v>
      </c>
      <c r="B259" s="57" t="s">
        <v>225</v>
      </c>
      <c r="C259" s="57" t="str">
        <f aca="false">Flights!$F$11</f>
        <v>MH0003</v>
      </c>
      <c r="D259" s="58" t="n">
        <f aca="false">Flights!$D$11</f>
        <v>46304</v>
      </c>
      <c r="E259" s="57" t="str">
        <f aca="false">Flights!$G$11&amp;"-"&amp;Flights!$H$11</f>
        <v>LHR-KUL</v>
      </c>
      <c r="F259" s="57" t="str">
        <f aca="false">Flights!$K$11</f>
        <v>BC</v>
      </c>
      <c r="G259" s="57" t="s">
        <v>422</v>
      </c>
      <c r="H259" s="57" t="s">
        <v>423</v>
      </c>
      <c r="I259" s="57" t="s">
        <v>410</v>
      </c>
      <c r="J259" s="57" t="s">
        <v>616</v>
      </c>
      <c r="K259" s="67" t="s">
        <v>412</v>
      </c>
      <c r="L259" s="67" t="s">
        <v>715</v>
      </c>
      <c r="M259" s="67" t="s">
        <v>414</v>
      </c>
      <c r="N259" s="67" t="s">
        <v>346</v>
      </c>
      <c r="O259" s="67"/>
      <c r="P259" s="57" t="s">
        <v>176</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Q259-UpliftWindowH/24</f>
        <v>46304.1666666667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IF(N259="N/A – rule","N/A – RULE",IF(TRIM(U259)="N/A",IF(AT259=0,"INVALID – N/A not permitted for this mandatory check",IF(AND(TRIM(AC259)&lt;&gt;"",TRIM(AE259)&lt;&gt;"",TRIM(T259)&lt;&gt;""),"N/A – JUSTIFIED","INVALID – N/A needs justification, PIC and verifier")),IF(OR(TRIM(U259)="Pass",TRIM(U259)="Pass after CA"),IF(NOT(ISNUMBER(AD259)),"INVALID – completion time missing",IF(TRIM(T259)="","INVALID – PIC missing",IF(TRIM(Z259)="","INVALID – evidence missing",IF(TRIM(AE259)="","INVALID – verifier missing",IF(AND(AQ259=1,TRIM(W259)=""),"INVALID – batch ID missing",IF(AND(AR259=1,OR(NOT(ISNUMBER(X259)),NOT(ISNUMBER(Y259)))),"INVALID – expected/actual qty missing",IF(IF(AND(TRIM(U259)="Pass",ISNUMBER(AF259)),IF(AF259&lt;&gt;0,"INVALID – qty variance: use Fail or Pass after CA",""),"")&amp;IF(AND(TRIM(U259)="Pass",AB259="Open"),"INVALID – corrective action still open: use Fail, then Pass after CA","")&amp;IF(AND(TRIM(U259)="Pass after CA",OR(TRIM(AA259)="",AB259&lt;&gt;"Closed")),"INVALID – corrective action not recorded/closed","")&lt;&gt;"",IF(AND(TRIM(U259)="Pass",ISNUMBER(AF259)),IF(AF259&lt;&gt;0,"INVALID – qty variance: use Fail or Pass after CA",""),"")&amp;IF(AND(TRIM(U259)="Pass",AB259="Open"),"INVALID – corrective action still open: use Fail, then Pass after CA","")&amp;IF(AND(TRIM(U259)="Pass after CA",OR(TRIM(AA259)="",AB259&lt;&gt;"Closed")),"INVALID – corrective action not recorded/closed",""),IF(AND(AS259=1,Documents!$J$11&lt;&gt;"ON FILE"),"INVALID – GLD not on file (Documents sheet)",IF(AND(AS259=2,Documents!$O$11&lt;&gt;"ON FILE"),"INVALID – menu checklist not on file (Documents sheet)",IF(AND(AS259=3,NOT(ISNUMBER(Flights!$AX$11))),"INVALID – enter carrying flight KUL departure (Flights AX)",IF(AG259&gt;AsOfUTC,"INVALID – completion time is in the future",IF(AND(ISNUMBER(S259),AG259&lt;S259),IF(H259="Physical uplift","INVALID – before uplift window (cannot confirm loading)","INVALID – before valid window"),IF(AG259&gt;Flights!$AA$11,"INVALID – completed after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f>
        <v>OPEN</v>
      </c>
      <c r="AI259" s="61" t="n">
        <f aca="false">IF(OR(AH259="N/A – RULE",AH259="N/A – JUSTIFIED"),0,1)</f>
        <v>1</v>
      </c>
      <c r="AJ259" s="61" t="n">
        <f aca="false">IF(LEFT(AH259,8)="COMPLETE",1,0)</f>
        <v>0</v>
      </c>
      <c r="AK259" s="61" t="n">
        <f aca="false">IF(AND(AI259=1,AJ259=0,AsOfUTC&gt;Q259),1,0)</f>
        <v>0</v>
      </c>
      <c r="AL259" s="61" t="n">
        <f aca="false">IF(AND(AI259=1,OR(TRIM(U259)="Fail",AB259="Open",AND(ISNUMBER(AF259),AF259&lt;&gt;0,TRIM(U259)&lt;&gt;"Pass after CA"))),1,0)</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1</v>
      </c>
    </row>
    <row r="260" customFormat="false" ht="39.75" hidden="false" customHeight="true" outlineLevel="0" collapsed="false">
      <c r="A260" s="57" t="s">
        <v>794</v>
      </c>
      <c r="B260" s="57" t="s">
        <v>225</v>
      </c>
      <c r="C260" s="57" t="str">
        <f aca="false">Flights!$F$11</f>
        <v>MH0003</v>
      </c>
      <c r="D260" s="58" t="n">
        <f aca="false">Flights!$D$11</f>
        <v>46304</v>
      </c>
      <c r="E260" s="57" t="str">
        <f aca="false">Flights!$G$11&amp;"-"&amp;Flights!$H$11</f>
        <v>LHR-KUL</v>
      </c>
      <c r="F260" s="57" t="str">
        <f aca="false">Flights!$K$11</f>
        <v>BC</v>
      </c>
      <c r="G260" s="57" t="s">
        <v>422</v>
      </c>
      <c r="H260" s="57" t="s">
        <v>423</v>
      </c>
      <c r="I260" s="57" t="s">
        <v>410</v>
      </c>
      <c r="J260" s="57" t="s">
        <v>618</v>
      </c>
      <c r="K260" s="67" t="s">
        <v>412</v>
      </c>
      <c r="L260" s="67" t="s">
        <v>717</v>
      </c>
      <c r="M260" s="67" t="s">
        <v>414</v>
      </c>
      <c r="N260" s="67" t="s">
        <v>346</v>
      </c>
      <c r="O260" s="67"/>
      <c r="P260" s="57" t="s">
        <v>176</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Q260-UpliftWindowH/24</f>
        <v>46304.1666666667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IF(N260="N/A – rule","N/A – RULE",IF(TRIM(U260)="N/A",IF(AT260=0,"INVALID – N/A not permitted for this mandatory check",IF(AND(TRIM(AC260)&lt;&gt;"",TRIM(AE260)&lt;&gt;"",TRIM(T260)&lt;&gt;""),"N/A – JUSTIFIED","INVALID – N/A needs justification, PIC and verifier")),IF(OR(TRIM(U260)="Pass",TRIM(U260)="Pass after CA"),IF(NOT(ISNUMBER(AD260)),"INVALID – completion time missing",IF(TRIM(T260)="","INVALID – PIC missing",IF(TRIM(Z260)="","INVALID – evidence missing",IF(TRIM(AE260)="","INVALID – verifier missing",IF(AND(AQ260=1,TRIM(W260)=""),"INVALID – batch ID missing",IF(AND(AR260=1,OR(NOT(ISNUMBER(X260)),NOT(ISNUMBER(Y260)))),"INVALID – expected/actual qty missing",IF(IF(AND(TRIM(U260)="Pass",ISNUMBER(AF260)),IF(AF260&lt;&gt;0,"INVALID – qty variance: use Fail or Pass after CA",""),"")&amp;IF(AND(TRIM(U260)="Pass",AB260="Open"),"INVALID – corrective action still open: use Fail, then Pass after CA","")&amp;IF(AND(TRIM(U260)="Pass after CA",OR(TRIM(AA260)="",AB260&lt;&gt;"Closed")),"INVALID – corrective action not recorded/closed","")&lt;&gt;"",IF(AND(TRIM(U260)="Pass",ISNUMBER(AF260)),IF(AF260&lt;&gt;0,"INVALID – qty variance: use Fail or Pass after CA",""),"")&amp;IF(AND(TRIM(U260)="Pass",AB260="Open"),"INVALID – corrective action still open: use Fail, then Pass after CA","")&amp;IF(AND(TRIM(U260)="Pass after CA",OR(TRIM(AA260)="",AB260&lt;&gt;"Closed")),"INVALID – corrective action not recorded/closed",""),IF(AND(AS260=1,Documents!$J$11&lt;&gt;"ON FILE"),"INVALID – GLD not on file (Documents sheet)",IF(AND(AS260=2,Documents!$O$11&lt;&gt;"ON FILE"),"INVALID – menu checklist not on file (Documents sheet)",IF(AND(AS260=3,NOT(ISNUMBER(Flights!$AX$11))),"INVALID – enter carrying flight KUL departure (Flights AX)",IF(AG260&gt;AsOfUTC,"INVALID – completion time is in the future",IF(AND(ISNUMBER(S260),AG260&lt;S260),IF(H260="Physical uplift","INVALID – before uplift window (cannot confirm loading)","INVALID – before valid window"),IF(AG260&gt;Flights!$AA$11,"INVALID – completed after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f>
        <v>OPEN</v>
      </c>
      <c r="AI260" s="61" t="n">
        <f aca="false">IF(OR(AH260="N/A – RULE",AH260="N/A – JUSTIFIED"),0,1)</f>
        <v>1</v>
      </c>
      <c r="AJ260" s="61" t="n">
        <f aca="false">IF(LEFT(AH260,8)="COMPLETE",1,0)</f>
        <v>0</v>
      </c>
      <c r="AK260" s="61" t="n">
        <f aca="false">IF(AND(AI260=1,AJ260=0,AsOfUTC&gt;Q260),1,0)</f>
        <v>0</v>
      </c>
      <c r="AL260" s="61" t="n">
        <f aca="false">IF(AND(AI260=1,OR(TRIM(U260)="Fail",AB260="Open",AND(ISNUMBER(AF260),AF260&lt;&gt;0,TRIM(U260)&lt;&gt;"Pass after CA"))),1,0)</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1</v>
      </c>
    </row>
    <row r="261" customFormat="false" ht="39.75" hidden="false" customHeight="true" outlineLevel="0" collapsed="false">
      <c r="A261" s="57" t="s">
        <v>795</v>
      </c>
      <c r="B261" s="57" t="s">
        <v>225</v>
      </c>
      <c r="C261" s="57" t="str">
        <f aca="false">Flights!$F$11</f>
        <v>MH0003</v>
      </c>
      <c r="D261" s="58" t="n">
        <f aca="false">Flights!$D$11</f>
        <v>46304</v>
      </c>
      <c r="E261" s="57" t="str">
        <f aca="false">Flights!$G$11&amp;"-"&amp;Flights!$H$11</f>
        <v>LHR-KUL</v>
      </c>
      <c r="F261" s="57" t="str">
        <f aca="false">Flights!$K$11</f>
        <v>BC</v>
      </c>
      <c r="G261" s="57" t="s">
        <v>422</v>
      </c>
      <c r="H261" s="57" t="s">
        <v>423</v>
      </c>
      <c r="I261" s="57" t="s">
        <v>592</v>
      </c>
      <c r="J261" s="57" t="s">
        <v>620</v>
      </c>
      <c r="K261" s="67" t="s">
        <v>464</v>
      </c>
      <c r="L261" s="67" t="s">
        <v>719</v>
      </c>
      <c r="M261" s="67" t="s">
        <v>177</v>
      </c>
      <c r="N261" s="67" t="s">
        <v>346</v>
      </c>
      <c r="O261" s="67" t="s">
        <v>595</v>
      </c>
      <c r="P261" s="57" t="s">
        <v>176</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Q261-UpliftWindowH/24</f>
        <v>46304.1666666667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IF(N261="N/A – rule","N/A – RULE",IF(TRIM(U261)="N/A",IF(AT261=0,"INVALID – N/A not permitted for this mandatory check",IF(AND(TRIM(AC261)&lt;&gt;"",TRIM(AE261)&lt;&gt;"",TRIM(T261)&lt;&gt;""),"N/A – JUSTIFIED","INVALID – N/A needs justification, PIC and verifier")),IF(OR(TRIM(U261)="Pass",TRIM(U261)="Pass after CA"),IF(NOT(ISNUMBER(AD261)),"INVALID – completion time missing",IF(TRIM(T261)="","INVALID – PIC missing",IF(TRIM(Z261)="","INVALID – evidence missing",IF(TRIM(AE261)="","INVALID – verifier missing",IF(AND(AQ261=1,TRIM(W261)=""),"INVALID – batch ID missing",IF(AND(AR261=1,OR(NOT(ISNUMBER(X261)),NOT(ISNUMBER(Y261)))),"INVALID – expected/actual qty missing",IF(IF(AND(TRIM(U261)="Pass",ISNUMBER(AF261)),IF(AF261&lt;&gt;0,"INVALID – qty variance: use Fail or Pass after CA",""),"")&amp;IF(AND(TRIM(U261)="Pass",AB261="Open"),"INVALID – corrective action still open: use Fail, then Pass after CA","")&amp;IF(AND(TRIM(U261)="Pass after CA",OR(TRIM(AA261)="",AB261&lt;&gt;"Closed")),"INVALID – corrective action not recorded/closed","")&lt;&gt;"",IF(AND(TRIM(U261)="Pass",ISNUMBER(AF261)),IF(AF261&lt;&gt;0,"INVALID – qty variance: use Fail or Pass after CA",""),"")&amp;IF(AND(TRIM(U261)="Pass",AB261="Open"),"INVALID – corrective action still open: use Fail, then Pass after CA","")&amp;IF(AND(TRIM(U261)="Pass after CA",OR(TRIM(AA261)="",AB261&lt;&gt;"Closed")),"INVALID – corrective action not recorded/closed",""),IF(AND(AS261=1,Documents!$J$11&lt;&gt;"ON FILE"),"INVALID – GLD not on file (Documents sheet)",IF(AND(AS261=2,Documents!$O$11&lt;&gt;"ON FILE"),"INVALID – menu checklist not on file (Documents sheet)",IF(AND(AS261=3,NOT(ISNUMBER(Flights!$AX$11))),"INVALID – enter carrying flight KUL departure (Flights AX)",IF(AG261&gt;AsOfUTC,"INVALID – completion time is in the future",IF(AND(ISNUMBER(S261),AG261&lt;S261),IF(H261="Physical uplift","INVALID – before uplift window (cannot confirm loading)","INVALID – before valid window"),IF(AG261&gt;Flights!$AA$11,"INVALID – completed after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f>
        <v>OPEN</v>
      </c>
      <c r="AI261" s="61" t="n">
        <f aca="false">IF(OR(AH261="N/A – RULE",AH261="N/A – JUSTIFIED"),0,1)</f>
        <v>1</v>
      </c>
      <c r="AJ261" s="61" t="n">
        <f aca="false">IF(LEFT(AH261,8)="COMPLETE",1,0)</f>
        <v>0</v>
      </c>
      <c r="AK261" s="61" t="n">
        <f aca="false">IF(AND(AI261=1,AJ261=0,AsOfUTC&gt;Q261),1,0)</f>
        <v>0</v>
      </c>
      <c r="AL261" s="61" t="n">
        <f aca="false">IF(AND(AI261=1,OR(TRIM(U261)="Fail",AB261="Open",AND(ISNUMBER(AF261),AF261&lt;&gt;0,TRIM(U261)&lt;&gt;"Pass after CA"))),1,0)</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1</v>
      </c>
    </row>
    <row r="262" customFormat="false" ht="39.75" hidden="false" customHeight="true" outlineLevel="0" collapsed="false">
      <c r="A262" s="57" t="s">
        <v>796</v>
      </c>
      <c r="B262" s="57" t="s">
        <v>228</v>
      </c>
      <c r="C262" s="57" t="str">
        <f aca="false">Flights!$F$12</f>
        <v>MH0752</v>
      </c>
      <c r="D262" s="58" t="n">
        <f aca="false">Flights!$D$12</f>
        <v>46305</v>
      </c>
      <c r="E262" s="57" t="str">
        <f aca="false">Flights!$G$12&amp;"-"&amp;Flights!$H$12</f>
        <v>KUL-HAN</v>
      </c>
      <c r="F262" s="57" t="str">
        <f aca="false">Flights!$K$12</f>
        <v>EY</v>
      </c>
      <c r="G262" s="57" t="s">
        <v>74</v>
      </c>
      <c r="H262" s="57" t="s">
        <v>341</v>
      </c>
      <c r="I262" s="57" t="s">
        <v>342</v>
      </c>
      <c r="J262" s="57" t="s">
        <v>343</v>
      </c>
      <c r="K262" s="67" t="s">
        <v>344</v>
      </c>
      <c r="L262" s="67" t="s">
        <v>345</v>
      </c>
      <c r="M262" s="67"/>
      <c r="N262" s="67" t="s">
        <v>346</v>
      </c>
      <c r="O262" s="67"/>
      <c r="P262" s="57" t="s">
        <v>177</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IF(N262="N/A – rule","N/A – RULE",IF(TRIM(U262)="N/A",IF(AT262=0,"INVALID – N/A not permitted for this mandatory check",IF(AND(TRIM(AC262)&lt;&gt;"",TRIM(AE262)&lt;&gt;"",TRIM(T262)&lt;&gt;""),"N/A – JUSTIFIED","INVALID – N/A needs justification, PIC and verifier")),IF(OR(TRIM(U262)="Pass",TRIM(U262)="Pass after CA"),IF(NOT(ISNUMBER(AD262)),"INVALID – completion time missing",IF(TRIM(T262)="","INVALID – PIC missing",IF(TRIM(Z262)="","INVALID – evidence missing",IF(TRIM(AE262)="","INVALID – verifier missing",IF(AND(AQ262=1,TRIM(W262)=""),"INVALID – batch ID missing",IF(AND(AR262=1,OR(NOT(ISNUMBER(X262)),NOT(ISNUMBER(Y262)))),"INVALID – expected/actual qty missing",IF(IF(AND(TRIM(U262)="Pass",ISNUMBER(AF262)),IF(AF262&lt;&gt;0,"INVALID – qty variance: use Fail or Pass after CA",""),"")&amp;IF(AND(TRIM(U262)="Pass",AB262="Open"),"INVALID – corrective action still open: use Fail, then Pass after CA","")&amp;IF(AND(TRIM(U262)="Pass after CA",OR(TRIM(AA262)="",AB262&lt;&gt;"Closed")),"INVALID – corrective action not recorded/closed","")&lt;&gt;"",IF(AND(TRIM(U262)="Pass",ISNUMBER(AF262)),IF(AF262&lt;&gt;0,"INVALID – qty variance: use Fail or Pass after CA",""),"")&amp;IF(AND(TRIM(U262)="Pass",AB262="Open"),"INVALID – corrective action still open: use Fail, then Pass after CA","")&amp;IF(AND(TRIM(U262)="Pass after CA",OR(TRIM(AA262)="",AB262&lt;&gt;"Closed")),"INVALID – corrective action not recorded/closed",""),IF(AND(AS262=1,Documents!$J$12&lt;&gt;"ON FILE"),"INVALID – GLD not on file (Documents sheet)",IF(AND(AS262=2,Documents!$O$12&lt;&gt;"ON FILE"),"INVALID – menu checklist not on file (Documents sheet)",IF(AND(AS262=3,NOT(ISNUMBER(Flights!$AX$12))),"INVALID – enter carrying flight KUL departure (Flights AX)",IF(AG262&gt;AsOfUTC,"INVALID – completion time is in the future",IF(AND(ISNUMBER(S262),AG262&lt;S262),IF(H262="Physical uplift","INVALID – before uplift window (cannot confirm loading)","INVALID – before valid window"),IF(AG262&gt;Flights!$AA$12,"INVALID – completed after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f>
        <v>OPEN</v>
      </c>
      <c r="AI262" s="61" t="n">
        <f aca="false">IF(OR(AH262="N/A – RULE",AH262="N/A – JUSTIFIED"),0,1)</f>
        <v>1</v>
      </c>
      <c r="AJ262" s="61" t="n">
        <f aca="false">IF(LEFT(AH262,8)="COMPLETE",1,0)</f>
        <v>0</v>
      </c>
      <c r="AK262" s="61" t="n">
        <f aca="false">IF(AND(AI262=1,AJ262=0,AsOfUTC&gt;Q262),1,0)</f>
        <v>0</v>
      </c>
      <c r="AL262" s="61" t="n">
        <f aca="false">IF(AND(AI262=1,OR(TRIM(U262)="Fail",AB262="Open",AND(ISNUMBER(AF262),AF262&lt;&gt;0,TRIM(U262)&lt;&gt;"Pass after CA"))),1,0)</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row>
    <row r="263" customFormat="false" ht="39.75" hidden="false" customHeight="true" outlineLevel="0" collapsed="false">
      <c r="A263" s="57" t="s">
        <v>797</v>
      </c>
      <c r="B263" s="57" t="s">
        <v>228</v>
      </c>
      <c r="C263" s="57" t="str">
        <f aca="false">Flights!$F$12</f>
        <v>MH0752</v>
      </c>
      <c r="D263" s="58" t="n">
        <f aca="false">Flights!$D$12</f>
        <v>46305</v>
      </c>
      <c r="E263" s="57" t="str">
        <f aca="false">Flights!$G$12&amp;"-"&amp;Flights!$H$12</f>
        <v>KUL-HAN</v>
      </c>
      <c r="F263" s="57" t="str">
        <f aca="false">Flights!$K$12</f>
        <v>EY</v>
      </c>
      <c r="G263" s="57" t="s">
        <v>74</v>
      </c>
      <c r="H263" s="57" t="s">
        <v>341</v>
      </c>
      <c r="I263" s="57" t="s">
        <v>348</v>
      </c>
      <c r="J263" s="57" t="s">
        <v>349</v>
      </c>
      <c r="K263" s="67" t="s">
        <v>350</v>
      </c>
      <c r="L263" s="67" t="s">
        <v>345</v>
      </c>
      <c r="M263" s="67"/>
      <c r="N263" s="67" t="s">
        <v>346</v>
      </c>
      <c r="O263" s="67"/>
      <c r="P263" s="57" t="s">
        <v>177</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IF(N263="N/A – rule","N/A – RULE",IF(TRIM(U263)="N/A",IF(AT263=0,"INVALID – N/A not permitted for this mandatory check",IF(AND(TRIM(AC263)&lt;&gt;"",TRIM(AE263)&lt;&gt;"",TRIM(T263)&lt;&gt;""),"N/A – JUSTIFIED","INVALID – N/A needs justification, PIC and verifier")),IF(OR(TRIM(U263)="Pass",TRIM(U263)="Pass after CA"),IF(NOT(ISNUMBER(AD263)),"INVALID – completion time missing",IF(TRIM(T263)="","INVALID – PIC missing",IF(TRIM(Z263)="","INVALID – evidence missing",IF(TRIM(AE263)="","INVALID – verifier missing",IF(AND(AQ263=1,TRIM(W263)=""),"INVALID – batch ID missing",IF(AND(AR263=1,OR(NOT(ISNUMBER(X263)),NOT(ISNUMBER(Y263)))),"INVALID – expected/actual qty missing",IF(IF(AND(TRIM(U263)="Pass",ISNUMBER(AF263)),IF(AF263&lt;&gt;0,"INVALID – qty variance: use Fail or Pass after CA",""),"")&amp;IF(AND(TRIM(U263)="Pass",AB263="Open"),"INVALID – corrective action still open: use Fail, then Pass after CA","")&amp;IF(AND(TRIM(U263)="Pass after CA",OR(TRIM(AA263)="",AB263&lt;&gt;"Closed")),"INVALID – corrective action not recorded/closed","")&lt;&gt;"",IF(AND(TRIM(U263)="Pass",ISNUMBER(AF263)),IF(AF263&lt;&gt;0,"INVALID – qty variance: use Fail or Pass after CA",""),"")&amp;IF(AND(TRIM(U263)="Pass",AB263="Open"),"INVALID – corrective action still open: use Fail, then Pass after CA","")&amp;IF(AND(TRIM(U263)="Pass after CA",OR(TRIM(AA263)="",AB263&lt;&gt;"Closed")),"INVALID – corrective action not recorded/closed",""),IF(AND(AS263=1,Documents!$J$12&lt;&gt;"ON FILE"),"INVALID – GLD not on file (Documents sheet)",IF(AND(AS263=2,Documents!$O$12&lt;&gt;"ON FILE"),"INVALID – menu checklist not on file (Documents sheet)",IF(AND(AS263=3,NOT(ISNUMBER(Flights!$AX$12))),"INVALID – enter carrying flight KUL departure (Flights AX)",IF(AG263&gt;AsOfUTC,"INVALID – completion time is in the future",IF(AND(ISNUMBER(S263),AG263&lt;S263),IF(H263="Physical uplift","INVALID – before uplift window (cannot confirm loading)","INVALID – before valid window"),IF(AG263&gt;Flights!$AA$12,"INVALID – completed after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f>
        <v>OPEN</v>
      </c>
      <c r="AI263" s="61" t="n">
        <f aca="false">IF(OR(AH263="N/A – RULE",AH263="N/A – JUSTIFIED"),0,1)</f>
        <v>1</v>
      </c>
      <c r="AJ263" s="61" t="n">
        <f aca="false">IF(LEFT(AH263,8)="COMPLETE",1,0)</f>
        <v>0</v>
      </c>
      <c r="AK263" s="61" t="n">
        <f aca="false">IF(AND(AI263=1,AJ263=0,AsOfUTC&gt;Q263),1,0)</f>
        <v>0</v>
      </c>
      <c r="AL263" s="61" t="n">
        <f aca="false">IF(AND(AI263=1,OR(TRIM(U263)="Fail",AB263="Open",AND(ISNUMBER(AF263),AF263&lt;&gt;0,TRIM(U263)&lt;&gt;"Pass after CA"))),1,0)</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1</v>
      </c>
    </row>
    <row r="264" customFormat="false" ht="41.25" hidden="false" customHeight="true" outlineLevel="0" collapsed="false">
      <c r="A264" s="57" t="s">
        <v>798</v>
      </c>
      <c r="B264" s="57" t="s">
        <v>228</v>
      </c>
      <c r="C264" s="57" t="str">
        <f aca="false">Flights!$F$12</f>
        <v>MH0752</v>
      </c>
      <c r="D264" s="58" t="n">
        <f aca="false">Flights!$D$12</f>
        <v>46305</v>
      </c>
      <c r="E264" s="57" t="str">
        <f aca="false">Flights!$G$12&amp;"-"&amp;Flights!$H$12</f>
        <v>KUL-HAN</v>
      </c>
      <c r="F264" s="57" t="str">
        <f aca="false">Flights!$K$12</f>
        <v>EY</v>
      </c>
      <c r="G264" s="57" t="s">
        <v>74</v>
      </c>
      <c r="H264" s="57" t="s">
        <v>341</v>
      </c>
      <c r="I264" s="57" t="s">
        <v>352</v>
      </c>
      <c r="J264" s="57" t="s">
        <v>353</v>
      </c>
      <c r="K264" s="67" t="s">
        <v>354</v>
      </c>
      <c r="L264" s="67" t="s">
        <v>345</v>
      </c>
      <c r="M264" s="67"/>
      <c r="N264" s="67" t="str">
        <f aca="false">IF(TRIM(Flights!$L$12)="A339","Required","N/A – rule")</f>
        <v>N/A – rule</v>
      </c>
      <c r="O264" s="67" t="s">
        <v>355</v>
      </c>
      <c r="P264" s="57" t="s">
        <v>177</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IF(N264="N/A – rule","N/A – RULE",IF(TRIM(U264)="N/A",IF(AT264=0,"INVALID – N/A not permitted for this mandatory check",IF(AND(TRIM(AC264)&lt;&gt;"",TRIM(AE264)&lt;&gt;"",TRIM(T264)&lt;&gt;""),"N/A – JUSTIFIED","INVALID – N/A needs justification, PIC and verifier")),IF(OR(TRIM(U264)="Pass",TRIM(U264)="Pass after CA"),IF(NOT(ISNUMBER(AD264)),"INVALID – completion time missing",IF(TRIM(T264)="","INVALID – PIC missing",IF(TRIM(Z264)="","INVALID – evidence missing",IF(TRIM(AE264)="","INVALID – verifier missing",IF(AND(AQ264=1,TRIM(W264)=""),"INVALID – batch ID missing",IF(AND(AR264=1,OR(NOT(ISNUMBER(X264)),NOT(ISNUMBER(Y264)))),"INVALID – expected/actual qty missing",IF(IF(AND(TRIM(U264)="Pass",ISNUMBER(AF264)),IF(AF264&lt;&gt;0,"INVALID – qty variance: use Fail or Pass after CA",""),"")&amp;IF(AND(TRIM(U264)="Pass",AB264="Open"),"INVALID – corrective action still open: use Fail, then Pass after CA","")&amp;IF(AND(TRIM(U264)="Pass after CA",OR(TRIM(AA264)="",AB264&lt;&gt;"Closed")),"INVALID – corrective action not recorded/closed","")&lt;&gt;"",IF(AND(TRIM(U264)="Pass",ISNUMBER(AF264)),IF(AF264&lt;&gt;0,"INVALID – qty variance: use Fail or Pass after CA",""),"")&amp;IF(AND(TRIM(U264)="Pass",AB264="Open"),"INVALID – corrective action still open: use Fail, then Pass after CA","")&amp;IF(AND(TRIM(U264)="Pass after CA",OR(TRIM(AA264)="",AB264&lt;&gt;"Closed")),"INVALID – corrective action not recorded/closed",""),IF(AND(AS264=1,Documents!$J$12&lt;&gt;"ON FILE"),"INVALID – GLD not on file (Documents sheet)",IF(AND(AS264=2,Documents!$O$12&lt;&gt;"ON FILE"),"INVALID – menu checklist not on file (Documents sheet)",IF(AND(AS264=3,NOT(ISNUMBER(Flights!$AX$12))),"INVALID – enter carrying flight KUL departure (Flights AX)",IF(AG264&gt;AsOfUTC,"INVALID – completion time is in the future",IF(AND(ISNUMBER(S264),AG264&lt;S264),IF(H264="Physical uplift","INVALID – before uplift window (cannot confirm loading)","INVALID – before valid window"),IF(AG264&gt;Flights!$AA$12,"INVALID – completed after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f>
        <v>N/A – RULE</v>
      </c>
      <c r="AI264" s="61" t="n">
        <f aca="false">IF(OR(AH264="N/A – RULE",AH264="N/A – JUSTIFIED"),0,1)</f>
        <v>0</v>
      </c>
      <c r="AJ264" s="61" t="n">
        <f aca="false">IF(LEFT(AH264,8)="COMPLETE",1,0)</f>
        <v>0</v>
      </c>
      <c r="AK264" s="61" t="n">
        <f aca="false">IF(AND(AI264=1,AJ264=0,AsOfUTC&gt;Q264),1,0)</f>
        <v>0</v>
      </c>
      <c r="AL264" s="61" t="n">
        <f aca="false">IF(AND(AI264=1,OR(TRIM(U264)="Fail",AB264="Open",AND(ISNUMBER(AF264),AF264&lt;&gt;0,TRIM(U264)&lt;&gt;"Pass after CA"))),1,0)</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row>
    <row r="265" customFormat="false" ht="39.75" hidden="false" customHeight="true" outlineLevel="0" collapsed="false">
      <c r="A265" s="57" t="s">
        <v>799</v>
      </c>
      <c r="B265" s="57" t="s">
        <v>228</v>
      </c>
      <c r="C265" s="57" t="str">
        <f aca="false">Flights!$F$12</f>
        <v>MH0752</v>
      </c>
      <c r="D265" s="58" t="n">
        <f aca="false">Flights!$D$12</f>
        <v>46305</v>
      </c>
      <c r="E265" s="57" t="str">
        <f aca="false">Flights!$G$12&amp;"-"&amp;Flights!$H$12</f>
        <v>KUL-HAN</v>
      </c>
      <c r="F265" s="57" t="str">
        <f aca="false">Flights!$K$12</f>
        <v>EY</v>
      </c>
      <c r="G265" s="57" t="s">
        <v>74</v>
      </c>
      <c r="H265" s="57" t="s">
        <v>341</v>
      </c>
      <c r="I265" s="57" t="s">
        <v>357</v>
      </c>
      <c r="J265" s="57" t="s">
        <v>358</v>
      </c>
      <c r="K265" s="67" t="s">
        <v>359</v>
      </c>
      <c r="L265" s="67" t="s">
        <v>345</v>
      </c>
      <c r="M265" s="67"/>
      <c r="N265" s="67" t="s">
        <v>346</v>
      </c>
      <c r="O265" s="67"/>
      <c r="P265" s="57" t="s">
        <v>177</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IF(N265="N/A – rule","N/A – RULE",IF(TRIM(U265)="N/A",IF(AT265=0,"INVALID – N/A not permitted for this mandatory check",IF(AND(TRIM(AC265)&lt;&gt;"",TRIM(AE265)&lt;&gt;"",TRIM(T265)&lt;&gt;""),"N/A – JUSTIFIED","INVALID – N/A needs justification, PIC and verifier")),IF(OR(TRIM(U265)="Pass",TRIM(U265)="Pass after CA"),IF(NOT(ISNUMBER(AD265)),"INVALID – completion time missing",IF(TRIM(T265)="","INVALID – PIC missing",IF(TRIM(Z265)="","INVALID – evidence missing",IF(TRIM(AE265)="","INVALID – verifier missing",IF(AND(AQ265=1,TRIM(W265)=""),"INVALID – batch ID missing",IF(AND(AR265=1,OR(NOT(ISNUMBER(X265)),NOT(ISNUMBER(Y265)))),"INVALID – expected/actual qty missing",IF(IF(AND(TRIM(U265)="Pass",ISNUMBER(AF265)),IF(AF265&lt;&gt;0,"INVALID – qty variance: use Fail or Pass after CA",""),"")&amp;IF(AND(TRIM(U265)="Pass",AB265="Open"),"INVALID – corrective action still open: use Fail, then Pass after CA","")&amp;IF(AND(TRIM(U265)="Pass after CA",OR(TRIM(AA265)="",AB265&lt;&gt;"Closed")),"INVALID – corrective action not recorded/closed","")&lt;&gt;"",IF(AND(TRIM(U265)="Pass",ISNUMBER(AF265)),IF(AF265&lt;&gt;0,"INVALID – qty variance: use Fail or Pass after CA",""),"")&amp;IF(AND(TRIM(U265)="Pass",AB265="Open"),"INVALID – corrective action still open: use Fail, then Pass after CA","")&amp;IF(AND(TRIM(U265)="Pass after CA",OR(TRIM(AA265)="",AB265&lt;&gt;"Closed")),"INVALID – corrective action not recorded/closed",""),IF(AND(AS265=1,Documents!$J$12&lt;&gt;"ON FILE"),"INVALID – GLD not on file (Documents sheet)",IF(AND(AS265=2,Documents!$O$12&lt;&gt;"ON FILE"),"INVALID – menu checklist not on file (Documents sheet)",IF(AND(AS265=3,NOT(ISNUMBER(Flights!$AX$12))),"INVALID – enter carrying flight KUL departure (Flights AX)",IF(AG265&gt;AsOfUTC,"INVALID – completion time is in the future",IF(AND(ISNUMBER(S265),AG265&lt;S265),IF(H265="Physical uplift","INVALID – before uplift window (cannot confirm loading)","INVALID – before valid window"),IF(AG265&gt;Flights!$AA$12,"INVALID – completed after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f>
        <v>OPEN</v>
      </c>
      <c r="AI265" s="61" t="n">
        <f aca="false">IF(OR(AH265="N/A – RULE",AH265="N/A – JUSTIFIED"),0,1)</f>
        <v>1</v>
      </c>
      <c r="AJ265" s="61" t="n">
        <f aca="false">IF(LEFT(AH265,8)="COMPLETE",1,0)</f>
        <v>0</v>
      </c>
      <c r="AK265" s="61" t="n">
        <f aca="false">IF(AND(AI265=1,AJ265=0,AsOfUTC&gt;Q265),1,0)</f>
        <v>0</v>
      </c>
      <c r="AL265" s="61" t="n">
        <f aca="false">IF(AND(AI265=1,OR(TRIM(U265)="Fail",AB265="Open",AND(ISNUMBER(AF265),AF265&lt;&gt;0,TRIM(U265)&lt;&gt;"Pass after CA"))),1,0)</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row>
    <row r="266" customFormat="false" ht="39.75" hidden="false" customHeight="true" outlineLevel="0" collapsed="false">
      <c r="A266" s="57" t="s">
        <v>800</v>
      </c>
      <c r="B266" s="57" t="s">
        <v>228</v>
      </c>
      <c r="C266" s="57" t="str">
        <f aca="false">Flights!$F$12</f>
        <v>MH0752</v>
      </c>
      <c r="D266" s="58" t="n">
        <f aca="false">Flights!$D$12</f>
        <v>46305</v>
      </c>
      <c r="E266" s="57" t="str">
        <f aca="false">Flights!$G$12&amp;"-"&amp;Flights!$H$12</f>
        <v>KUL-HAN</v>
      </c>
      <c r="F266" s="57" t="str">
        <f aca="false">Flights!$K$12</f>
        <v>EY</v>
      </c>
      <c r="G266" s="57" t="s">
        <v>74</v>
      </c>
      <c r="H266" s="57" t="s">
        <v>341</v>
      </c>
      <c r="I266" s="57" t="s">
        <v>361</v>
      </c>
      <c r="J266" s="57" t="s">
        <v>362</v>
      </c>
      <c r="K266" s="67" t="s">
        <v>363</v>
      </c>
      <c r="L266" s="67" t="s">
        <v>345</v>
      </c>
      <c r="M266" s="67"/>
      <c r="N266" s="67" t="s">
        <v>346</v>
      </c>
      <c r="O266" s="67"/>
      <c r="P266" s="57" t="s">
        <v>177</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IF(N266="N/A – rule","N/A – RULE",IF(TRIM(U266)="N/A",IF(AT266=0,"INVALID – N/A not permitted for this mandatory check",IF(AND(TRIM(AC266)&lt;&gt;"",TRIM(AE266)&lt;&gt;"",TRIM(T266)&lt;&gt;""),"N/A – JUSTIFIED","INVALID – N/A needs justification, PIC and verifier")),IF(OR(TRIM(U266)="Pass",TRIM(U266)="Pass after CA"),IF(NOT(ISNUMBER(AD266)),"INVALID – completion time missing",IF(TRIM(T266)="","INVALID – PIC missing",IF(TRIM(Z266)="","INVALID – evidence missing",IF(TRIM(AE266)="","INVALID – verifier missing",IF(AND(AQ266=1,TRIM(W266)=""),"INVALID – batch ID missing",IF(AND(AR266=1,OR(NOT(ISNUMBER(X266)),NOT(ISNUMBER(Y266)))),"INVALID – expected/actual qty missing",IF(IF(AND(TRIM(U266)="Pass",ISNUMBER(AF266)),IF(AF266&lt;&gt;0,"INVALID – qty variance: use Fail or Pass after CA",""),"")&amp;IF(AND(TRIM(U266)="Pass",AB266="Open"),"INVALID – corrective action still open: use Fail, then Pass after CA","")&amp;IF(AND(TRIM(U266)="Pass after CA",OR(TRIM(AA266)="",AB266&lt;&gt;"Closed")),"INVALID – corrective action not recorded/closed","")&lt;&gt;"",IF(AND(TRIM(U266)="Pass",ISNUMBER(AF266)),IF(AF266&lt;&gt;0,"INVALID – qty variance: use Fail or Pass after CA",""),"")&amp;IF(AND(TRIM(U266)="Pass",AB266="Open"),"INVALID – corrective action still open: use Fail, then Pass after CA","")&amp;IF(AND(TRIM(U266)="Pass after CA",OR(TRIM(AA266)="",AB266&lt;&gt;"Closed")),"INVALID – corrective action not recorded/closed",""),IF(AND(AS266=1,Documents!$J$12&lt;&gt;"ON FILE"),"INVALID – GLD not on file (Documents sheet)",IF(AND(AS266=2,Documents!$O$12&lt;&gt;"ON FILE"),"INVALID – menu checklist not on file (Documents sheet)",IF(AND(AS266=3,NOT(ISNUMBER(Flights!$AX$12))),"INVALID – enter carrying flight KUL departure (Flights AX)",IF(AG266&gt;AsOfUTC,"INVALID – completion time is in the future",IF(AND(ISNUMBER(S266),AG266&lt;S266),IF(H266="Physical uplift","INVALID – before uplift window (cannot confirm loading)","INVALID – before valid window"),IF(AG266&gt;Flights!$AA$12,"INVALID – completed after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f>
        <v>OPEN</v>
      </c>
      <c r="AI266" s="61" t="n">
        <f aca="false">IF(OR(AH266="N/A – RULE",AH266="N/A – JUSTIFIED"),0,1)</f>
        <v>1</v>
      </c>
      <c r="AJ266" s="61" t="n">
        <f aca="false">IF(LEFT(AH266,8)="COMPLETE",1,0)</f>
        <v>0</v>
      </c>
      <c r="AK266" s="61" t="n">
        <f aca="false">IF(AND(AI266=1,AJ266=0,AsOfUTC&gt;Q266),1,0)</f>
        <v>0</v>
      </c>
      <c r="AL266" s="61" t="n">
        <f aca="false">IF(AND(AI266=1,OR(TRIM(U266)="Fail",AB266="Open",AND(ISNUMBER(AF266),AF266&lt;&gt;0,TRIM(U266)&lt;&gt;"Pass after CA"))),1,0)</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row>
    <row r="267" customFormat="false" ht="39.75" hidden="false" customHeight="true" outlineLevel="0" collapsed="false">
      <c r="A267" s="57" t="s">
        <v>801</v>
      </c>
      <c r="B267" s="57" t="s">
        <v>228</v>
      </c>
      <c r="C267" s="57" t="str">
        <f aca="false">Flights!$F$12</f>
        <v>MH0752</v>
      </c>
      <c r="D267" s="58" t="n">
        <f aca="false">Flights!$D$12</f>
        <v>46305</v>
      </c>
      <c r="E267" s="57" t="str">
        <f aca="false">Flights!$G$12&amp;"-"&amp;Flights!$H$12</f>
        <v>KUL-HAN</v>
      </c>
      <c r="F267" s="57" t="str">
        <f aca="false">Flights!$K$12</f>
        <v>EY</v>
      </c>
      <c r="G267" s="57" t="s">
        <v>74</v>
      </c>
      <c r="H267" s="57" t="s">
        <v>341</v>
      </c>
      <c r="I267" s="57" t="s">
        <v>361</v>
      </c>
      <c r="J267" s="57" t="s">
        <v>365</v>
      </c>
      <c r="K267" s="67" t="s">
        <v>366</v>
      </c>
      <c r="L267" s="67" t="s">
        <v>345</v>
      </c>
      <c r="M267" s="67"/>
      <c r="N267" s="67" t="s">
        <v>346</v>
      </c>
      <c r="O267" s="67"/>
      <c r="P267" s="57" t="s">
        <v>177</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IF(N267="N/A – rule","N/A – RULE",IF(TRIM(U267)="N/A",IF(AT267=0,"INVALID – N/A not permitted for this mandatory check",IF(AND(TRIM(AC267)&lt;&gt;"",TRIM(AE267)&lt;&gt;"",TRIM(T267)&lt;&gt;""),"N/A – JUSTIFIED","INVALID – N/A needs justification, PIC and verifier")),IF(OR(TRIM(U267)="Pass",TRIM(U267)="Pass after CA"),IF(NOT(ISNUMBER(AD267)),"INVALID – completion time missing",IF(TRIM(T267)="","INVALID – PIC missing",IF(TRIM(Z267)="","INVALID – evidence missing",IF(TRIM(AE267)="","INVALID – verifier missing",IF(AND(AQ267=1,TRIM(W267)=""),"INVALID – batch ID missing",IF(AND(AR267=1,OR(NOT(ISNUMBER(X267)),NOT(ISNUMBER(Y267)))),"INVALID – expected/actual qty missing",IF(IF(AND(TRIM(U267)="Pass",ISNUMBER(AF267)),IF(AF267&lt;&gt;0,"INVALID – qty variance: use Fail or Pass after CA",""),"")&amp;IF(AND(TRIM(U267)="Pass",AB267="Open"),"INVALID – corrective action still open: use Fail, then Pass after CA","")&amp;IF(AND(TRIM(U267)="Pass after CA",OR(TRIM(AA267)="",AB267&lt;&gt;"Closed")),"INVALID – corrective action not recorded/closed","")&lt;&gt;"",IF(AND(TRIM(U267)="Pass",ISNUMBER(AF267)),IF(AF267&lt;&gt;0,"INVALID – qty variance: use Fail or Pass after CA",""),"")&amp;IF(AND(TRIM(U267)="Pass",AB267="Open"),"INVALID – corrective action still open: use Fail, then Pass after CA","")&amp;IF(AND(TRIM(U267)="Pass after CA",OR(TRIM(AA267)="",AB267&lt;&gt;"Closed")),"INVALID – corrective action not recorded/closed",""),IF(AND(AS267=1,Documents!$J$12&lt;&gt;"ON FILE"),"INVALID – GLD not on file (Documents sheet)",IF(AND(AS267=2,Documents!$O$12&lt;&gt;"ON FILE"),"INVALID – menu checklist not on file (Documents sheet)",IF(AND(AS267=3,NOT(ISNUMBER(Flights!$AX$12))),"INVALID – enter carrying flight KUL departure (Flights AX)",IF(AG267&gt;AsOfUTC,"INVALID – completion time is in the future",IF(AND(ISNUMBER(S267),AG267&lt;S267),IF(H267="Physical uplift","INVALID – before uplift window (cannot confirm loading)","INVALID – before valid window"),IF(AG267&gt;Flights!$AA$12,"INVALID – completed after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f>
        <v>OPEN</v>
      </c>
      <c r="AI267" s="61" t="n">
        <f aca="false">IF(OR(AH267="N/A – RULE",AH267="N/A – JUSTIFIED"),0,1)</f>
        <v>1</v>
      </c>
      <c r="AJ267" s="61" t="n">
        <f aca="false">IF(LEFT(AH267,8)="COMPLETE",1,0)</f>
        <v>0</v>
      </c>
      <c r="AK267" s="61" t="n">
        <f aca="false">IF(AND(AI267=1,AJ267=0,AsOfUTC&gt;Q267),1,0)</f>
        <v>0</v>
      </c>
      <c r="AL267" s="61" t="n">
        <f aca="false">IF(AND(AI267=1,OR(TRIM(U267)="Fail",AB267="Open",AND(ISNUMBER(AF267),AF267&lt;&gt;0,TRIM(U267)&lt;&gt;"Pass after CA"))),1,0)</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row>
    <row r="268" customFormat="false" ht="39.75" hidden="false" customHeight="true" outlineLevel="0" collapsed="false">
      <c r="A268" s="57" t="s">
        <v>802</v>
      </c>
      <c r="B268" s="57" t="s">
        <v>228</v>
      </c>
      <c r="C268" s="57" t="str">
        <f aca="false">Flights!$F$12</f>
        <v>MH0752</v>
      </c>
      <c r="D268" s="58" t="n">
        <f aca="false">Flights!$D$12</f>
        <v>46305</v>
      </c>
      <c r="E268" s="57" t="str">
        <f aca="false">Flights!$G$12&amp;"-"&amp;Flights!$H$12</f>
        <v>KUL-HAN</v>
      </c>
      <c r="F268" s="57" t="str">
        <f aca="false">Flights!$K$12</f>
        <v>EY</v>
      </c>
      <c r="G268" s="57" t="s">
        <v>74</v>
      </c>
      <c r="H268" s="57" t="s">
        <v>341</v>
      </c>
      <c r="I268" s="57" t="s">
        <v>368</v>
      </c>
      <c r="J268" s="57" t="s">
        <v>369</v>
      </c>
      <c r="K268" s="67" t="s">
        <v>370</v>
      </c>
      <c r="L268" s="67" t="s">
        <v>345</v>
      </c>
      <c r="M268" s="67"/>
      <c r="N268" s="67" t="s">
        <v>346</v>
      </c>
      <c r="O268" s="67"/>
      <c r="P268" s="57" t="s">
        <v>177</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IF(N268="N/A – rule","N/A – RULE",IF(TRIM(U268)="N/A",IF(AT268=0,"INVALID – N/A not permitted for this mandatory check",IF(AND(TRIM(AC268)&lt;&gt;"",TRIM(AE268)&lt;&gt;"",TRIM(T268)&lt;&gt;""),"N/A – JUSTIFIED","INVALID – N/A needs justification, PIC and verifier")),IF(OR(TRIM(U268)="Pass",TRIM(U268)="Pass after CA"),IF(NOT(ISNUMBER(AD268)),"INVALID – completion time missing",IF(TRIM(T268)="","INVALID – PIC missing",IF(TRIM(Z268)="","INVALID – evidence missing",IF(TRIM(AE268)="","INVALID – verifier missing",IF(AND(AQ268=1,TRIM(W268)=""),"INVALID – batch ID missing",IF(AND(AR268=1,OR(NOT(ISNUMBER(X268)),NOT(ISNUMBER(Y268)))),"INVALID – expected/actual qty missing",IF(IF(AND(TRIM(U268)="Pass",ISNUMBER(AF268)),IF(AF268&lt;&gt;0,"INVALID – qty variance: use Fail or Pass after CA",""),"")&amp;IF(AND(TRIM(U268)="Pass",AB268="Open"),"INVALID – corrective action still open: use Fail, then Pass after CA","")&amp;IF(AND(TRIM(U268)="Pass after CA",OR(TRIM(AA268)="",AB268&lt;&gt;"Closed")),"INVALID – corrective action not recorded/closed","")&lt;&gt;"",IF(AND(TRIM(U268)="Pass",ISNUMBER(AF268)),IF(AF268&lt;&gt;0,"INVALID – qty variance: use Fail or Pass after CA",""),"")&amp;IF(AND(TRIM(U268)="Pass",AB268="Open"),"INVALID – corrective action still open: use Fail, then Pass after CA","")&amp;IF(AND(TRIM(U268)="Pass after CA",OR(TRIM(AA268)="",AB268&lt;&gt;"Closed")),"INVALID – corrective action not recorded/closed",""),IF(AND(AS268=1,Documents!$J$12&lt;&gt;"ON FILE"),"INVALID – GLD not on file (Documents sheet)",IF(AND(AS268=2,Documents!$O$12&lt;&gt;"ON FILE"),"INVALID – menu checklist not on file (Documents sheet)",IF(AND(AS268=3,NOT(ISNUMBER(Flights!$AX$12))),"INVALID – enter carrying flight KUL departure (Flights AX)",IF(AG268&gt;AsOfUTC,"INVALID – completion time is in the future",IF(AND(ISNUMBER(S268),AG268&lt;S268),IF(H268="Physical uplift","INVALID – before uplift window (cannot confirm loading)","INVALID – before valid window"),IF(AG268&gt;Flights!$AA$12,"INVALID – completed after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f>
        <v>OPEN</v>
      </c>
      <c r="AI268" s="61" t="n">
        <f aca="false">IF(OR(AH268="N/A – RULE",AH268="N/A – JUSTIFIED"),0,1)</f>
        <v>1</v>
      </c>
      <c r="AJ268" s="61" t="n">
        <f aca="false">IF(LEFT(AH268,8)="COMPLETE",1,0)</f>
        <v>0</v>
      </c>
      <c r="AK268" s="61" t="n">
        <f aca="false">IF(AND(AI268=1,AJ268=0,AsOfUTC&gt;Q268),1,0)</f>
        <v>0</v>
      </c>
      <c r="AL268" s="61" t="n">
        <f aca="false">IF(AND(AI268=1,OR(TRIM(U268)="Fail",AB268="Open",AND(ISNUMBER(AF268),AF268&lt;&gt;0,TRIM(U268)&lt;&gt;"Pass after CA"))),1,0)</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row>
    <row r="269" customFormat="false" ht="39.75" hidden="false" customHeight="true" outlineLevel="0" collapsed="false">
      <c r="A269" s="57" t="s">
        <v>803</v>
      </c>
      <c r="B269" s="57" t="s">
        <v>228</v>
      </c>
      <c r="C269" s="57" t="str">
        <f aca="false">Flights!$F$12</f>
        <v>MH0752</v>
      </c>
      <c r="D269" s="58" t="n">
        <f aca="false">Flights!$D$12</f>
        <v>46305</v>
      </c>
      <c r="E269" s="57" t="str">
        <f aca="false">Flights!$G$12&amp;"-"&amp;Flights!$H$12</f>
        <v>KUL-HAN</v>
      </c>
      <c r="F269" s="57" t="str">
        <f aca="false">Flights!$K$12</f>
        <v>EY</v>
      </c>
      <c r="G269" s="57" t="s">
        <v>74</v>
      </c>
      <c r="H269" s="57" t="s">
        <v>341</v>
      </c>
      <c r="I269" s="57" t="s">
        <v>368</v>
      </c>
      <c r="J269" s="57" t="s">
        <v>372</v>
      </c>
      <c r="K269" s="67" t="s">
        <v>370</v>
      </c>
      <c r="L269" s="67" t="s">
        <v>345</v>
      </c>
      <c r="M269" s="67"/>
      <c r="N269" s="67" t="s">
        <v>346</v>
      </c>
      <c r="O269" s="67"/>
      <c r="P269" s="57" t="s">
        <v>177</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IF(N269="N/A – rule","N/A – RULE",IF(TRIM(U269)="N/A",IF(AT269=0,"INVALID – N/A not permitted for this mandatory check",IF(AND(TRIM(AC269)&lt;&gt;"",TRIM(AE269)&lt;&gt;"",TRIM(T269)&lt;&gt;""),"N/A – JUSTIFIED","INVALID – N/A needs justification, PIC and verifier")),IF(OR(TRIM(U269)="Pass",TRIM(U269)="Pass after CA"),IF(NOT(ISNUMBER(AD269)),"INVALID – completion time missing",IF(TRIM(T269)="","INVALID – PIC missing",IF(TRIM(Z269)="","INVALID – evidence missing",IF(TRIM(AE269)="","INVALID – verifier missing",IF(AND(AQ269=1,TRIM(W269)=""),"INVALID – batch ID missing",IF(AND(AR269=1,OR(NOT(ISNUMBER(X269)),NOT(ISNUMBER(Y269)))),"INVALID – expected/actual qty missing",IF(IF(AND(TRIM(U269)="Pass",ISNUMBER(AF269)),IF(AF269&lt;&gt;0,"INVALID – qty variance: use Fail or Pass after CA",""),"")&amp;IF(AND(TRIM(U269)="Pass",AB269="Open"),"INVALID – corrective action still open: use Fail, then Pass after CA","")&amp;IF(AND(TRIM(U269)="Pass after CA",OR(TRIM(AA269)="",AB269&lt;&gt;"Closed")),"INVALID – corrective action not recorded/closed","")&lt;&gt;"",IF(AND(TRIM(U269)="Pass",ISNUMBER(AF269)),IF(AF269&lt;&gt;0,"INVALID – qty variance: use Fail or Pass after CA",""),"")&amp;IF(AND(TRIM(U269)="Pass",AB269="Open"),"INVALID – corrective action still open: use Fail, then Pass after CA","")&amp;IF(AND(TRIM(U269)="Pass after CA",OR(TRIM(AA269)="",AB269&lt;&gt;"Closed")),"INVALID – corrective action not recorded/closed",""),IF(AND(AS269=1,Documents!$J$12&lt;&gt;"ON FILE"),"INVALID – GLD not on file (Documents sheet)",IF(AND(AS269=2,Documents!$O$12&lt;&gt;"ON FILE"),"INVALID – menu checklist not on file (Documents sheet)",IF(AND(AS269=3,NOT(ISNUMBER(Flights!$AX$12))),"INVALID – enter carrying flight KUL departure (Flights AX)",IF(AG269&gt;AsOfUTC,"INVALID – completion time is in the future",IF(AND(ISNUMBER(S269),AG269&lt;S269),IF(H269="Physical uplift","INVALID – before uplift window (cannot confirm loading)","INVALID – before valid window"),IF(AG269&gt;Flights!$AA$12,"INVALID – completed after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f>
        <v>OPEN</v>
      </c>
      <c r="AI269" s="61" t="n">
        <f aca="false">IF(OR(AH269="N/A – RULE",AH269="N/A – JUSTIFIED"),0,1)</f>
        <v>1</v>
      </c>
      <c r="AJ269" s="61" t="n">
        <f aca="false">IF(LEFT(AH269,8)="COMPLETE",1,0)</f>
        <v>0</v>
      </c>
      <c r="AK269" s="61" t="n">
        <f aca="false">IF(AND(AI269=1,AJ269=0,AsOfUTC&gt;Q269),1,0)</f>
        <v>0</v>
      </c>
      <c r="AL269" s="61" t="n">
        <f aca="false">IF(AND(AI269=1,OR(TRIM(U269)="Fail",AB269="Open",AND(ISNUMBER(AF269),AF269&lt;&gt;0,TRIM(U269)&lt;&gt;"Pass after CA"))),1,0)</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row>
    <row r="270" customFormat="false" ht="39.75" hidden="false" customHeight="true" outlineLevel="0" collapsed="false">
      <c r="A270" s="57" t="s">
        <v>804</v>
      </c>
      <c r="B270" s="57" t="s">
        <v>228</v>
      </c>
      <c r="C270" s="57" t="str">
        <f aca="false">Flights!$F$12</f>
        <v>MH0752</v>
      </c>
      <c r="D270" s="58" t="n">
        <f aca="false">Flights!$D$12</f>
        <v>46305</v>
      </c>
      <c r="E270" s="57" t="str">
        <f aca="false">Flights!$G$12&amp;"-"&amp;Flights!$H$12</f>
        <v>KUL-HAN</v>
      </c>
      <c r="F270" s="57" t="str">
        <f aca="false">Flights!$K$12</f>
        <v>EY</v>
      </c>
      <c r="G270" s="57" t="s">
        <v>74</v>
      </c>
      <c r="H270" s="57" t="s">
        <v>341</v>
      </c>
      <c r="I270" s="57" t="s">
        <v>374</v>
      </c>
      <c r="J270" s="57" t="s">
        <v>375</v>
      </c>
      <c r="K270" s="67" t="s">
        <v>805</v>
      </c>
      <c r="L270" s="67" t="s">
        <v>806</v>
      </c>
      <c r="M270" s="67"/>
      <c r="N270" s="67" t="s">
        <v>346</v>
      </c>
      <c r="O270" s="67"/>
      <c r="P270" s="57" t="s">
        <v>177</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IF(N270="N/A – rule","N/A – RULE",IF(TRIM(U270)="N/A",IF(AT270=0,"INVALID – N/A not permitted for this mandatory check",IF(AND(TRIM(AC270)&lt;&gt;"",TRIM(AE270)&lt;&gt;"",TRIM(T270)&lt;&gt;""),"N/A – JUSTIFIED","INVALID – N/A needs justification, PIC and verifier")),IF(OR(TRIM(U270)="Pass",TRIM(U270)="Pass after CA"),IF(NOT(ISNUMBER(AD270)),"INVALID – completion time missing",IF(TRIM(T270)="","INVALID – PIC missing",IF(TRIM(Z270)="","INVALID – evidence missing",IF(TRIM(AE270)="","INVALID – verifier missing",IF(AND(AQ270=1,TRIM(W270)=""),"INVALID – batch ID missing",IF(AND(AR270=1,OR(NOT(ISNUMBER(X270)),NOT(ISNUMBER(Y270)))),"INVALID – expected/actual qty missing",IF(IF(AND(TRIM(U270)="Pass",ISNUMBER(AF270)),IF(AF270&lt;&gt;0,"INVALID – qty variance: use Fail or Pass after CA",""),"")&amp;IF(AND(TRIM(U270)="Pass",AB270="Open"),"INVALID – corrective action still open: use Fail, then Pass after CA","")&amp;IF(AND(TRIM(U270)="Pass after CA",OR(TRIM(AA270)="",AB270&lt;&gt;"Closed")),"INVALID – corrective action not recorded/closed","")&lt;&gt;"",IF(AND(TRIM(U270)="Pass",ISNUMBER(AF270)),IF(AF270&lt;&gt;0,"INVALID – qty variance: use Fail or Pass after CA",""),"")&amp;IF(AND(TRIM(U270)="Pass",AB270="Open"),"INVALID – corrective action still open: use Fail, then Pass after CA","")&amp;IF(AND(TRIM(U270)="Pass after CA",OR(TRIM(AA270)="",AB270&lt;&gt;"Closed")),"INVALID – corrective action not recorded/closed",""),IF(AND(AS270=1,Documents!$J$12&lt;&gt;"ON FILE"),"INVALID – GLD not on file (Documents sheet)",IF(AND(AS270=2,Documents!$O$12&lt;&gt;"ON FILE"),"INVALID – menu checklist not on file (Documents sheet)",IF(AND(AS270=3,NOT(ISNUMBER(Flights!$AX$12))),"INVALID – enter carrying flight KUL departure (Flights AX)",IF(AG270&gt;AsOfUTC,"INVALID – completion time is in the future",IF(AND(ISNUMBER(S270),AG270&lt;S270),IF(H270="Physical uplift","INVALID – before uplift window (cannot confirm loading)","INVALID – before valid window"),IF(AG270&gt;Flights!$AA$12,"INVALID – completed after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f>
        <v>OPEN</v>
      </c>
      <c r="AI270" s="61" t="n">
        <f aca="false">IF(OR(AH270="N/A – RULE",AH270="N/A – JUSTIFIED"),0,1)</f>
        <v>1</v>
      </c>
      <c r="AJ270" s="61" t="n">
        <f aca="false">IF(LEFT(AH270,8)="COMPLETE",1,0)</f>
        <v>0</v>
      </c>
      <c r="AK270" s="61" t="n">
        <f aca="false">IF(AND(AI270=1,AJ270=0,AsOfUTC&gt;Q270),1,0)</f>
        <v>0</v>
      </c>
      <c r="AL270" s="61" t="n">
        <f aca="false">IF(AND(AI270=1,OR(TRIM(U270)="Fail",AB270="Open",AND(ISNUMBER(AF270),AF270&lt;&gt;0,TRIM(U270)&lt;&gt;"Pass after CA"))),1,0)</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row>
    <row r="271" customFormat="false" ht="39.75" hidden="false" customHeight="true" outlineLevel="0" collapsed="false">
      <c r="A271" s="57" t="s">
        <v>807</v>
      </c>
      <c r="B271" s="57" t="s">
        <v>228</v>
      </c>
      <c r="C271" s="57" t="str">
        <f aca="false">Flights!$F$12</f>
        <v>MH0752</v>
      </c>
      <c r="D271" s="58" t="n">
        <f aca="false">Flights!$D$12</f>
        <v>46305</v>
      </c>
      <c r="E271" s="57" t="str">
        <f aca="false">Flights!$G$12&amp;"-"&amp;Flights!$H$12</f>
        <v>KUL-HAN</v>
      </c>
      <c r="F271" s="57" t="str">
        <f aca="false">Flights!$K$12</f>
        <v>EY</v>
      </c>
      <c r="G271" s="57" t="s">
        <v>76</v>
      </c>
      <c r="H271" s="57" t="s">
        <v>341</v>
      </c>
      <c r="I271" s="57" t="s">
        <v>342</v>
      </c>
      <c r="J271" s="57" t="s">
        <v>379</v>
      </c>
      <c r="K271" s="67" t="s">
        <v>380</v>
      </c>
      <c r="L271" s="67" t="s">
        <v>381</v>
      </c>
      <c r="M271" s="67"/>
      <c r="N271" s="67" t="s">
        <v>346</v>
      </c>
      <c r="O271" s="67"/>
      <c r="P271" s="57" t="s">
        <v>177</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IF(N271="N/A – rule","N/A – RULE",IF(TRIM(U271)="N/A",IF(AT271=0,"INVALID – N/A not permitted for this mandatory check",IF(AND(TRIM(AC271)&lt;&gt;"",TRIM(AE271)&lt;&gt;"",TRIM(T271)&lt;&gt;""),"N/A – JUSTIFIED","INVALID – N/A needs justification, PIC and verifier")),IF(OR(TRIM(U271)="Pass",TRIM(U271)="Pass after CA"),IF(NOT(ISNUMBER(AD271)),"INVALID – completion time missing",IF(TRIM(T271)="","INVALID – PIC missing",IF(TRIM(Z271)="","INVALID – evidence missing",IF(TRIM(AE271)="","INVALID – verifier missing",IF(AND(AQ271=1,TRIM(W271)=""),"INVALID – batch ID missing",IF(AND(AR271=1,OR(NOT(ISNUMBER(X271)),NOT(ISNUMBER(Y271)))),"INVALID – expected/actual qty missing",IF(IF(AND(TRIM(U271)="Pass",ISNUMBER(AF271)),IF(AF271&lt;&gt;0,"INVALID – qty variance: use Fail or Pass after CA",""),"")&amp;IF(AND(TRIM(U271)="Pass",AB271="Open"),"INVALID – corrective action still open: use Fail, then Pass after CA","")&amp;IF(AND(TRIM(U271)="Pass after CA",OR(TRIM(AA271)="",AB271&lt;&gt;"Closed")),"INVALID – corrective action not recorded/closed","")&lt;&gt;"",IF(AND(TRIM(U271)="Pass",ISNUMBER(AF271)),IF(AF271&lt;&gt;0,"INVALID – qty variance: use Fail or Pass after CA",""),"")&amp;IF(AND(TRIM(U271)="Pass",AB271="Open"),"INVALID – corrective action still open: use Fail, then Pass after CA","")&amp;IF(AND(TRIM(U271)="Pass after CA",OR(TRIM(AA271)="",AB271&lt;&gt;"Closed")),"INVALID – corrective action not recorded/closed",""),IF(AND(AS271=1,Documents!$J$12&lt;&gt;"ON FILE"),"INVALID – GLD not on file (Documents sheet)",IF(AND(AS271=2,Documents!$O$12&lt;&gt;"ON FILE"),"INVALID – menu checklist not on file (Documents sheet)",IF(AND(AS271=3,NOT(ISNUMBER(Flights!$AX$12))),"INVALID – enter carrying flight KUL departure (Flights AX)",IF(AG271&gt;AsOfUTC,"INVALID – completion time is in the future",IF(AND(ISNUMBER(S271),AG271&lt;S271),IF(H271="Physical uplift","INVALID – before uplift window (cannot confirm loading)","INVALID – before valid window"),IF(AG271&gt;Flights!$AA$12,"INVALID – completed after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f>
        <v>OPEN</v>
      </c>
      <c r="AI271" s="61" t="n">
        <f aca="false">IF(OR(AH271="N/A – RULE",AH271="N/A – JUSTIFIED"),0,1)</f>
        <v>1</v>
      </c>
      <c r="AJ271" s="61" t="n">
        <f aca="false">IF(LEFT(AH271,8)="COMPLETE",1,0)</f>
        <v>0</v>
      </c>
      <c r="AK271" s="61" t="n">
        <f aca="false">IF(AND(AI271=1,AJ271=0,AsOfUTC&gt;Q271),1,0)</f>
        <v>0</v>
      </c>
      <c r="AL271" s="61" t="n">
        <f aca="false">IF(AND(AI271=1,OR(TRIM(U271)="Fail",AB271="Open",AND(ISNUMBER(AF271),AF271&lt;&gt;0,TRIM(U271)&lt;&gt;"Pass after CA"))),1,0)</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row>
    <row r="272" customFormat="false" ht="39.75" hidden="false" customHeight="true" outlineLevel="0" collapsed="false">
      <c r="A272" s="57" t="s">
        <v>808</v>
      </c>
      <c r="B272" s="57" t="s">
        <v>228</v>
      </c>
      <c r="C272" s="57" t="str">
        <f aca="false">Flights!$F$12</f>
        <v>MH0752</v>
      </c>
      <c r="D272" s="58" t="n">
        <f aca="false">Flights!$D$12</f>
        <v>46305</v>
      </c>
      <c r="E272" s="57" t="str">
        <f aca="false">Flights!$G$12&amp;"-"&amp;Flights!$H$12</f>
        <v>KUL-HAN</v>
      </c>
      <c r="F272" s="57" t="str">
        <f aca="false">Flights!$K$12</f>
        <v>EY</v>
      </c>
      <c r="G272" s="57" t="s">
        <v>383</v>
      </c>
      <c r="H272" s="57" t="s">
        <v>341</v>
      </c>
      <c r="I272" s="57" t="s">
        <v>342</v>
      </c>
      <c r="J272" s="57" t="s">
        <v>384</v>
      </c>
      <c r="K272" s="67"/>
      <c r="L272" s="67" t="s">
        <v>385</v>
      </c>
      <c r="M272" s="67"/>
      <c r="N272" s="67" t="s">
        <v>346</v>
      </c>
      <c r="O272" s="67" t="s">
        <v>386</v>
      </c>
      <c r="P272" s="57" t="s">
        <v>177</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IF(N272="N/A – rule","N/A – RULE",IF(TRIM(U272)="N/A",IF(AT272=0,"INVALID – N/A not permitted for this mandatory check",IF(AND(TRIM(AC272)&lt;&gt;"",TRIM(AE272)&lt;&gt;"",TRIM(T272)&lt;&gt;""),"N/A – JUSTIFIED","INVALID – N/A needs justification, PIC and verifier")),IF(OR(TRIM(U272)="Pass",TRIM(U272)="Pass after CA"),IF(NOT(ISNUMBER(AD272)),"INVALID – completion time missing",IF(TRIM(T272)="","INVALID – PIC missing",IF(TRIM(Z272)="","INVALID – evidence missing",IF(TRIM(AE272)="","INVALID – verifier missing",IF(AND(AQ272=1,TRIM(W272)=""),"INVALID – batch ID missing",IF(AND(AR272=1,OR(NOT(ISNUMBER(X272)),NOT(ISNUMBER(Y272)))),"INVALID – expected/actual qty missing",IF(IF(AND(TRIM(U272)="Pass",ISNUMBER(AF272)),IF(AF272&lt;&gt;0,"INVALID – qty variance: use Fail or Pass after CA",""),"")&amp;IF(AND(TRIM(U272)="Pass",AB272="Open"),"INVALID – corrective action still open: use Fail, then Pass after CA","")&amp;IF(AND(TRIM(U272)="Pass after CA",OR(TRIM(AA272)="",AB272&lt;&gt;"Closed")),"INVALID – corrective action not recorded/closed","")&lt;&gt;"",IF(AND(TRIM(U272)="Pass",ISNUMBER(AF272)),IF(AF272&lt;&gt;0,"INVALID – qty variance: use Fail or Pass after CA",""),"")&amp;IF(AND(TRIM(U272)="Pass",AB272="Open"),"INVALID – corrective action still open: use Fail, then Pass after CA","")&amp;IF(AND(TRIM(U272)="Pass after CA",OR(TRIM(AA272)="",AB272&lt;&gt;"Closed")),"INVALID – corrective action not recorded/closed",""),IF(AND(AS272=1,Documents!$J$12&lt;&gt;"ON FILE"),"INVALID – GLD not on file (Documents sheet)",IF(AND(AS272=2,Documents!$O$12&lt;&gt;"ON FILE"),"INVALID – menu checklist not on file (Documents sheet)",IF(AND(AS272=3,NOT(ISNUMBER(Flights!$AX$12))),"INVALID – enter carrying flight KUL departure (Flights AX)",IF(AG272&gt;AsOfUTC,"INVALID – completion time is in the future",IF(AND(ISNUMBER(S272),AG272&lt;S272),IF(H272="Physical uplift","INVALID – before uplift window (cannot confirm loading)","INVALID – before valid window"),IF(AG272&gt;Flights!$AA$12,"INVALID – completed after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f>
        <v>OPEN</v>
      </c>
      <c r="AI272" s="61" t="n">
        <f aca="false">IF(OR(AH272="N/A – RULE",AH272="N/A – JUSTIFIED"),0,1)</f>
        <v>1</v>
      </c>
      <c r="AJ272" s="61" t="n">
        <f aca="false">IF(LEFT(AH272,8)="COMPLETE",1,0)</f>
        <v>0</v>
      </c>
      <c r="AK272" s="61" t="n">
        <f aca="false">IF(AND(AI272=1,AJ272=0,AsOfUTC&gt;Q272),1,0)</f>
        <v>0</v>
      </c>
      <c r="AL272" s="61" t="n">
        <f aca="false">IF(AND(AI272=1,OR(TRIM(U272)="Fail",AB272="Open",AND(ISNUMBER(AF272),AF272&lt;&gt;0,TRIM(U272)&lt;&gt;"Pass after CA"))),1,0)</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row>
    <row r="273" customFormat="false" ht="39.75" hidden="false" customHeight="true" outlineLevel="0" collapsed="false">
      <c r="A273" s="57" t="s">
        <v>809</v>
      </c>
      <c r="B273" s="57" t="s">
        <v>228</v>
      </c>
      <c r="C273" s="57" t="str">
        <f aca="false">Flights!$F$12</f>
        <v>MH0752</v>
      </c>
      <c r="D273" s="58" t="n">
        <f aca="false">Flights!$D$12</f>
        <v>46305</v>
      </c>
      <c r="E273" s="57" t="str">
        <f aca="false">Flights!$G$12&amp;"-"&amp;Flights!$H$12</f>
        <v>KUL-HAN</v>
      </c>
      <c r="F273" s="57" t="str">
        <f aca="false">Flights!$K$12</f>
        <v>EY</v>
      </c>
      <c r="G273" s="57" t="s">
        <v>383</v>
      </c>
      <c r="H273" s="57" t="s">
        <v>341</v>
      </c>
      <c r="I273" s="57" t="s">
        <v>342</v>
      </c>
      <c r="J273" s="57" t="s">
        <v>388</v>
      </c>
      <c r="K273" s="67" t="s">
        <v>389</v>
      </c>
      <c r="L273" s="67" t="s">
        <v>385</v>
      </c>
      <c r="M273" s="67"/>
      <c r="N273" s="67" t="s">
        <v>346</v>
      </c>
      <c r="O273" s="67" t="s">
        <v>386</v>
      </c>
      <c r="P273" s="57" t="s">
        <v>177</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IF(N273="N/A – rule","N/A – RULE",IF(TRIM(U273)="N/A",IF(AT273=0,"INVALID – N/A not permitted for this mandatory check",IF(AND(TRIM(AC273)&lt;&gt;"",TRIM(AE273)&lt;&gt;"",TRIM(T273)&lt;&gt;""),"N/A – JUSTIFIED","INVALID – N/A needs justification, PIC and verifier")),IF(OR(TRIM(U273)="Pass",TRIM(U273)="Pass after CA"),IF(NOT(ISNUMBER(AD273)),"INVALID – completion time missing",IF(TRIM(T273)="","INVALID – PIC missing",IF(TRIM(Z273)="","INVALID – evidence missing",IF(TRIM(AE273)="","INVALID – verifier missing",IF(AND(AQ273=1,TRIM(W273)=""),"INVALID – batch ID missing",IF(AND(AR273=1,OR(NOT(ISNUMBER(X273)),NOT(ISNUMBER(Y273)))),"INVALID – expected/actual qty missing",IF(IF(AND(TRIM(U273)="Pass",ISNUMBER(AF273)),IF(AF273&lt;&gt;0,"INVALID – qty variance: use Fail or Pass after CA",""),"")&amp;IF(AND(TRIM(U273)="Pass",AB273="Open"),"INVALID – corrective action still open: use Fail, then Pass after CA","")&amp;IF(AND(TRIM(U273)="Pass after CA",OR(TRIM(AA273)="",AB273&lt;&gt;"Closed")),"INVALID – corrective action not recorded/closed","")&lt;&gt;"",IF(AND(TRIM(U273)="Pass",ISNUMBER(AF273)),IF(AF273&lt;&gt;0,"INVALID – qty variance: use Fail or Pass after CA",""),"")&amp;IF(AND(TRIM(U273)="Pass",AB273="Open"),"INVALID – corrective action still open: use Fail, then Pass after CA","")&amp;IF(AND(TRIM(U273)="Pass after CA",OR(TRIM(AA273)="",AB273&lt;&gt;"Closed")),"INVALID – corrective action not recorded/closed",""),IF(AND(AS273=1,Documents!$J$12&lt;&gt;"ON FILE"),"INVALID – GLD not on file (Documents sheet)",IF(AND(AS273=2,Documents!$O$12&lt;&gt;"ON FILE"),"INVALID – menu checklist not on file (Documents sheet)",IF(AND(AS273=3,NOT(ISNUMBER(Flights!$AX$12))),"INVALID – enter carrying flight KUL departure (Flights AX)",IF(AG273&gt;AsOfUTC,"INVALID – completion time is in the future",IF(AND(ISNUMBER(S273),AG273&lt;S273),IF(H273="Physical uplift","INVALID – before uplift window (cannot confirm loading)","INVALID – before valid window"),IF(AG273&gt;Flights!$AA$12,"INVALID – completed after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f>
        <v>OPEN</v>
      </c>
      <c r="AI273" s="61" t="n">
        <f aca="false">IF(OR(AH273="N/A – RULE",AH273="N/A – JUSTIFIED"),0,1)</f>
        <v>1</v>
      </c>
      <c r="AJ273" s="61" t="n">
        <f aca="false">IF(LEFT(AH273,8)="COMPLETE",1,0)</f>
        <v>0</v>
      </c>
      <c r="AK273" s="61" t="n">
        <f aca="false">IF(AND(AI273=1,AJ273=0,AsOfUTC&gt;Q273),1,0)</f>
        <v>0</v>
      </c>
      <c r="AL273" s="61" t="n">
        <f aca="false">IF(AND(AI273=1,OR(TRIM(U273)="Fail",AB273="Open",AND(ISNUMBER(AF273),AF273&lt;&gt;0,TRIM(U273)&lt;&gt;"Pass after CA"))),1,0)</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row>
    <row r="274" customFormat="false" ht="39.75" hidden="false" customHeight="true" outlineLevel="0" collapsed="false">
      <c r="A274" s="57" t="s">
        <v>810</v>
      </c>
      <c r="B274" s="57" t="s">
        <v>228</v>
      </c>
      <c r="C274" s="57" t="str">
        <f aca="false">Flights!$F$12</f>
        <v>MH0752</v>
      </c>
      <c r="D274" s="58" t="n">
        <f aca="false">Flights!$D$12</f>
        <v>46305</v>
      </c>
      <c r="E274" s="57" t="str">
        <f aca="false">Flights!$G$12&amp;"-"&amp;Flights!$H$12</f>
        <v>KUL-HAN</v>
      </c>
      <c r="F274" s="57" t="str">
        <f aca="false">Flights!$K$12</f>
        <v>EY</v>
      </c>
      <c r="G274" s="57" t="s">
        <v>383</v>
      </c>
      <c r="H274" s="57" t="s">
        <v>341</v>
      </c>
      <c r="I274" s="57" t="s">
        <v>391</v>
      </c>
      <c r="J274" s="57" t="s">
        <v>392</v>
      </c>
      <c r="K274" s="67"/>
      <c r="L274" s="67" t="s">
        <v>385</v>
      </c>
      <c r="M274" s="67"/>
      <c r="N274" s="67" t="s">
        <v>346</v>
      </c>
      <c r="O274" s="67" t="s">
        <v>386</v>
      </c>
      <c r="P274" s="57" t="s">
        <v>177</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IF(N274="N/A – rule","N/A – RULE",IF(TRIM(U274)="N/A",IF(AT274=0,"INVALID – N/A not permitted for this mandatory check",IF(AND(TRIM(AC274)&lt;&gt;"",TRIM(AE274)&lt;&gt;"",TRIM(T274)&lt;&gt;""),"N/A – JUSTIFIED","INVALID – N/A needs justification, PIC and verifier")),IF(OR(TRIM(U274)="Pass",TRIM(U274)="Pass after CA"),IF(NOT(ISNUMBER(AD274)),"INVALID – completion time missing",IF(TRIM(T274)="","INVALID – PIC missing",IF(TRIM(Z274)="","INVALID – evidence missing",IF(TRIM(AE274)="","INVALID – verifier missing",IF(AND(AQ274=1,TRIM(W274)=""),"INVALID – batch ID missing",IF(AND(AR274=1,OR(NOT(ISNUMBER(X274)),NOT(ISNUMBER(Y274)))),"INVALID – expected/actual qty missing",IF(IF(AND(TRIM(U274)="Pass",ISNUMBER(AF274)),IF(AF274&lt;&gt;0,"INVALID – qty variance: use Fail or Pass after CA",""),"")&amp;IF(AND(TRIM(U274)="Pass",AB274="Open"),"INVALID – corrective action still open: use Fail, then Pass after CA","")&amp;IF(AND(TRIM(U274)="Pass after CA",OR(TRIM(AA274)="",AB274&lt;&gt;"Closed")),"INVALID – corrective action not recorded/closed","")&lt;&gt;"",IF(AND(TRIM(U274)="Pass",ISNUMBER(AF274)),IF(AF274&lt;&gt;0,"INVALID – qty variance: use Fail or Pass after CA",""),"")&amp;IF(AND(TRIM(U274)="Pass",AB274="Open"),"INVALID – corrective action still open: use Fail, then Pass after CA","")&amp;IF(AND(TRIM(U274)="Pass after CA",OR(TRIM(AA274)="",AB274&lt;&gt;"Closed")),"INVALID – corrective action not recorded/closed",""),IF(AND(AS274=1,Documents!$J$12&lt;&gt;"ON FILE"),"INVALID – GLD not on file (Documents sheet)",IF(AND(AS274=2,Documents!$O$12&lt;&gt;"ON FILE"),"INVALID – menu checklist not on file (Documents sheet)",IF(AND(AS274=3,NOT(ISNUMBER(Flights!$AX$12))),"INVALID – enter carrying flight KUL departure (Flights AX)",IF(AG274&gt;AsOfUTC,"INVALID – completion time is in the future",IF(AND(ISNUMBER(S274),AG274&lt;S274),IF(H274="Physical uplift","INVALID – before uplift window (cannot confirm loading)","INVALID – before valid window"),IF(AG274&gt;Flights!$AA$12,"INVALID – completed after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f>
        <v>OPEN</v>
      </c>
      <c r="AI274" s="61" t="n">
        <f aca="false">IF(OR(AH274="N/A – RULE",AH274="N/A – JUSTIFIED"),0,1)</f>
        <v>1</v>
      </c>
      <c r="AJ274" s="61" t="n">
        <f aca="false">IF(LEFT(AH274,8)="COMPLETE",1,0)</f>
        <v>0</v>
      </c>
      <c r="AK274" s="61" t="n">
        <f aca="false">IF(AND(AI274=1,AJ274=0,AsOfUTC&gt;Q274),1,0)</f>
        <v>0</v>
      </c>
      <c r="AL274" s="61" t="n">
        <f aca="false">IF(AND(AI274=1,OR(TRIM(U274)="Fail",AB274="Open",AND(ISNUMBER(AF274),AF274&lt;&gt;0,TRIM(U274)&lt;&gt;"Pass after CA"))),1,0)</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row>
    <row r="275" customFormat="false" ht="39.75" hidden="false" customHeight="true" outlineLevel="0" collapsed="false">
      <c r="A275" s="57" t="s">
        <v>811</v>
      </c>
      <c r="B275" s="57" t="s">
        <v>228</v>
      </c>
      <c r="C275" s="57" t="str">
        <f aca="false">Flights!$F$12</f>
        <v>MH0752</v>
      </c>
      <c r="D275" s="58" t="n">
        <f aca="false">Flights!$D$12</f>
        <v>46305</v>
      </c>
      <c r="E275" s="57" t="str">
        <f aca="false">Flights!$G$12&amp;"-"&amp;Flights!$H$12</f>
        <v>KUL-HAN</v>
      </c>
      <c r="F275" s="57" t="str">
        <f aca="false">Flights!$K$12</f>
        <v>EY</v>
      </c>
      <c r="G275" s="57" t="s">
        <v>383</v>
      </c>
      <c r="H275" s="57" t="s">
        <v>341</v>
      </c>
      <c r="I275" s="57" t="s">
        <v>391</v>
      </c>
      <c r="J275" s="57" t="s">
        <v>394</v>
      </c>
      <c r="K275" s="67"/>
      <c r="L275" s="67" t="s">
        <v>385</v>
      </c>
      <c r="M275" s="67"/>
      <c r="N275" s="67" t="s">
        <v>346</v>
      </c>
      <c r="O275" s="67" t="s">
        <v>386</v>
      </c>
      <c r="P275" s="57" t="s">
        <v>177</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IF(N275="N/A – rule","N/A – RULE",IF(TRIM(U275)="N/A",IF(AT275=0,"INVALID – N/A not permitted for this mandatory check",IF(AND(TRIM(AC275)&lt;&gt;"",TRIM(AE275)&lt;&gt;"",TRIM(T275)&lt;&gt;""),"N/A – JUSTIFIED","INVALID – N/A needs justification, PIC and verifier")),IF(OR(TRIM(U275)="Pass",TRIM(U275)="Pass after CA"),IF(NOT(ISNUMBER(AD275)),"INVALID – completion time missing",IF(TRIM(T275)="","INVALID – PIC missing",IF(TRIM(Z275)="","INVALID – evidence missing",IF(TRIM(AE275)="","INVALID – verifier missing",IF(AND(AQ275=1,TRIM(W275)=""),"INVALID – batch ID missing",IF(AND(AR275=1,OR(NOT(ISNUMBER(X275)),NOT(ISNUMBER(Y275)))),"INVALID – expected/actual qty missing",IF(IF(AND(TRIM(U275)="Pass",ISNUMBER(AF275)),IF(AF275&lt;&gt;0,"INVALID – qty variance: use Fail or Pass after CA",""),"")&amp;IF(AND(TRIM(U275)="Pass",AB275="Open"),"INVALID – corrective action still open: use Fail, then Pass after CA","")&amp;IF(AND(TRIM(U275)="Pass after CA",OR(TRIM(AA275)="",AB275&lt;&gt;"Closed")),"INVALID – corrective action not recorded/closed","")&lt;&gt;"",IF(AND(TRIM(U275)="Pass",ISNUMBER(AF275)),IF(AF275&lt;&gt;0,"INVALID – qty variance: use Fail or Pass after CA",""),"")&amp;IF(AND(TRIM(U275)="Pass",AB275="Open"),"INVALID – corrective action still open: use Fail, then Pass after CA","")&amp;IF(AND(TRIM(U275)="Pass after CA",OR(TRIM(AA275)="",AB275&lt;&gt;"Closed")),"INVALID – corrective action not recorded/closed",""),IF(AND(AS275=1,Documents!$J$12&lt;&gt;"ON FILE"),"INVALID – GLD not on file (Documents sheet)",IF(AND(AS275=2,Documents!$O$12&lt;&gt;"ON FILE"),"INVALID – menu checklist not on file (Documents sheet)",IF(AND(AS275=3,NOT(ISNUMBER(Flights!$AX$12))),"INVALID – enter carrying flight KUL departure (Flights AX)",IF(AG275&gt;AsOfUTC,"INVALID – completion time is in the future",IF(AND(ISNUMBER(S275),AG275&lt;S275),IF(H275="Physical uplift","INVALID – before uplift window (cannot confirm loading)","INVALID – before valid window"),IF(AG275&gt;Flights!$AA$12,"INVALID – completed after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f>
        <v>OPEN</v>
      </c>
      <c r="AI275" s="61" t="n">
        <f aca="false">IF(OR(AH275="N/A – RULE",AH275="N/A – JUSTIFIED"),0,1)</f>
        <v>1</v>
      </c>
      <c r="AJ275" s="61" t="n">
        <f aca="false">IF(LEFT(AH275,8)="COMPLETE",1,0)</f>
        <v>0</v>
      </c>
      <c r="AK275" s="61" t="n">
        <f aca="false">IF(AND(AI275=1,AJ275=0,AsOfUTC&gt;Q275),1,0)</f>
        <v>0</v>
      </c>
      <c r="AL275" s="61" t="n">
        <f aca="false">IF(AND(AI275=1,OR(TRIM(U275)="Fail",AB275="Open",AND(ISNUMBER(AF275),AF275&lt;&gt;0,TRIM(U275)&lt;&gt;"Pass after CA"))),1,0)</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row>
    <row r="276" customFormat="false" ht="39.75" hidden="false" customHeight="true" outlineLevel="0" collapsed="false">
      <c r="A276" s="57" t="s">
        <v>812</v>
      </c>
      <c r="B276" s="57" t="s">
        <v>228</v>
      </c>
      <c r="C276" s="57" t="str">
        <f aca="false">Flights!$F$12</f>
        <v>MH0752</v>
      </c>
      <c r="D276" s="58" t="n">
        <f aca="false">Flights!$D$12</f>
        <v>46305</v>
      </c>
      <c r="E276" s="57" t="str">
        <f aca="false">Flights!$G$12&amp;"-"&amp;Flights!$H$12</f>
        <v>KUL-HAN</v>
      </c>
      <c r="F276" s="57" t="str">
        <f aca="false">Flights!$K$12</f>
        <v>EY</v>
      </c>
      <c r="G276" s="57" t="s">
        <v>383</v>
      </c>
      <c r="H276" s="57" t="s">
        <v>341</v>
      </c>
      <c r="I276" s="57" t="s">
        <v>391</v>
      </c>
      <c r="J276" s="57" t="s">
        <v>396</v>
      </c>
      <c r="K276" s="67"/>
      <c r="L276" s="67" t="s">
        <v>385</v>
      </c>
      <c r="M276" s="67"/>
      <c r="N276" s="67" t="s">
        <v>346</v>
      </c>
      <c r="O276" s="67" t="s">
        <v>386</v>
      </c>
      <c r="P276" s="57" t="s">
        <v>177</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IF(N276="N/A – rule","N/A – RULE",IF(TRIM(U276)="N/A",IF(AT276=0,"INVALID – N/A not permitted for this mandatory check",IF(AND(TRIM(AC276)&lt;&gt;"",TRIM(AE276)&lt;&gt;"",TRIM(T276)&lt;&gt;""),"N/A – JUSTIFIED","INVALID – N/A needs justification, PIC and verifier")),IF(OR(TRIM(U276)="Pass",TRIM(U276)="Pass after CA"),IF(NOT(ISNUMBER(AD276)),"INVALID – completion time missing",IF(TRIM(T276)="","INVALID – PIC missing",IF(TRIM(Z276)="","INVALID – evidence missing",IF(TRIM(AE276)="","INVALID – verifier missing",IF(AND(AQ276=1,TRIM(W276)=""),"INVALID – batch ID missing",IF(AND(AR276=1,OR(NOT(ISNUMBER(X276)),NOT(ISNUMBER(Y276)))),"INVALID – expected/actual qty missing",IF(IF(AND(TRIM(U276)="Pass",ISNUMBER(AF276)),IF(AF276&lt;&gt;0,"INVALID – qty variance: use Fail or Pass after CA",""),"")&amp;IF(AND(TRIM(U276)="Pass",AB276="Open"),"INVALID – corrective action still open: use Fail, then Pass after CA","")&amp;IF(AND(TRIM(U276)="Pass after CA",OR(TRIM(AA276)="",AB276&lt;&gt;"Closed")),"INVALID – corrective action not recorded/closed","")&lt;&gt;"",IF(AND(TRIM(U276)="Pass",ISNUMBER(AF276)),IF(AF276&lt;&gt;0,"INVALID – qty variance: use Fail or Pass after CA",""),"")&amp;IF(AND(TRIM(U276)="Pass",AB276="Open"),"INVALID – corrective action still open: use Fail, then Pass after CA","")&amp;IF(AND(TRIM(U276)="Pass after CA",OR(TRIM(AA276)="",AB276&lt;&gt;"Closed")),"INVALID – corrective action not recorded/closed",""),IF(AND(AS276=1,Documents!$J$12&lt;&gt;"ON FILE"),"INVALID – GLD not on file (Documents sheet)",IF(AND(AS276=2,Documents!$O$12&lt;&gt;"ON FILE"),"INVALID – menu checklist not on file (Documents sheet)",IF(AND(AS276=3,NOT(ISNUMBER(Flights!$AX$12))),"INVALID – enter carrying flight KUL departure (Flights AX)",IF(AG276&gt;AsOfUTC,"INVALID – completion time is in the future",IF(AND(ISNUMBER(S276),AG276&lt;S276),IF(H276="Physical uplift","INVALID – before uplift window (cannot confirm loading)","INVALID – before valid window"),IF(AG276&gt;Flights!$AA$12,"INVALID – completed after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f>
        <v>OPEN</v>
      </c>
      <c r="AI276" s="61" t="n">
        <f aca="false">IF(OR(AH276="N/A – RULE",AH276="N/A – JUSTIFIED"),0,1)</f>
        <v>1</v>
      </c>
      <c r="AJ276" s="61" t="n">
        <f aca="false">IF(LEFT(AH276,8)="COMPLETE",1,0)</f>
        <v>0</v>
      </c>
      <c r="AK276" s="61" t="n">
        <f aca="false">IF(AND(AI276=1,AJ276=0,AsOfUTC&gt;Q276),1,0)</f>
        <v>0</v>
      </c>
      <c r="AL276" s="61" t="n">
        <f aca="false">IF(AND(AI276=1,OR(TRIM(U276)="Fail",AB276="Open",AND(ISNUMBER(AF276),AF276&lt;&gt;0,TRIM(U276)&lt;&gt;"Pass after CA"))),1,0)</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row>
    <row r="277" customFormat="false" ht="78.75" hidden="false" customHeight="true" outlineLevel="0" collapsed="false">
      <c r="A277" s="57" t="s">
        <v>813</v>
      </c>
      <c r="B277" s="57" t="s">
        <v>228</v>
      </c>
      <c r="C277" s="57" t="str">
        <f aca="false">Flights!$F$12</f>
        <v>MH0752</v>
      </c>
      <c r="D277" s="58" t="n">
        <f aca="false">Flights!$D$12</f>
        <v>46305</v>
      </c>
      <c r="E277" s="57" t="str">
        <f aca="false">Flights!$G$12&amp;"-"&amp;Flights!$H$12</f>
        <v>KUL-HAN</v>
      </c>
      <c r="F277" s="57" t="str">
        <f aca="false">Flights!$K$12</f>
        <v>EY</v>
      </c>
      <c r="G277" s="57" t="s">
        <v>383</v>
      </c>
      <c r="H277" s="57" t="s">
        <v>341</v>
      </c>
      <c r="I277" s="57" t="s">
        <v>391</v>
      </c>
      <c r="J277" s="57" t="s">
        <v>398</v>
      </c>
      <c r="K277" s="67" t="s">
        <v>454</v>
      </c>
      <c r="L277" s="67" t="s">
        <v>385</v>
      </c>
      <c r="M277" s="67"/>
      <c r="N277" s="67" t="s">
        <v>346</v>
      </c>
      <c r="O277" s="67" t="s">
        <v>386</v>
      </c>
      <c r="P277" s="57" t="s">
        <v>177</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IF(N277="N/A – rule","N/A – RULE",IF(TRIM(U277)="N/A",IF(AT277=0,"INVALID – N/A not permitted for this mandatory check",IF(AND(TRIM(AC277)&lt;&gt;"",TRIM(AE277)&lt;&gt;"",TRIM(T277)&lt;&gt;""),"N/A – JUSTIFIED","INVALID – N/A needs justification, PIC and verifier")),IF(OR(TRIM(U277)="Pass",TRIM(U277)="Pass after CA"),IF(NOT(ISNUMBER(AD277)),"INVALID – completion time missing",IF(TRIM(T277)="","INVALID – PIC missing",IF(TRIM(Z277)="","INVALID – evidence missing",IF(TRIM(AE277)="","INVALID – verifier missing",IF(AND(AQ277=1,TRIM(W277)=""),"INVALID – batch ID missing",IF(AND(AR277=1,OR(NOT(ISNUMBER(X277)),NOT(ISNUMBER(Y277)))),"INVALID – expected/actual qty missing",IF(IF(AND(TRIM(U277)="Pass",ISNUMBER(AF277)),IF(AF277&lt;&gt;0,"INVALID – qty variance: use Fail or Pass after CA",""),"")&amp;IF(AND(TRIM(U277)="Pass",AB277="Open"),"INVALID – corrective action still open: use Fail, then Pass after CA","")&amp;IF(AND(TRIM(U277)="Pass after CA",OR(TRIM(AA277)="",AB277&lt;&gt;"Closed")),"INVALID – corrective action not recorded/closed","")&lt;&gt;"",IF(AND(TRIM(U277)="Pass",ISNUMBER(AF277)),IF(AF277&lt;&gt;0,"INVALID – qty variance: use Fail or Pass after CA",""),"")&amp;IF(AND(TRIM(U277)="Pass",AB277="Open"),"INVALID – corrective action still open: use Fail, then Pass after CA","")&amp;IF(AND(TRIM(U277)="Pass after CA",OR(TRIM(AA277)="",AB277&lt;&gt;"Closed")),"INVALID – corrective action not recorded/closed",""),IF(AND(AS277=1,Documents!$J$12&lt;&gt;"ON FILE"),"INVALID – GLD not on file (Documents sheet)",IF(AND(AS277=2,Documents!$O$12&lt;&gt;"ON FILE"),"INVALID – menu checklist not on file (Documents sheet)",IF(AND(AS277=3,NOT(ISNUMBER(Flights!$AX$12))),"INVALID – enter carrying flight KUL departure (Flights AX)",IF(AG277&gt;AsOfUTC,"INVALID – completion time is in the future",IF(AND(ISNUMBER(S277),AG277&lt;S277),IF(H277="Physical uplift","INVALID – before uplift window (cannot confirm loading)","INVALID – before valid window"),IF(AG277&gt;Flights!$AA$12,"INVALID – completed after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f>
        <v>OPEN</v>
      </c>
      <c r="AI277" s="61" t="n">
        <f aca="false">IF(OR(AH277="N/A – RULE",AH277="N/A – JUSTIFIED"),0,1)</f>
        <v>1</v>
      </c>
      <c r="AJ277" s="61" t="n">
        <f aca="false">IF(LEFT(AH277,8)="COMPLETE",1,0)</f>
        <v>0</v>
      </c>
      <c r="AK277" s="61" t="n">
        <f aca="false">IF(AND(AI277=1,AJ277=0,AsOfUTC&gt;Q277),1,0)</f>
        <v>0</v>
      </c>
      <c r="AL277" s="61" t="n">
        <f aca="false">IF(AND(AI277=1,OR(TRIM(U277)="Fail",AB277="Open",AND(ISNUMBER(AF277),AF277&lt;&gt;0,TRIM(U277)&lt;&gt;"Pass after CA"))),1,0)</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row>
    <row r="278" customFormat="false" ht="39.75" hidden="false" customHeight="true" outlineLevel="0" collapsed="false">
      <c r="A278" s="57" t="s">
        <v>814</v>
      </c>
      <c r="B278" s="57" t="s">
        <v>228</v>
      </c>
      <c r="C278" s="57" t="str">
        <f aca="false">Flights!$F$12</f>
        <v>MH0752</v>
      </c>
      <c r="D278" s="58" t="n">
        <f aca="false">Flights!$D$12</f>
        <v>46305</v>
      </c>
      <c r="E278" s="57" t="str">
        <f aca="false">Flights!$G$12&amp;"-"&amp;Flights!$H$12</f>
        <v>KUL-HAN</v>
      </c>
      <c r="F278" s="57" t="str">
        <f aca="false">Flights!$K$12</f>
        <v>EY</v>
      </c>
      <c r="G278" s="57" t="s">
        <v>383</v>
      </c>
      <c r="H278" s="57" t="s">
        <v>341</v>
      </c>
      <c r="I278" s="57" t="s">
        <v>391</v>
      </c>
      <c r="J278" s="57" t="s">
        <v>401</v>
      </c>
      <c r="K278" s="67"/>
      <c r="L278" s="67" t="s">
        <v>385</v>
      </c>
      <c r="M278" s="67"/>
      <c r="N278" s="67" t="s">
        <v>346</v>
      </c>
      <c r="O278" s="67" t="s">
        <v>386</v>
      </c>
      <c r="P278" s="57" t="s">
        <v>177</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IF(N278="N/A – rule","N/A – RULE",IF(TRIM(U278)="N/A",IF(AT278=0,"INVALID – N/A not permitted for this mandatory check",IF(AND(TRIM(AC278)&lt;&gt;"",TRIM(AE278)&lt;&gt;"",TRIM(T278)&lt;&gt;""),"N/A – JUSTIFIED","INVALID – N/A needs justification, PIC and verifier")),IF(OR(TRIM(U278)="Pass",TRIM(U278)="Pass after CA"),IF(NOT(ISNUMBER(AD278)),"INVALID – completion time missing",IF(TRIM(T278)="","INVALID – PIC missing",IF(TRIM(Z278)="","INVALID – evidence missing",IF(TRIM(AE278)="","INVALID – verifier missing",IF(AND(AQ278=1,TRIM(W278)=""),"INVALID – batch ID missing",IF(AND(AR278=1,OR(NOT(ISNUMBER(X278)),NOT(ISNUMBER(Y278)))),"INVALID – expected/actual qty missing",IF(IF(AND(TRIM(U278)="Pass",ISNUMBER(AF278)),IF(AF278&lt;&gt;0,"INVALID – qty variance: use Fail or Pass after CA",""),"")&amp;IF(AND(TRIM(U278)="Pass",AB278="Open"),"INVALID – corrective action still open: use Fail, then Pass after CA","")&amp;IF(AND(TRIM(U278)="Pass after CA",OR(TRIM(AA278)="",AB278&lt;&gt;"Closed")),"INVALID – corrective action not recorded/closed","")&lt;&gt;"",IF(AND(TRIM(U278)="Pass",ISNUMBER(AF278)),IF(AF278&lt;&gt;0,"INVALID – qty variance: use Fail or Pass after CA",""),"")&amp;IF(AND(TRIM(U278)="Pass",AB278="Open"),"INVALID – corrective action still open: use Fail, then Pass after CA","")&amp;IF(AND(TRIM(U278)="Pass after CA",OR(TRIM(AA278)="",AB278&lt;&gt;"Closed")),"INVALID – corrective action not recorded/closed",""),IF(AND(AS278=1,Documents!$J$12&lt;&gt;"ON FILE"),"INVALID – GLD not on file (Documents sheet)",IF(AND(AS278=2,Documents!$O$12&lt;&gt;"ON FILE"),"INVALID – menu checklist not on file (Documents sheet)",IF(AND(AS278=3,NOT(ISNUMBER(Flights!$AX$12))),"INVALID – enter carrying flight KUL departure (Flights AX)",IF(AG278&gt;AsOfUTC,"INVALID – completion time is in the future",IF(AND(ISNUMBER(S278),AG278&lt;S278),IF(H278="Physical uplift","INVALID – before uplift window (cannot confirm loading)","INVALID – before valid window"),IF(AG278&gt;Flights!$AA$12,"INVALID – completed after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f>
        <v>OPEN</v>
      </c>
      <c r="AI278" s="61" t="n">
        <f aca="false">IF(OR(AH278="N/A – RULE",AH278="N/A – JUSTIFIED"),0,1)</f>
        <v>1</v>
      </c>
      <c r="AJ278" s="61" t="n">
        <f aca="false">IF(LEFT(AH278,8)="COMPLETE",1,0)</f>
        <v>0</v>
      </c>
      <c r="AK278" s="61" t="n">
        <f aca="false">IF(AND(AI278=1,AJ278=0,AsOfUTC&gt;Q278),1,0)</f>
        <v>0</v>
      </c>
      <c r="AL278" s="61" t="n">
        <f aca="false">IF(AND(AI278=1,OR(TRIM(U278)="Fail",AB278="Open",AND(ISNUMBER(AF278),AF278&lt;&gt;0,TRIM(U278)&lt;&gt;"Pass after CA"))),1,0)</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row>
    <row r="279" customFormat="false" ht="41.25" hidden="false" customHeight="true" outlineLevel="0" collapsed="false">
      <c r="A279" s="57" t="s">
        <v>815</v>
      </c>
      <c r="B279" s="57" t="s">
        <v>228</v>
      </c>
      <c r="C279" s="57" t="str">
        <f aca="false">Flights!$F$12</f>
        <v>MH0752</v>
      </c>
      <c r="D279" s="58" t="n">
        <f aca="false">Flights!$D$12</f>
        <v>46305</v>
      </c>
      <c r="E279" s="57" t="str">
        <f aca="false">Flights!$G$12&amp;"-"&amp;Flights!$H$12</f>
        <v>KUL-HAN</v>
      </c>
      <c r="F279" s="57" t="str">
        <f aca="false">Flights!$K$12</f>
        <v>EY</v>
      </c>
      <c r="G279" s="57" t="s">
        <v>383</v>
      </c>
      <c r="H279" s="57" t="s">
        <v>341</v>
      </c>
      <c r="I279" s="57" t="s">
        <v>410</v>
      </c>
      <c r="J279" s="57" t="s">
        <v>411</v>
      </c>
      <c r="K279" s="67" t="s">
        <v>412</v>
      </c>
      <c r="L279" s="67" t="s">
        <v>816</v>
      </c>
      <c r="M279" s="67" t="s">
        <v>414</v>
      </c>
      <c r="N279" s="67" t="s">
        <v>346</v>
      </c>
      <c r="O279" s="67" t="s">
        <v>466</v>
      </c>
      <c r="P279" s="57" t="s">
        <v>177</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IF(N279="N/A – rule","N/A – RULE",IF(TRIM(U279)="N/A",IF(AT279=0,"INVALID – N/A not permitted for this mandatory check",IF(AND(TRIM(AC279)&lt;&gt;"",TRIM(AE279)&lt;&gt;"",TRIM(T279)&lt;&gt;""),"N/A – JUSTIFIED","INVALID – N/A needs justification, PIC and verifier")),IF(OR(TRIM(U279)="Pass",TRIM(U279)="Pass after CA"),IF(NOT(ISNUMBER(AD279)),"INVALID – completion time missing",IF(TRIM(T279)="","INVALID – PIC missing",IF(TRIM(Z279)="","INVALID – evidence missing",IF(TRIM(AE279)="","INVALID – verifier missing",IF(AND(AQ279=1,TRIM(W279)=""),"INVALID – batch ID missing",IF(AND(AR279=1,OR(NOT(ISNUMBER(X279)),NOT(ISNUMBER(Y279)))),"INVALID – expected/actual qty missing",IF(IF(AND(TRIM(U279)="Pass",ISNUMBER(AF279)),IF(AF279&lt;&gt;0,"INVALID – qty variance: use Fail or Pass after CA",""),"")&amp;IF(AND(TRIM(U279)="Pass",AB279="Open"),"INVALID – corrective action still open: use Fail, then Pass after CA","")&amp;IF(AND(TRIM(U279)="Pass after CA",OR(TRIM(AA279)="",AB279&lt;&gt;"Closed")),"INVALID – corrective action not recorded/closed","")&lt;&gt;"",IF(AND(TRIM(U279)="Pass",ISNUMBER(AF279)),IF(AF279&lt;&gt;0,"INVALID – qty variance: use Fail or Pass after CA",""),"")&amp;IF(AND(TRIM(U279)="Pass",AB279="Open"),"INVALID – corrective action still open: use Fail, then Pass after CA","")&amp;IF(AND(TRIM(U279)="Pass after CA",OR(TRIM(AA279)="",AB279&lt;&gt;"Closed")),"INVALID – corrective action not recorded/closed",""),IF(AND(AS279=1,Documents!$J$12&lt;&gt;"ON FILE"),"INVALID – GLD not on file (Documents sheet)",IF(AND(AS279=2,Documents!$O$12&lt;&gt;"ON FILE"),"INVALID – menu checklist not on file (Documents sheet)",IF(AND(AS279=3,NOT(ISNUMBER(Flights!$AX$12))),"INVALID – enter carrying flight KUL departure (Flights AX)",IF(AG279&gt;AsOfUTC,"INVALID – completion time is in the future",IF(AND(ISNUMBER(S279),AG279&lt;S279),IF(H279="Physical uplift","INVALID – before uplift window (cannot confirm loading)","INVALID – before valid window"),IF(AG279&gt;Flights!$AA$12,"INVALID – completed after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f>
        <v>OPEN</v>
      </c>
      <c r="AI279" s="61" t="n">
        <f aca="false">IF(OR(AH279="N/A – RULE",AH279="N/A – JUSTIFIED"),0,1)</f>
        <v>1</v>
      </c>
      <c r="AJ279" s="61" t="n">
        <f aca="false">IF(LEFT(AH279,8)="COMPLETE",1,0)</f>
        <v>0</v>
      </c>
      <c r="AK279" s="61" t="n">
        <f aca="false">IF(AND(AI279=1,AJ279=0,AsOfUTC&gt;Q279),1,0)</f>
        <v>0</v>
      </c>
      <c r="AL279" s="61" t="n">
        <f aca="false">IF(AND(AI279=1,OR(TRIM(U279)="Fail",AB279="Open",AND(ISNUMBER(AF279),AF279&lt;&gt;0,TRIM(U279)&lt;&gt;"Pass after CA"))),1,0)</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1</v>
      </c>
    </row>
    <row r="280" customFormat="false" ht="39.75" hidden="false" customHeight="true" outlineLevel="0" collapsed="false">
      <c r="A280" s="57" t="s">
        <v>817</v>
      </c>
      <c r="B280" s="57" t="s">
        <v>228</v>
      </c>
      <c r="C280" s="57" t="str">
        <f aca="false">Flights!$F$12</f>
        <v>MH0752</v>
      </c>
      <c r="D280" s="58" t="n">
        <f aca="false">Flights!$D$12</f>
        <v>46305</v>
      </c>
      <c r="E280" s="57" t="str">
        <f aca="false">Flights!$G$12&amp;"-"&amp;Flights!$H$12</f>
        <v>KUL-HAN</v>
      </c>
      <c r="F280" s="57" t="str">
        <f aca="false">Flights!$K$12</f>
        <v>EY</v>
      </c>
      <c r="G280" s="57" t="s">
        <v>422</v>
      </c>
      <c r="H280" s="57" t="s">
        <v>423</v>
      </c>
      <c r="I280" s="57" t="s">
        <v>342</v>
      </c>
      <c r="J280" s="57" t="s">
        <v>424</v>
      </c>
      <c r="K280" s="67" t="s">
        <v>389</v>
      </c>
      <c r="L280" s="67" t="s">
        <v>425</v>
      </c>
      <c r="M280" s="67"/>
      <c r="N280" s="67" t="s">
        <v>346</v>
      </c>
      <c r="O280" s="67" t="s">
        <v>426</v>
      </c>
      <c r="P280" s="57" t="s">
        <v>177</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IF(N280="N/A – rule","N/A – RULE",IF(TRIM(U280)="N/A",IF(AT280=0,"INVALID – N/A not permitted for this mandatory check",IF(AND(TRIM(AC280)&lt;&gt;"",TRIM(AE280)&lt;&gt;"",TRIM(T280)&lt;&gt;""),"N/A – JUSTIFIED","INVALID – N/A needs justification, PIC and verifier")),IF(OR(TRIM(U280)="Pass",TRIM(U280)="Pass after CA"),IF(NOT(ISNUMBER(AD280)),"INVALID – completion time missing",IF(TRIM(T280)="","INVALID – PIC missing",IF(TRIM(Z280)="","INVALID – evidence missing",IF(TRIM(AE280)="","INVALID – verifier missing",IF(AND(AQ280=1,TRIM(W280)=""),"INVALID – batch ID missing",IF(AND(AR280=1,OR(NOT(ISNUMBER(X280)),NOT(ISNUMBER(Y280)))),"INVALID – expected/actual qty missing",IF(IF(AND(TRIM(U280)="Pass",ISNUMBER(AF280)),IF(AF280&lt;&gt;0,"INVALID – qty variance: use Fail or Pass after CA",""),"")&amp;IF(AND(TRIM(U280)="Pass",AB280="Open"),"INVALID – corrective action still open: use Fail, then Pass after CA","")&amp;IF(AND(TRIM(U280)="Pass after CA",OR(TRIM(AA280)="",AB280&lt;&gt;"Closed")),"INVALID – corrective action not recorded/closed","")&lt;&gt;"",IF(AND(TRIM(U280)="Pass",ISNUMBER(AF280)),IF(AF280&lt;&gt;0,"INVALID – qty variance: use Fail or Pass after CA",""),"")&amp;IF(AND(TRIM(U280)="Pass",AB280="Open"),"INVALID – corrective action still open: use Fail, then Pass after CA","")&amp;IF(AND(TRIM(U280)="Pass after CA",OR(TRIM(AA280)="",AB280&lt;&gt;"Closed")),"INVALID – corrective action not recorded/closed",""),IF(AND(AS280=1,Documents!$J$12&lt;&gt;"ON FILE"),"INVALID – GLD not on file (Documents sheet)",IF(AND(AS280=2,Documents!$O$12&lt;&gt;"ON FILE"),"INVALID – menu checklist not on file (Documents sheet)",IF(AND(AS280=3,NOT(ISNUMBER(Flights!$AX$12))),"INVALID – enter carrying flight KUL departure (Flights AX)",IF(AG280&gt;AsOfUTC,"INVALID – completion time is in the future",IF(AND(ISNUMBER(S280),AG280&lt;S280),IF(H280="Physical uplift","INVALID – before uplift window (cannot confirm loading)","INVALID – before valid window"),IF(AG280&gt;Flights!$AA$12,"INVALID – completed after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f>
        <v>OPEN</v>
      </c>
      <c r="AI280" s="61" t="n">
        <f aca="false">IF(OR(AH280="N/A – RULE",AH280="N/A – JUSTIFIED"),0,1)</f>
        <v>1</v>
      </c>
      <c r="AJ280" s="61" t="n">
        <f aca="false">IF(LEFT(AH280,8)="COMPLETE",1,0)</f>
        <v>0</v>
      </c>
      <c r="AK280" s="61" t="n">
        <f aca="false">IF(AND(AI280=1,AJ280=0,AsOfUTC&gt;Q280),1,0)</f>
        <v>0</v>
      </c>
      <c r="AL280" s="61" t="n">
        <f aca="false">IF(AND(AI280=1,OR(TRIM(U280)="Fail",AB280="Open",AND(ISNUMBER(AF280),AF280&lt;&gt;0,TRIM(U280)&lt;&gt;"Pass after CA"))),1,0)</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row>
    <row r="281" customFormat="false" ht="39.75" hidden="false" customHeight="true" outlineLevel="0" collapsed="false">
      <c r="A281" s="57" t="s">
        <v>818</v>
      </c>
      <c r="B281" s="57" t="s">
        <v>228</v>
      </c>
      <c r="C281" s="57" t="str">
        <f aca="false">Flights!$F$12</f>
        <v>MH0752</v>
      </c>
      <c r="D281" s="58" t="n">
        <f aca="false">Flights!$D$12</f>
        <v>46305</v>
      </c>
      <c r="E281" s="57" t="str">
        <f aca="false">Flights!$G$12&amp;"-"&amp;Flights!$H$12</f>
        <v>KUL-HAN</v>
      </c>
      <c r="F281" s="57" t="str">
        <f aca="false">Flights!$K$12</f>
        <v>EY</v>
      </c>
      <c r="G281" s="57" t="s">
        <v>422</v>
      </c>
      <c r="H281" s="57" t="s">
        <v>423</v>
      </c>
      <c r="I281" s="57" t="s">
        <v>391</v>
      </c>
      <c r="J281" s="57" t="s">
        <v>428</v>
      </c>
      <c r="K281" s="67" t="s">
        <v>389</v>
      </c>
      <c r="L281" s="67" t="s">
        <v>425</v>
      </c>
      <c r="M281" s="67"/>
      <c r="N281" s="67" t="s">
        <v>346</v>
      </c>
      <c r="O281" s="67" t="s">
        <v>426</v>
      </c>
      <c r="P281" s="57" t="s">
        <v>177</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IF(N281="N/A – rule","N/A – RULE",IF(TRIM(U281)="N/A",IF(AT281=0,"INVALID – N/A not permitted for this mandatory check",IF(AND(TRIM(AC281)&lt;&gt;"",TRIM(AE281)&lt;&gt;"",TRIM(T281)&lt;&gt;""),"N/A – JUSTIFIED","INVALID – N/A needs justification, PIC and verifier")),IF(OR(TRIM(U281)="Pass",TRIM(U281)="Pass after CA"),IF(NOT(ISNUMBER(AD281)),"INVALID – completion time missing",IF(TRIM(T281)="","INVALID – PIC missing",IF(TRIM(Z281)="","INVALID – evidence missing",IF(TRIM(AE281)="","INVALID – verifier missing",IF(AND(AQ281=1,TRIM(W281)=""),"INVALID – batch ID missing",IF(AND(AR281=1,OR(NOT(ISNUMBER(X281)),NOT(ISNUMBER(Y281)))),"INVALID – expected/actual qty missing",IF(IF(AND(TRIM(U281)="Pass",ISNUMBER(AF281)),IF(AF281&lt;&gt;0,"INVALID – qty variance: use Fail or Pass after CA",""),"")&amp;IF(AND(TRIM(U281)="Pass",AB281="Open"),"INVALID – corrective action still open: use Fail, then Pass after CA","")&amp;IF(AND(TRIM(U281)="Pass after CA",OR(TRIM(AA281)="",AB281&lt;&gt;"Closed")),"INVALID – corrective action not recorded/closed","")&lt;&gt;"",IF(AND(TRIM(U281)="Pass",ISNUMBER(AF281)),IF(AF281&lt;&gt;0,"INVALID – qty variance: use Fail or Pass after CA",""),"")&amp;IF(AND(TRIM(U281)="Pass",AB281="Open"),"INVALID – corrective action still open: use Fail, then Pass after CA","")&amp;IF(AND(TRIM(U281)="Pass after CA",OR(TRIM(AA281)="",AB281&lt;&gt;"Closed")),"INVALID – corrective action not recorded/closed",""),IF(AND(AS281=1,Documents!$J$12&lt;&gt;"ON FILE"),"INVALID – GLD not on file (Documents sheet)",IF(AND(AS281=2,Documents!$O$12&lt;&gt;"ON FILE"),"INVALID – menu checklist not on file (Documents sheet)",IF(AND(AS281=3,NOT(ISNUMBER(Flights!$AX$12))),"INVALID – enter carrying flight KUL departure (Flights AX)",IF(AG281&gt;AsOfUTC,"INVALID – completion time is in the future",IF(AND(ISNUMBER(S281),AG281&lt;S281),IF(H281="Physical uplift","INVALID – before uplift window (cannot confirm loading)","INVALID – before valid window"),IF(AG281&gt;Flights!$AA$12,"INVALID – completed after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f>
        <v>OPEN</v>
      </c>
      <c r="AI281" s="61" t="n">
        <f aca="false">IF(OR(AH281="N/A – RULE",AH281="N/A – JUSTIFIED"),0,1)</f>
        <v>1</v>
      </c>
      <c r="AJ281" s="61" t="n">
        <f aca="false">IF(LEFT(AH281,8)="COMPLETE",1,0)</f>
        <v>0</v>
      </c>
      <c r="AK281" s="61" t="n">
        <f aca="false">IF(AND(AI281=1,AJ281=0,AsOfUTC&gt;Q281),1,0)</f>
        <v>0</v>
      </c>
      <c r="AL281" s="61" t="n">
        <f aca="false">IF(AND(AI281=1,OR(TRIM(U281)="Fail",AB281="Open",AND(ISNUMBER(AF281),AF281&lt;&gt;0,TRIM(U281)&lt;&gt;"Pass after CA"))),1,0)</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row>
    <row r="282" customFormat="false" ht="39.75" hidden="false" customHeight="true" outlineLevel="0" collapsed="false">
      <c r="A282" s="57" t="s">
        <v>819</v>
      </c>
      <c r="B282" s="57" t="s">
        <v>228</v>
      </c>
      <c r="C282" s="57" t="str">
        <f aca="false">Flights!$F$12</f>
        <v>MH0752</v>
      </c>
      <c r="D282" s="58" t="n">
        <f aca="false">Flights!$D$12</f>
        <v>46305</v>
      </c>
      <c r="E282" s="57" t="str">
        <f aca="false">Flights!$G$12&amp;"-"&amp;Flights!$H$12</f>
        <v>KUL-HAN</v>
      </c>
      <c r="F282" s="57" t="str">
        <f aca="false">Flights!$K$12</f>
        <v>EY</v>
      </c>
      <c r="G282" s="57" t="s">
        <v>422</v>
      </c>
      <c r="H282" s="57" t="s">
        <v>423</v>
      </c>
      <c r="I282" s="57" t="s">
        <v>410</v>
      </c>
      <c r="J282" s="57" t="s">
        <v>432</v>
      </c>
      <c r="K282" s="67" t="s">
        <v>412</v>
      </c>
      <c r="L282" s="67" t="s">
        <v>816</v>
      </c>
      <c r="M282" s="67" t="s">
        <v>414</v>
      </c>
      <c r="N282" s="67" t="s">
        <v>346</v>
      </c>
      <c r="O282" s="67"/>
      <c r="P282" s="57" t="s">
        <v>177</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IF(N282="N/A – rule","N/A – RULE",IF(TRIM(U282)="N/A",IF(AT282=0,"INVALID – N/A not permitted for this mandatory check",IF(AND(TRIM(AC282)&lt;&gt;"",TRIM(AE282)&lt;&gt;"",TRIM(T282)&lt;&gt;""),"N/A – JUSTIFIED","INVALID – N/A needs justification, PIC and verifier")),IF(OR(TRIM(U282)="Pass",TRIM(U282)="Pass after CA"),IF(NOT(ISNUMBER(AD282)),"INVALID – completion time missing",IF(TRIM(T282)="","INVALID – PIC missing",IF(TRIM(Z282)="","INVALID – evidence missing",IF(TRIM(AE282)="","INVALID – verifier missing",IF(AND(AQ282=1,TRIM(W282)=""),"INVALID – batch ID missing",IF(AND(AR282=1,OR(NOT(ISNUMBER(X282)),NOT(ISNUMBER(Y282)))),"INVALID – expected/actual qty missing",IF(IF(AND(TRIM(U282)="Pass",ISNUMBER(AF282)),IF(AF282&lt;&gt;0,"INVALID – qty variance: use Fail or Pass after CA",""),"")&amp;IF(AND(TRIM(U282)="Pass",AB282="Open"),"INVALID – corrective action still open: use Fail, then Pass after CA","")&amp;IF(AND(TRIM(U282)="Pass after CA",OR(TRIM(AA282)="",AB282&lt;&gt;"Closed")),"INVALID – corrective action not recorded/closed","")&lt;&gt;"",IF(AND(TRIM(U282)="Pass",ISNUMBER(AF282)),IF(AF282&lt;&gt;0,"INVALID – qty variance: use Fail or Pass after CA",""),"")&amp;IF(AND(TRIM(U282)="Pass",AB282="Open"),"INVALID – corrective action still open: use Fail, then Pass after CA","")&amp;IF(AND(TRIM(U282)="Pass after CA",OR(TRIM(AA282)="",AB282&lt;&gt;"Closed")),"INVALID – corrective action not recorded/closed",""),IF(AND(AS282=1,Documents!$J$12&lt;&gt;"ON FILE"),"INVALID – GLD not on file (Documents sheet)",IF(AND(AS282=2,Documents!$O$12&lt;&gt;"ON FILE"),"INVALID – menu checklist not on file (Documents sheet)",IF(AND(AS282=3,NOT(ISNUMBER(Flights!$AX$12))),"INVALID – enter carrying flight KUL departure (Flights AX)",IF(AG282&gt;AsOfUTC,"INVALID – completion time is in the future",IF(AND(ISNUMBER(S282),AG282&lt;S282),IF(H282="Physical uplift","INVALID – before uplift window (cannot confirm loading)","INVALID – before valid window"),IF(AG282&gt;Flights!$AA$12,"INVALID – completed after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f>
        <v>OPEN</v>
      </c>
      <c r="AI282" s="61" t="n">
        <f aca="false">IF(OR(AH282="N/A – RULE",AH282="N/A – JUSTIFIED"),0,1)</f>
        <v>1</v>
      </c>
      <c r="AJ282" s="61" t="n">
        <f aca="false">IF(LEFT(AH282,8)="COMPLETE",1,0)</f>
        <v>0</v>
      </c>
      <c r="AK282" s="61" t="n">
        <f aca="false">IF(AND(AI282=1,AJ282=0,AsOfUTC&gt;Q282),1,0)</f>
        <v>0</v>
      </c>
      <c r="AL282" s="61" t="n">
        <f aca="false">IF(AND(AI282=1,OR(TRIM(U282)="Fail",AB282="Open",AND(ISNUMBER(AF282),AF282&lt;&gt;0,TRIM(U282)&lt;&gt;"Pass after CA"))),1,0)</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1</v>
      </c>
    </row>
    <row r="283" customFormat="false" ht="39.75" hidden="false" customHeight="true" outlineLevel="0" collapsed="false">
      <c r="A283" s="57" t="s">
        <v>820</v>
      </c>
      <c r="B283" s="57" t="s">
        <v>236</v>
      </c>
      <c r="C283" s="57" t="str">
        <f aca="false">Flights!$F$13</f>
        <v>MH0753</v>
      </c>
      <c r="D283" s="58" t="n">
        <f aca="false">Flights!$D$13</f>
        <v>46306</v>
      </c>
      <c r="E283" s="57" t="str">
        <f aca="false">Flights!$G$13&amp;"-"&amp;Flights!$H$13</f>
        <v>HAN-KUL</v>
      </c>
      <c r="F283" s="57" t="str">
        <f aca="false">Flights!$K$13</f>
        <v>BC</v>
      </c>
      <c r="G283" s="57" t="s">
        <v>74</v>
      </c>
      <c r="H283" s="57" t="s">
        <v>341</v>
      </c>
      <c r="I283" s="57" t="s">
        <v>342</v>
      </c>
      <c r="J283" s="57" t="s">
        <v>343</v>
      </c>
      <c r="K283" s="67" t="s">
        <v>344</v>
      </c>
      <c r="L283" s="67" t="s">
        <v>345</v>
      </c>
      <c r="M283" s="67"/>
      <c r="N283" s="67" t="s">
        <v>346</v>
      </c>
      <c r="O283" s="67"/>
      <c r="P283" s="57" t="s">
        <v>230</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IF(N283="N/A – rule","N/A – RULE",IF(TRIM(U283)="N/A",IF(AT283=0,"INVALID – N/A not permitted for this mandatory check",IF(AND(TRIM(AC283)&lt;&gt;"",TRIM(AE283)&lt;&gt;"",TRIM(T283)&lt;&gt;""),"N/A – JUSTIFIED","INVALID – N/A needs justification, PIC and verifier")),IF(OR(TRIM(U283)="Pass",TRIM(U283)="Pass after CA"),IF(NOT(ISNUMBER(AD283)),"INVALID – completion time missing",IF(TRIM(T283)="","INVALID – PIC missing",IF(TRIM(Z283)="","INVALID – evidence missing",IF(TRIM(AE283)="","INVALID – verifier missing",IF(AND(AQ283=1,TRIM(W283)=""),"INVALID – batch ID missing",IF(AND(AR283=1,OR(NOT(ISNUMBER(X283)),NOT(ISNUMBER(Y283)))),"INVALID – expected/actual qty missing",IF(IF(AND(TRIM(U283)="Pass",ISNUMBER(AF283)),IF(AF283&lt;&gt;0,"INVALID – qty variance: use Fail or Pass after CA",""),"")&amp;IF(AND(TRIM(U283)="Pass",AB283="Open"),"INVALID – corrective action still open: use Fail, then Pass after CA","")&amp;IF(AND(TRIM(U283)="Pass after CA",OR(TRIM(AA283)="",AB283&lt;&gt;"Closed")),"INVALID – corrective action not recorded/closed","")&lt;&gt;"",IF(AND(TRIM(U283)="Pass",ISNUMBER(AF283)),IF(AF283&lt;&gt;0,"INVALID – qty variance: use Fail or Pass after CA",""),"")&amp;IF(AND(TRIM(U283)="Pass",AB283="Open"),"INVALID – corrective action still open: use Fail, then Pass after CA","")&amp;IF(AND(TRIM(U283)="Pass after CA",OR(TRIM(AA283)="",AB283&lt;&gt;"Closed")),"INVALID – corrective action not recorded/closed",""),IF(AND(AS283=1,Documents!$J$13&lt;&gt;"ON FILE"),"INVALID – GLD not on file (Documents sheet)",IF(AND(AS283=2,Documents!$O$13&lt;&gt;"ON FILE"),"INVALID – menu checklist not on file (Documents sheet)",IF(AND(AS283=3,NOT(ISNUMBER(Flights!$AX$13))),"INVALID – enter carrying flight KUL departure (Flights AX)",IF(AG283&gt;AsOfUTC,"INVALID – completion time is in the future",IF(AND(ISNUMBER(S283),AG283&lt;S283),IF(H283="Physical uplift","INVALID – before uplift window (cannot confirm loading)","INVALID – before valid window"),IF(AG283&gt;Flights!$AA$13,"INVALID – completed after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f>
        <v>OPEN</v>
      </c>
      <c r="AI283" s="61" t="n">
        <f aca="false">IF(OR(AH283="N/A – RULE",AH283="N/A – JUSTIFIED"),0,1)</f>
        <v>1</v>
      </c>
      <c r="AJ283" s="61" t="n">
        <f aca="false">IF(LEFT(AH283,8)="COMPLETE",1,0)</f>
        <v>0</v>
      </c>
      <c r="AK283" s="61" t="n">
        <f aca="false">IF(AND(AI283=1,AJ283=0,AsOfUTC&gt;Q283),1,0)</f>
        <v>0</v>
      </c>
      <c r="AL283" s="61" t="n">
        <f aca="false">IF(AND(AI283=1,OR(TRIM(U283)="Fail",AB283="Open",AND(ISNUMBER(AF283),AF283&lt;&gt;0,TRIM(U283)&lt;&gt;"Pass after CA"))),1,0)</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row>
    <row r="284" customFormat="false" ht="39.75" hidden="false" customHeight="true" outlineLevel="0" collapsed="false">
      <c r="A284" s="57" t="s">
        <v>821</v>
      </c>
      <c r="B284" s="57" t="s">
        <v>236</v>
      </c>
      <c r="C284" s="57" t="str">
        <f aca="false">Flights!$F$13</f>
        <v>MH0753</v>
      </c>
      <c r="D284" s="58" t="n">
        <f aca="false">Flights!$D$13</f>
        <v>46306</v>
      </c>
      <c r="E284" s="57" t="str">
        <f aca="false">Flights!$G$13&amp;"-"&amp;Flights!$H$13</f>
        <v>HAN-KUL</v>
      </c>
      <c r="F284" s="57" t="str">
        <f aca="false">Flights!$K$13</f>
        <v>BC</v>
      </c>
      <c r="G284" s="57" t="s">
        <v>74</v>
      </c>
      <c r="H284" s="57" t="s">
        <v>341</v>
      </c>
      <c r="I284" s="57" t="s">
        <v>348</v>
      </c>
      <c r="J284" s="57" t="s">
        <v>349</v>
      </c>
      <c r="K284" s="67" t="s">
        <v>350</v>
      </c>
      <c r="L284" s="67" t="s">
        <v>345</v>
      </c>
      <c r="M284" s="67"/>
      <c r="N284" s="67" t="s">
        <v>346</v>
      </c>
      <c r="O284" s="67"/>
      <c r="P284" s="57" t="s">
        <v>230</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IF(N284="N/A – rule","N/A – RULE",IF(TRIM(U284)="N/A",IF(AT284=0,"INVALID – N/A not permitted for this mandatory check",IF(AND(TRIM(AC284)&lt;&gt;"",TRIM(AE284)&lt;&gt;"",TRIM(T284)&lt;&gt;""),"N/A – JUSTIFIED","INVALID – N/A needs justification, PIC and verifier")),IF(OR(TRIM(U284)="Pass",TRIM(U284)="Pass after CA"),IF(NOT(ISNUMBER(AD284)),"INVALID – completion time missing",IF(TRIM(T284)="","INVALID – PIC missing",IF(TRIM(Z284)="","INVALID – evidence missing",IF(TRIM(AE284)="","INVALID – verifier missing",IF(AND(AQ284=1,TRIM(W284)=""),"INVALID – batch ID missing",IF(AND(AR284=1,OR(NOT(ISNUMBER(X284)),NOT(ISNUMBER(Y284)))),"INVALID – expected/actual qty missing",IF(IF(AND(TRIM(U284)="Pass",ISNUMBER(AF284)),IF(AF284&lt;&gt;0,"INVALID – qty variance: use Fail or Pass after CA",""),"")&amp;IF(AND(TRIM(U284)="Pass",AB284="Open"),"INVALID – corrective action still open: use Fail, then Pass after CA","")&amp;IF(AND(TRIM(U284)="Pass after CA",OR(TRIM(AA284)="",AB284&lt;&gt;"Closed")),"INVALID – corrective action not recorded/closed","")&lt;&gt;"",IF(AND(TRIM(U284)="Pass",ISNUMBER(AF284)),IF(AF284&lt;&gt;0,"INVALID – qty variance: use Fail or Pass after CA",""),"")&amp;IF(AND(TRIM(U284)="Pass",AB284="Open"),"INVALID – corrective action still open: use Fail, then Pass after CA","")&amp;IF(AND(TRIM(U284)="Pass after CA",OR(TRIM(AA284)="",AB284&lt;&gt;"Closed")),"INVALID – corrective action not recorded/closed",""),IF(AND(AS284=1,Documents!$J$13&lt;&gt;"ON FILE"),"INVALID – GLD not on file (Documents sheet)",IF(AND(AS284=2,Documents!$O$13&lt;&gt;"ON FILE"),"INVALID – menu checklist not on file (Documents sheet)",IF(AND(AS284=3,NOT(ISNUMBER(Flights!$AX$13))),"INVALID – enter carrying flight KUL departure (Flights AX)",IF(AG284&gt;AsOfUTC,"INVALID – completion time is in the future",IF(AND(ISNUMBER(S284),AG284&lt;S284),IF(H284="Physical uplift","INVALID – before uplift window (cannot confirm loading)","INVALID – before valid window"),IF(AG284&gt;Flights!$AA$13,"INVALID – completed after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f>
        <v>OPEN</v>
      </c>
      <c r="AI284" s="61" t="n">
        <f aca="false">IF(OR(AH284="N/A – RULE",AH284="N/A – JUSTIFIED"),0,1)</f>
        <v>1</v>
      </c>
      <c r="AJ284" s="61" t="n">
        <f aca="false">IF(LEFT(AH284,8)="COMPLETE",1,0)</f>
        <v>0</v>
      </c>
      <c r="AK284" s="61" t="n">
        <f aca="false">IF(AND(AI284=1,AJ284=0,AsOfUTC&gt;Q284),1,0)</f>
        <v>0</v>
      </c>
      <c r="AL284" s="61" t="n">
        <f aca="false">IF(AND(AI284=1,OR(TRIM(U284)="Fail",AB284="Open",AND(ISNUMBER(AF284),AF284&lt;&gt;0,TRIM(U284)&lt;&gt;"Pass after CA"))),1,0)</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1</v>
      </c>
    </row>
    <row r="285" customFormat="false" ht="41.25" hidden="false" customHeight="true" outlineLevel="0" collapsed="false">
      <c r="A285" s="57" t="s">
        <v>822</v>
      </c>
      <c r="B285" s="57" t="s">
        <v>236</v>
      </c>
      <c r="C285" s="57" t="str">
        <f aca="false">Flights!$F$13</f>
        <v>MH0753</v>
      </c>
      <c r="D285" s="58" t="n">
        <f aca="false">Flights!$D$13</f>
        <v>46306</v>
      </c>
      <c r="E285" s="57" t="str">
        <f aca="false">Flights!$G$13&amp;"-"&amp;Flights!$H$13</f>
        <v>HAN-KUL</v>
      </c>
      <c r="F285" s="57" t="str">
        <f aca="false">Flights!$K$13</f>
        <v>BC</v>
      </c>
      <c r="G285" s="57" t="s">
        <v>74</v>
      </c>
      <c r="H285" s="57" t="s">
        <v>341</v>
      </c>
      <c r="I285" s="57" t="s">
        <v>352</v>
      </c>
      <c r="J285" s="57" t="s">
        <v>353</v>
      </c>
      <c r="K285" s="67" t="s">
        <v>354</v>
      </c>
      <c r="L285" s="67" t="s">
        <v>345</v>
      </c>
      <c r="M285" s="67"/>
      <c r="N285" s="67" t="str">
        <f aca="false">IF(TRIM(Flights!$L$13)="A339","Required","N/A – rule")</f>
        <v>N/A – rule</v>
      </c>
      <c r="O285" s="67" t="s">
        <v>355</v>
      </c>
      <c r="P285" s="57" t="s">
        <v>230</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IF(N285="N/A – rule","N/A – RULE",IF(TRIM(U285)="N/A",IF(AT285=0,"INVALID – N/A not permitted for this mandatory check",IF(AND(TRIM(AC285)&lt;&gt;"",TRIM(AE285)&lt;&gt;"",TRIM(T285)&lt;&gt;""),"N/A – JUSTIFIED","INVALID – N/A needs justification, PIC and verifier")),IF(OR(TRIM(U285)="Pass",TRIM(U285)="Pass after CA"),IF(NOT(ISNUMBER(AD285)),"INVALID – completion time missing",IF(TRIM(T285)="","INVALID – PIC missing",IF(TRIM(Z285)="","INVALID – evidence missing",IF(TRIM(AE285)="","INVALID – verifier missing",IF(AND(AQ285=1,TRIM(W285)=""),"INVALID – batch ID missing",IF(AND(AR285=1,OR(NOT(ISNUMBER(X285)),NOT(ISNUMBER(Y285)))),"INVALID – expected/actual qty missing",IF(IF(AND(TRIM(U285)="Pass",ISNUMBER(AF285)),IF(AF285&lt;&gt;0,"INVALID – qty variance: use Fail or Pass after CA",""),"")&amp;IF(AND(TRIM(U285)="Pass",AB285="Open"),"INVALID – corrective action still open: use Fail, then Pass after CA","")&amp;IF(AND(TRIM(U285)="Pass after CA",OR(TRIM(AA285)="",AB285&lt;&gt;"Closed")),"INVALID – corrective action not recorded/closed","")&lt;&gt;"",IF(AND(TRIM(U285)="Pass",ISNUMBER(AF285)),IF(AF285&lt;&gt;0,"INVALID – qty variance: use Fail or Pass after CA",""),"")&amp;IF(AND(TRIM(U285)="Pass",AB285="Open"),"INVALID – corrective action still open: use Fail, then Pass after CA","")&amp;IF(AND(TRIM(U285)="Pass after CA",OR(TRIM(AA285)="",AB285&lt;&gt;"Closed")),"INVALID – corrective action not recorded/closed",""),IF(AND(AS285=1,Documents!$J$13&lt;&gt;"ON FILE"),"INVALID – GLD not on file (Documents sheet)",IF(AND(AS285=2,Documents!$O$13&lt;&gt;"ON FILE"),"INVALID – menu checklist not on file (Documents sheet)",IF(AND(AS285=3,NOT(ISNUMBER(Flights!$AX$13))),"INVALID – enter carrying flight KUL departure (Flights AX)",IF(AG285&gt;AsOfUTC,"INVALID – completion time is in the future",IF(AND(ISNUMBER(S285),AG285&lt;S285),IF(H285="Physical uplift","INVALID – before uplift window (cannot confirm loading)","INVALID – before valid window"),IF(AG285&gt;Flights!$AA$13,"INVALID – completed after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f>
        <v>N/A – RULE</v>
      </c>
      <c r="AI285" s="61" t="n">
        <f aca="false">IF(OR(AH285="N/A – RULE",AH285="N/A – JUSTIFIED"),0,1)</f>
        <v>0</v>
      </c>
      <c r="AJ285" s="61" t="n">
        <f aca="false">IF(LEFT(AH285,8)="COMPLETE",1,0)</f>
        <v>0</v>
      </c>
      <c r="AK285" s="61" t="n">
        <f aca="false">IF(AND(AI285=1,AJ285=0,AsOfUTC&gt;Q285),1,0)</f>
        <v>0</v>
      </c>
      <c r="AL285" s="61" t="n">
        <f aca="false">IF(AND(AI285=1,OR(TRIM(U285)="Fail",AB285="Open",AND(ISNUMBER(AF285),AF285&lt;&gt;0,TRIM(U285)&lt;&gt;"Pass after CA"))),1,0)</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row>
    <row r="286" customFormat="false" ht="39.75" hidden="false" customHeight="true" outlineLevel="0" collapsed="false">
      <c r="A286" s="57" t="s">
        <v>823</v>
      </c>
      <c r="B286" s="57" t="s">
        <v>236</v>
      </c>
      <c r="C286" s="57" t="str">
        <f aca="false">Flights!$F$13</f>
        <v>MH0753</v>
      </c>
      <c r="D286" s="58" t="n">
        <f aca="false">Flights!$D$13</f>
        <v>46306</v>
      </c>
      <c r="E286" s="57" t="str">
        <f aca="false">Flights!$G$13&amp;"-"&amp;Flights!$H$13</f>
        <v>HAN-KUL</v>
      </c>
      <c r="F286" s="57" t="str">
        <f aca="false">Flights!$K$13</f>
        <v>BC</v>
      </c>
      <c r="G286" s="57" t="s">
        <v>74</v>
      </c>
      <c r="H286" s="57" t="s">
        <v>341</v>
      </c>
      <c r="I286" s="57" t="s">
        <v>357</v>
      </c>
      <c r="J286" s="57" t="s">
        <v>358</v>
      </c>
      <c r="K286" s="67" t="s">
        <v>359</v>
      </c>
      <c r="L286" s="67" t="s">
        <v>345</v>
      </c>
      <c r="M286" s="67"/>
      <c r="N286" s="67" t="s">
        <v>346</v>
      </c>
      <c r="O286" s="67"/>
      <c r="P286" s="57" t="s">
        <v>230</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IF(N286="N/A – rule","N/A – RULE",IF(TRIM(U286)="N/A",IF(AT286=0,"INVALID – N/A not permitted for this mandatory check",IF(AND(TRIM(AC286)&lt;&gt;"",TRIM(AE286)&lt;&gt;"",TRIM(T286)&lt;&gt;""),"N/A – JUSTIFIED","INVALID – N/A needs justification, PIC and verifier")),IF(OR(TRIM(U286)="Pass",TRIM(U286)="Pass after CA"),IF(NOT(ISNUMBER(AD286)),"INVALID – completion time missing",IF(TRIM(T286)="","INVALID – PIC missing",IF(TRIM(Z286)="","INVALID – evidence missing",IF(TRIM(AE286)="","INVALID – verifier missing",IF(AND(AQ286=1,TRIM(W286)=""),"INVALID – batch ID missing",IF(AND(AR286=1,OR(NOT(ISNUMBER(X286)),NOT(ISNUMBER(Y286)))),"INVALID – expected/actual qty missing",IF(IF(AND(TRIM(U286)="Pass",ISNUMBER(AF286)),IF(AF286&lt;&gt;0,"INVALID – qty variance: use Fail or Pass after CA",""),"")&amp;IF(AND(TRIM(U286)="Pass",AB286="Open"),"INVALID – corrective action still open: use Fail, then Pass after CA","")&amp;IF(AND(TRIM(U286)="Pass after CA",OR(TRIM(AA286)="",AB286&lt;&gt;"Closed")),"INVALID – corrective action not recorded/closed","")&lt;&gt;"",IF(AND(TRIM(U286)="Pass",ISNUMBER(AF286)),IF(AF286&lt;&gt;0,"INVALID – qty variance: use Fail or Pass after CA",""),"")&amp;IF(AND(TRIM(U286)="Pass",AB286="Open"),"INVALID – corrective action still open: use Fail, then Pass after CA","")&amp;IF(AND(TRIM(U286)="Pass after CA",OR(TRIM(AA286)="",AB286&lt;&gt;"Closed")),"INVALID – corrective action not recorded/closed",""),IF(AND(AS286=1,Documents!$J$13&lt;&gt;"ON FILE"),"INVALID – GLD not on file (Documents sheet)",IF(AND(AS286=2,Documents!$O$13&lt;&gt;"ON FILE"),"INVALID – menu checklist not on file (Documents sheet)",IF(AND(AS286=3,NOT(ISNUMBER(Flights!$AX$13))),"INVALID – enter carrying flight KUL departure (Flights AX)",IF(AG286&gt;AsOfUTC,"INVALID – completion time is in the future",IF(AND(ISNUMBER(S286),AG286&lt;S286),IF(H286="Physical uplift","INVALID – before uplift window (cannot confirm loading)","INVALID – before valid window"),IF(AG286&gt;Flights!$AA$13,"INVALID – completed after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f>
        <v>OPEN</v>
      </c>
      <c r="AI286" s="61" t="n">
        <f aca="false">IF(OR(AH286="N/A – RULE",AH286="N/A – JUSTIFIED"),0,1)</f>
        <v>1</v>
      </c>
      <c r="AJ286" s="61" t="n">
        <f aca="false">IF(LEFT(AH286,8)="COMPLETE",1,0)</f>
        <v>0</v>
      </c>
      <c r="AK286" s="61" t="n">
        <f aca="false">IF(AND(AI286=1,AJ286=0,AsOfUTC&gt;Q286),1,0)</f>
        <v>0</v>
      </c>
      <c r="AL286" s="61" t="n">
        <f aca="false">IF(AND(AI286=1,OR(TRIM(U286)="Fail",AB286="Open",AND(ISNUMBER(AF286),AF286&lt;&gt;0,TRIM(U286)&lt;&gt;"Pass after CA"))),1,0)</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row>
    <row r="287" customFormat="false" ht="39.75" hidden="false" customHeight="true" outlineLevel="0" collapsed="false">
      <c r="A287" s="57" t="s">
        <v>824</v>
      </c>
      <c r="B287" s="57" t="s">
        <v>236</v>
      </c>
      <c r="C287" s="57" t="str">
        <f aca="false">Flights!$F$13</f>
        <v>MH0753</v>
      </c>
      <c r="D287" s="58" t="n">
        <f aca="false">Flights!$D$13</f>
        <v>46306</v>
      </c>
      <c r="E287" s="57" t="str">
        <f aca="false">Flights!$G$13&amp;"-"&amp;Flights!$H$13</f>
        <v>HAN-KUL</v>
      </c>
      <c r="F287" s="57" t="str">
        <f aca="false">Flights!$K$13</f>
        <v>BC</v>
      </c>
      <c r="G287" s="57" t="s">
        <v>74</v>
      </c>
      <c r="H287" s="57" t="s">
        <v>341</v>
      </c>
      <c r="I287" s="57" t="s">
        <v>361</v>
      </c>
      <c r="J287" s="57" t="s">
        <v>362</v>
      </c>
      <c r="K287" s="67" t="s">
        <v>363</v>
      </c>
      <c r="L287" s="67" t="s">
        <v>345</v>
      </c>
      <c r="M287" s="67"/>
      <c r="N287" s="67" t="s">
        <v>346</v>
      </c>
      <c r="O287" s="67"/>
      <c r="P287" s="57" t="s">
        <v>230</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IF(N287="N/A – rule","N/A – RULE",IF(TRIM(U287)="N/A",IF(AT287=0,"INVALID – N/A not permitted for this mandatory check",IF(AND(TRIM(AC287)&lt;&gt;"",TRIM(AE287)&lt;&gt;"",TRIM(T287)&lt;&gt;""),"N/A – JUSTIFIED","INVALID – N/A needs justification, PIC and verifier")),IF(OR(TRIM(U287)="Pass",TRIM(U287)="Pass after CA"),IF(NOT(ISNUMBER(AD287)),"INVALID – completion time missing",IF(TRIM(T287)="","INVALID – PIC missing",IF(TRIM(Z287)="","INVALID – evidence missing",IF(TRIM(AE287)="","INVALID – verifier missing",IF(AND(AQ287=1,TRIM(W287)=""),"INVALID – batch ID missing",IF(AND(AR287=1,OR(NOT(ISNUMBER(X287)),NOT(ISNUMBER(Y287)))),"INVALID – expected/actual qty missing",IF(IF(AND(TRIM(U287)="Pass",ISNUMBER(AF287)),IF(AF287&lt;&gt;0,"INVALID – qty variance: use Fail or Pass after CA",""),"")&amp;IF(AND(TRIM(U287)="Pass",AB287="Open"),"INVALID – corrective action still open: use Fail, then Pass after CA","")&amp;IF(AND(TRIM(U287)="Pass after CA",OR(TRIM(AA287)="",AB287&lt;&gt;"Closed")),"INVALID – corrective action not recorded/closed","")&lt;&gt;"",IF(AND(TRIM(U287)="Pass",ISNUMBER(AF287)),IF(AF287&lt;&gt;0,"INVALID – qty variance: use Fail or Pass after CA",""),"")&amp;IF(AND(TRIM(U287)="Pass",AB287="Open"),"INVALID – corrective action still open: use Fail, then Pass after CA","")&amp;IF(AND(TRIM(U287)="Pass after CA",OR(TRIM(AA287)="",AB287&lt;&gt;"Closed")),"INVALID – corrective action not recorded/closed",""),IF(AND(AS287=1,Documents!$J$13&lt;&gt;"ON FILE"),"INVALID – GLD not on file (Documents sheet)",IF(AND(AS287=2,Documents!$O$13&lt;&gt;"ON FILE"),"INVALID – menu checklist not on file (Documents sheet)",IF(AND(AS287=3,NOT(ISNUMBER(Flights!$AX$13))),"INVALID – enter carrying flight KUL departure (Flights AX)",IF(AG287&gt;AsOfUTC,"INVALID – completion time is in the future",IF(AND(ISNUMBER(S287),AG287&lt;S287),IF(H287="Physical uplift","INVALID – before uplift window (cannot confirm loading)","INVALID – before valid window"),IF(AG287&gt;Flights!$AA$13,"INVALID – completed after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f>
        <v>OPEN</v>
      </c>
      <c r="AI287" s="61" t="n">
        <f aca="false">IF(OR(AH287="N/A – RULE",AH287="N/A – JUSTIFIED"),0,1)</f>
        <v>1</v>
      </c>
      <c r="AJ287" s="61" t="n">
        <f aca="false">IF(LEFT(AH287,8)="COMPLETE",1,0)</f>
        <v>0</v>
      </c>
      <c r="AK287" s="61" t="n">
        <f aca="false">IF(AND(AI287=1,AJ287=0,AsOfUTC&gt;Q287),1,0)</f>
        <v>0</v>
      </c>
      <c r="AL287" s="61" t="n">
        <f aca="false">IF(AND(AI287=1,OR(TRIM(U287)="Fail",AB287="Open",AND(ISNUMBER(AF287),AF287&lt;&gt;0,TRIM(U287)&lt;&gt;"Pass after CA"))),1,0)</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row>
    <row r="288" customFormat="false" ht="39.75" hidden="false" customHeight="true" outlineLevel="0" collapsed="false">
      <c r="A288" s="57" t="s">
        <v>825</v>
      </c>
      <c r="B288" s="57" t="s">
        <v>236</v>
      </c>
      <c r="C288" s="57" t="str">
        <f aca="false">Flights!$F$13</f>
        <v>MH0753</v>
      </c>
      <c r="D288" s="58" t="n">
        <f aca="false">Flights!$D$13</f>
        <v>46306</v>
      </c>
      <c r="E288" s="57" t="str">
        <f aca="false">Flights!$G$13&amp;"-"&amp;Flights!$H$13</f>
        <v>HAN-KUL</v>
      </c>
      <c r="F288" s="57" t="str">
        <f aca="false">Flights!$K$13</f>
        <v>BC</v>
      </c>
      <c r="G288" s="57" t="s">
        <v>74</v>
      </c>
      <c r="H288" s="57" t="s">
        <v>341</v>
      </c>
      <c r="I288" s="57" t="s">
        <v>361</v>
      </c>
      <c r="J288" s="57" t="s">
        <v>365</v>
      </c>
      <c r="K288" s="67" t="s">
        <v>366</v>
      </c>
      <c r="L288" s="67" t="s">
        <v>345</v>
      </c>
      <c r="M288" s="67"/>
      <c r="N288" s="67" t="s">
        <v>346</v>
      </c>
      <c r="O288" s="67"/>
      <c r="P288" s="57" t="s">
        <v>230</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IF(N288="N/A – rule","N/A – RULE",IF(TRIM(U288)="N/A",IF(AT288=0,"INVALID – N/A not permitted for this mandatory check",IF(AND(TRIM(AC288)&lt;&gt;"",TRIM(AE288)&lt;&gt;"",TRIM(T288)&lt;&gt;""),"N/A – JUSTIFIED","INVALID – N/A needs justification, PIC and verifier")),IF(OR(TRIM(U288)="Pass",TRIM(U288)="Pass after CA"),IF(NOT(ISNUMBER(AD288)),"INVALID – completion time missing",IF(TRIM(T288)="","INVALID – PIC missing",IF(TRIM(Z288)="","INVALID – evidence missing",IF(TRIM(AE288)="","INVALID – verifier missing",IF(AND(AQ288=1,TRIM(W288)=""),"INVALID – batch ID missing",IF(AND(AR288=1,OR(NOT(ISNUMBER(X288)),NOT(ISNUMBER(Y288)))),"INVALID – expected/actual qty missing",IF(IF(AND(TRIM(U288)="Pass",ISNUMBER(AF288)),IF(AF288&lt;&gt;0,"INVALID – qty variance: use Fail or Pass after CA",""),"")&amp;IF(AND(TRIM(U288)="Pass",AB288="Open"),"INVALID – corrective action still open: use Fail, then Pass after CA","")&amp;IF(AND(TRIM(U288)="Pass after CA",OR(TRIM(AA288)="",AB288&lt;&gt;"Closed")),"INVALID – corrective action not recorded/closed","")&lt;&gt;"",IF(AND(TRIM(U288)="Pass",ISNUMBER(AF288)),IF(AF288&lt;&gt;0,"INVALID – qty variance: use Fail or Pass after CA",""),"")&amp;IF(AND(TRIM(U288)="Pass",AB288="Open"),"INVALID – corrective action still open: use Fail, then Pass after CA","")&amp;IF(AND(TRIM(U288)="Pass after CA",OR(TRIM(AA288)="",AB288&lt;&gt;"Closed")),"INVALID – corrective action not recorded/closed",""),IF(AND(AS288=1,Documents!$J$13&lt;&gt;"ON FILE"),"INVALID – GLD not on file (Documents sheet)",IF(AND(AS288=2,Documents!$O$13&lt;&gt;"ON FILE"),"INVALID – menu checklist not on file (Documents sheet)",IF(AND(AS288=3,NOT(ISNUMBER(Flights!$AX$13))),"INVALID – enter carrying flight KUL departure (Flights AX)",IF(AG288&gt;AsOfUTC,"INVALID – completion time is in the future",IF(AND(ISNUMBER(S288),AG288&lt;S288),IF(H288="Physical uplift","INVALID – before uplift window (cannot confirm loading)","INVALID – before valid window"),IF(AG288&gt;Flights!$AA$13,"INVALID – completed after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f>
        <v>OPEN</v>
      </c>
      <c r="AI288" s="61" t="n">
        <f aca="false">IF(OR(AH288="N/A – RULE",AH288="N/A – JUSTIFIED"),0,1)</f>
        <v>1</v>
      </c>
      <c r="AJ288" s="61" t="n">
        <f aca="false">IF(LEFT(AH288,8)="COMPLETE",1,0)</f>
        <v>0</v>
      </c>
      <c r="AK288" s="61" t="n">
        <f aca="false">IF(AND(AI288=1,AJ288=0,AsOfUTC&gt;Q288),1,0)</f>
        <v>0</v>
      </c>
      <c r="AL288" s="61" t="n">
        <f aca="false">IF(AND(AI288=1,OR(TRIM(U288)="Fail",AB288="Open",AND(ISNUMBER(AF288),AF288&lt;&gt;0,TRIM(U288)&lt;&gt;"Pass after CA"))),1,0)</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row>
    <row r="289" customFormat="false" ht="39.75" hidden="false" customHeight="true" outlineLevel="0" collapsed="false">
      <c r="A289" s="57" t="s">
        <v>826</v>
      </c>
      <c r="B289" s="57" t="s">
        <v>236</v>
      </c>
      <c r="C289" s="57" t="str">
        <f aca="false">Flights!$F$13</f>
        <v>MH0753</v>
      </c>
      <c r="D289" s="58" t="n">
        <f aca="false">Flights!$D$13</f>
        <v>46306</v>
      </c>
      <c r="E289" s="57" t="str">
        <f aca="false">Flights!$G$13&amp;"-"&amp;Flights!$H$13</f>
        <v>HAN-KUL</v>
      </c>
      <c r="F289" s="57" t="str">
        <f aca="false">Flights!$K$13</f>
        <v>BC</v>
      </c>
      <c r="G289" s="57" t="s">
        <v>74</v>
      </c>
      <c r="H289" s="57" t="s">
        <v>341</v>
      </c>
      <c r="I289" s="57" t="s">
        <v>368</v>
      </c>
      <c r="J289" s="57" t="s">
        <v>369</v>
      </c>
      <c r="K289" s="67" t="s">
        <v>370</v>
      </c>
      <c r="L289" s="67" t="s">
        <v>345</v>
      </c>
      <c r="M289" s="67"/>
      <c r="N289" s="67" t="s">
        <v>346</v>
      </c>
      <c r="O289" s="67"/>
      <c r="P289" s="57" t="s">
        <v>230</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IF(N289="N/A – rule","N/A – RULE",IF(TRIM(U289)="N/A",IF(AT289=0,"INVALID – N/A not permitted for this mandatory check",IF(AND(TRIM(AC289)&lt;&gt;"",TRIM(AE289)&lt;&gt;"",TRIM(T289)&lt;&gt;""),"N/A – JUSTIFIED","INVALID – N/A needs justification, PIC and verifier")),IF(OR(TRIM(U289)="Pass",TRIM(U289)="Pass after CA"),IF(NOT(ISNUMBER(AD289)),"INVALID – completion time missing",IF(TRIM(T289)="","INVALID – PIC missing",IF(TRIM(Z289)="","INVALID – evidence missing",IF(TRIM(AE289)="","INVALID – verifier missing",IF(AND(AQ289=1,TRIM(W289)=""),"INVALID – batch ID missing",IF(AND(AR289=1,OR(NOT(ISNUMBER(X289)),NOT(ISNUMBER(Y289)))),"INVALID – expected/actual qty missing",IF(IF(AND(TRIM(U289)="Pass",ISNUMBER(AF289)),IF(AF289&lt;&gt;0,"INVALID – qty variance: use Fail or Pass after CA",""),"")&amp;IF(AND(TRIM(U289)="Pass",AB289="Open"),"INVALID – corrective action still open: use Fail, then Pass after CA","")&amp;IF(AND(TRIM(U289)="Pass after CA",OR(TRIM(AA289)="",AB289&lt;&gt;"Closed")),"INVALID – corrective action not recorded/closed","")&lt;&gt;"",IF(AND(TRIM(U289)="Pass",ISNUMBER(AF289)),IF(AF289&lt;&gt;0,"INVALID – qty variance: use Fail or Pass after CA",""),"")&amp;IF(AND(TRIM(U289)="Pass",AB289="Open"),"INVALID – corrective action still open: use Fail, then Pass after CA","")&amp;IF(AND(TRIM(U289)="Pass after CA",OR(TRIM(AA289)="",AB289&lt;&gt;"Closed")),"INVALID – corrective action not recorded/closed",""),IF(AND(AS289=1,Documents!$J$13&lt;&gt;"ON FILE"),"INVALID – GLD not on file (Documents sheet)",IF(AND(AS289=2,Documents!$O$13&lt;&gt;"ON FILE"),"INVALID – menu checklist not on file (Documents sheet)",IF(AND(AS289=3,NOT(ISNUMBER(Flights!$AX$13))),"INVALID – enter carrying flight KUL departure (Flights AX)",IF(AG289&gt;AsOfUTC,"INVALID – completion time is in the future",IF(AND(ISNUMBER(S289),AG289&lt;S289),IF(H289="Physical uplift","INVALID – before uplift window (cannot confirm loading)","INVALID – before valid window"),IF(AG289&gt;Flights!$AA$13,"INVALID – completed after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f>
        <v>OPEN</v>
      </c>
      <c r="AI289" s="61" t="n">
        <f aca="false">IF(OR(AH289="N/A – RULE",AH289="N/A – JUSTIFIED"),0,1)</f>
        <v>1</v>
      </c>
      <c r="AJ289" s="61" t="n">
        <f aca="false">IF(LEFT(AH289,8)="COMPLETE",1,0)</f>
        <v>0</v>
      </c>
      <c r="AK289" s="61" t="n">
        <f aca="false">IF(AND(AI289=1,AJ289=0,AsOfUTC&gt;Q289),1,0)</f>
        <v>0</v>
      </c>
      <c r="AL289" s="61" t="n">
        <f aca="false">IF(AND(AI289=1,OR(TRIM(U289)="Fail",AB289="Open",AND(ISNUMBER(AF289),AF289&lt;&gt;0,TRIM(U289)&lt;&gt;"Pass after CA"))),1,0)</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row>
    <row r="290" customFormat="false" ht="39.75" hidden="false" customHeight="true" outlineLevel="0" collapsed="false">
      <c r="A290" s="57" t="s">
        <v>827</v>
      </c>
      <c r="B290" s="57" t="s">
        <v>236</v>
      </c>
      <c r="C290" s="57" t="str">
        <f aca="false">Flights!$F$13</f>
        <v>MH0753</v>
      </c>
      <c r="D290" s="58" t="n">
        <f aca="false">Flights!$D$13</f>
        <v>46306</v>
      </c>
      <c r="E290" s="57" t="str">
        <f aca="false">Flights!$G$13&amp;"-"&amp;Flights!$H$13</f>
        <v>HAN-KUL</v>
      </c>
      <c r="F290" s="57" t="str">
        <f aca="false">Flights!$K$13</f>
        <v>BC</v>
      </c>
      <c r="G290" s="57" t="s">
        <v>74</v>
      </c>
      <c r="H290" s="57" t="s">
        <v>341</v>
      </c>
      <c r="I290" s="57" t="s">
        <v>368</v>
      </c>
      <c r="J290" s="57" t="s">
        <v>372</v>
      </c>
      <c r="K290" s="67" t="s">
        <v>370</v>
      </c>
      <c r="L290" s="67" t="s">
        <v>345</v>
      </c>
      <c r="M290" s="67"/>
      <c r="N290" s="67" t="s">
        <v>346</v>
      </c>
      <c r="O290" s="67"/>
      <c r="P290" s="57" t="s">
        <v>230</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IF(N290="N/A – rule","N/A – RULE",IF(TRIM(U290)="N/A",IF(AT290=0,"INVALID – N/A not permitted for this mandatory check",IF(AND(TRIM(AC290)&lt;&gt;"",TRIM(AE290)&lt;&gt;"",TRIM(T290)&lt;&gt;""),"N/A – JUSTIFIED","INVALID – N/A needs justification, PIC and verifier")),IF(OR(TRIM(U290)="Pass",TRIM(U290)="Pass after CA"),IF(NOT(ISNUMBER(AD290)),"INVALID – completion time missing",IF(TRIM(T290)="","INVALID – PIC missing",IF(TRIM(Z290)="","INVALID – evidence missing",IF(TRIM(AE290)="","INVALID – verifier missing",IF(AND(AQ290=1,TRIM(W290)=""),"INVALID – batch ID missing",IF(AND(AR290=1,OR(NOT(ISNUMBER(X290)),NOT(ISNUMBER(Y290)))),"INVALID – expected/actual qty missing",IF(IF(AND(TRIM(U290)="Pass",ISNUMBER(AF290)),IF(AF290&lt;&gt;0,"INVALID – qty variance: use Fail or Pass after CA",""),"")&amp;IF(AND(TRIM(U290)="Pass",AB290="Open"),"INVALID – corrective action still open: use Fail, then Pass after CA","")&amp;IF(AND(TRIM(U290)="Pass after CA",OR(TRIM(AA290)="",AB290&lt;&gt;"Closed")),"INVALID – corrective action not recorded/closed","")&lt;&gt;"",IF(AND(TRIM(U290)="Pass",ISNUMBER(AF290)),IF(AF290&lt;&gt;0,"INVALID – qty variance: use Fail or Pass after CA",""),"")&amp;IF(AND(TRIM(U290)="Pass",AB290="Open"),"INVALID – corrective action still open: use Fail, then Pass after CA","")&amp;IF(AND(TRIM(U290)="Pass after CA",OR(TRIM(AA290)="",AB290&lt;&gt;"Closed")),"INVALID – corrective action not recorded/closed",""),IF(AND(AS290=1,Documents!$J$13&lt;&gt;"ON FILE"),"INVALID – GLD not on file (Documents sheet)",IF(AND(AS290=2,Documents!$O$13&lt;&gt;"ON FILE"),"INVALID – menu checklist not on file (Documents sheet)",IF(AND(AS290=3,NOT(ISNUMBER(Flights!$AX$13))),"INVALID – enter carrying flight KUL departure (Flights AX)",IF(AG290&gt;AsOfUTC,"INVALID – completion time is in the future",IF(AND(ISNUMBER(S290),AG290&lt;S290),IF(H290="Physical uplift","INVALID – before uplift window (cannot confirm loading)","INVALID – before valid window"),IF(AG290&gt;Flights!$AA$13,"INVALID – completed after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f>
        <v>OPEN</v>
      </c>
      <c r="AI290" s="61" t="n">
        <f aca="false">IF(OR(AH290="N/A – RULE",AH290="N/A – JUSTIFIED"),0,1)</f>
        <v>1</v>
      </c>
      <c r="AJ290" s="61" t="n">
        <f aca="false">IF(LEFT(AH290,8)="COMPLETE",1,0)</f>
        <v>0</v>
      </c>
      <c r="AK290" s="61" t="n">
        <f aca="false">IF(AND(AI290=1,AJ290=0,AsOfUTC&gt;Q290),1,0)</f>
        <v>0</v>
      </c>
      <c r="AL290" s="61" t="n">
        <f aca="false">IF(AND(AI290=1,OR(TRIM(U290)="Fail",AB290="Open",AND(ISNUMBER(AF290),AF290&lt;&gt;0,TRIM(U290)&lt;&gt;"Pass after CA"))),1,0)</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row>
    <row r="291" customFormat="false" ht="39.75" hidden="false" customHeight="true" outlineLevel="0" collapsed="false">
      <c r="A291" s="57" t="s">
        <v>828</v>
      </c>
      <c r="B291" s="57" t="s">
        <v>236</v>
      </c>
      <c r="C291" s="57" t="str">
        <f aca="false">Flights!$F$13</f>
        <v>MH0753</v>
      </c>
      <c r="D291" s="58" t="n">
        <f aca="false">Flights!$D$13</f>
        <v>46306</v>
      </c>
      <c r="E291" s="57" t="str">
        <f aca="false">Flights!$G$13&amp;"-"&amp;Flights!$H$13</f>
        <v>HAN-KUL</v>
      </c>
      <c r="F291" s="57" t="str">
        <f aca="false">Flights!$K$13</f>
        <v>BC</v>
      </c>
      <c r="G291" s="57" t="s">
        <v>74</v>
      </c>
      <c r="H291" s="57" t="s">
        <v>341</v>
      </c>
      <c r="I291" s="57" t="s">
        <v>374</v>
      </c>
      <c r="J291" s="57" t="s">
        <v>375</v>
      </c>
      <c r="K291" s="67" t="s">
        <v>829</v>
      </c>
      <c r="L291" s="67" t="s">
        <v>806</v>
      </c>
      <c r="M291" s="67"/>
      <c r="N291" s="67" t="s">
        <v>346</v>
      </c>
      <c r="O291" s="67"/>
      <c r="P291" s="57" t="s">
        <v>230</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IF(N291="N/A – rule","N/A – RULE",IF(TRIM(U291)="N/A",IF(AT291=0,"INVALID – N/A not permitted for this mandatory check",IF(AND(TRIM(AC291)&lt;&gt;"",TRIM(AE291)&lt;&gt;"",TRIM(T291)&lt;&gt;""),"N/A – JUSTIFIED","INVALID – N/A needs justification, PIC and verifier")),IF(OR(TRIM(U291)="Pass",TRIM(U291)="Pass after CA"),IF(NOT(ISNUMBER(AD291)),"INVALID – completion time missing",IF(TRIM(T291)="","INVALID – PIC missing",IF(TRIM(Z291)="","INVALID – evidence missing",IF(TRIM(AE291)="","INVALID – verifier missing",IF(AND(AQ291=1,TRIM(W291)=""),"INVALID – batch ID missing",IF(AND(AR291=1,OR(NOT(ISNUMBER(X291)),NOT(ISNUMBER(Y291)))),"INVALID – expected/actual qty missing",IF(IF(AND(TRIM(U291)="Pass",ISNUMBER(AF291)),IF(AF291&lt;&gt;0,"INVALID – qty variance: use Fail or Pass after CA",""),"")&amp;IF(AND(TRIM(U291)="Pass",AB291="Open"),"INVALID – corrective action still open: use Fail, then Pass after CA","")&amp;IF(AND(TRIM(U291)="Pass after CA",OR(TRIM(AA291)="",AB291&lt;&gt;"Closed")),"INVALID – corrective action not recorded/closed","")&lt;&gt;"",IF(AND(TRIM(U291)="Pass",ISNUMBER(AF291)),IF(AF291&lt;&gt;0,"INVALID – qty variance: use Fail or Pass after CA",""),"")&amp;IF(AND(TRIM(U291)="Pass",AB291="Open"),"INVALID – corrective action still open: use Fail, then Pass after CA","")&amp;IF(AND(TRIM(U291)="Pass after CA",OR(TRIM(AA291)="",AB291&lt;&gt;"Closed")),"INVALID – corrective action not recorded/closed",""),IF(AND(AS291=1,Documents!$J$13&lt;&gt;"ON FILE"),"INVALID – GLD not on file (Documents sheet)",IF(AND(AS291=2,Documents!$O$13&lt;&gt;"ON FILE"),"INVALID – menu checklist not on file (Documents sheet)",IF(AND(AS291=3,NOT(ISNUMBER(Flights!$AX$13))),"INVALID – enter carrying flight KUL departure (Flights AX)",IF(AG291&gt;AsOfUTC,"INVALID – completion time is in the future",IF(AND(ISNUMBER(S291),AG291&lt;S291),IF(H291="Physical uplift","INVALID – before uplift window (cannot confirm loading)","INVALID – before valid window"),IF(AG291&gt;Flights!$AA$13,"INVALID – completed after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f>
        <v>OPEN</v>
      </c>
      <c r="AI291" s="61" t="n">
        <f aca="false">IF(OR(AH291="N/A – RULE",AH291="N/A – JUSTIFIED"),0,1)</f>
        <v>1</v>
      </c>
      <c r="AJ291" s="61" t="n">
        <f aca="false">IF(LEFT(AH291,8)="COMPLETE",1,0)</f>
        <v>0</v>
      </c>
      <c r="AK291" s="61" t="n">
        <f aca="false">IF(AND(AI291=1,AJ291=0,AsOfUTC&gt;Q291),1,0)</f>
        <v>0</v>
      </c>
      <c r="AL291" s="61" t="n">
        <f aca="false">IF(AND(AI291=1,OR(TRIM(U291)="Fail",AB291="Open",AND(ISNUMBER(AF291),AF291&lt;&gt;0,TRIM(U291)&lt;&gt;"Pass after CA"))),1,0)</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row>
    <row r="292" customFormat="false" ht="39.75" hidden="false" customHeight="true" outlineLevel="0" collapsed="false">
      <c r="A292" s="57" t="s">
        <v>830</v>
      </c>
      <c r="B292" s="57" t="s">
        <v>236</v>
      </c>
      <c r="C292" s="57" t="str">
        <f aca="false">Flights!$F$13</f>
        <v>MH0753</v>
      </c>
      <c r="D292" s="58" t="n">
        <f aca="false">Flights!$D$13</f>
        <v>46306</v>
      </c>
      <c r="E292" s="57" t="str">
        <f aca="false">Flights!$G$13&amp;"-"&amp;Flights!$H$13</f>
        <v>HAN-KUL</v>
      </c>
      <c r="F292" s="57" t="str">
        <f aca="false">Flights!$K$13</f>
        <v>BC</v>
      </c>
      <c r="G292" s="57" t="s">
        <v>76</v>
      </c>
      <c r="H292" s="57" t="s">
        <v>341</v>
      </c>
      <c r="I292" s="57" t="s">
        <v>342</v>
      </c>
      <c r="J292" s="57" t="s">
        <v>379</v>
      </c>
      <c r="K292" s="67" t="s">
        <v>380</v>
      </c>
      <c r="L292" s="67" t="s">
        <v>381</v>
      </c>
      <c r="M292" s="67"/>
      <c r="N292" s="67" t="s">
        <v>346</v>
      </c>
      <c r="O292" s="67"/>
      <c r="P292" s="57" t="s">
        <v>230</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IF(N292="N/A – rule","N/A – RULE",IF(TRIM(U292)="N/A",IF(AT292=0,"INVALID – N/A not permitted for this mandatory check",IF(AND(TRIM(AC292)&lt;&gt;"",TRIM(AE292)&lt;&gt;"",TRIM(T292)&lt;&gt;""),"N/A – JUSTIFIED","INVALID – N/A needs justification, PIC and verifier")),IF(OR(TRIM(U292)="Pass",TRIM(U292)="Pass after CA"),IF(NOT(ISNUMBER(AD292)),"INVALID – completion time missing",IF(TRIM(T292)="","INVALID – PIC missing",IF(TRIM(Z292)="","INVALID – evidence missing",IF(TRIM(AE292)="","INVALID – verifier missing",IF(AND(AQ292=1,TRIM(W292)=""),"INVALID – batch ID missing",IF(AND(AR292=1,OR(NOT(ISNUMBER(X292)),NOT(ISNUMBER(Y292)))),"INVALID – expected/actual qty missing",IF(IF(AND(TRIM(U292)="Pass",ISNUMBER(AF292)),IF(AF292&lt;&gt;0,"INVALID – qty variance: use Fail or Pass after CA",""),"")&amp;IF(AND(TRIM(U292)="Pass",AB292="Open"),"INVALID – corrective action still open: use Fail, then Pass after CA","")&amp;IF(AND(TRIM(U292)="Pass after CA",OR(TRIM(AA292)="",AB292&lt;&gt;"Closed")),"INVALID – corrective action not recorded/closed","")&lt;&gt;"",IF(AND(TRIM(U292)="Pass",ISNUMBER(AF292)),IF(AF292&lt;&gt;0,"INVALID – qty variance: use Fail or Pass after CA",""),"")&amp;IF(AND(TRIM(U292)="Pass",AB292="Open"),"INVALID – corrective action still open: use Fail, then Pass after CA","")&amp;IF(AND(TRIM(U292)="Pass after CA",OR(TRIM(AA292)="",AB292&lt;&gt;"Closed")),"INVALID – corrective action not recorded/closed",""),IF(AND(AS292=1,Documents!$J$13&lt;&gt;"ON FILE"),"INVALID – GLD not on file (Documents sheet)",IF(AND(AS292=2,Documents!$O$13&lt;&gt;"ON FILE"),"INVALID – menu checklist not on file (Documents sheet)",IF(AND(AS292=3,NOT(ISNUMBER(Flights!$AX$13))),"INVALID – enter carrying flight KUL departure (Flights AX)",IF(AG292&gt;AsOfUTC,"INVALID – completion time is in the future",IF(AND(ISNUMBER(S292),AG292&lt;S292),IF(H292="Physical uplift","INVALID – before uplift window (cannot confirm loading)","INVALID – before valid window"),IF(AG292&gt;Flights!$AA$13,"INVALID – completed after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f>
        <v>OPEN</v>
      </c>
      <c r="AI292" s="61" t="n">
        <f aca="false">IF(OR(AH292="N/A – RULE",AH292="N/A – JUSTIFIED"),0,1)</f>
        <v>1</v>
      </c>
      <c r="AJ292" s="61" t="n">
        <f aca="false">IF(LEFT(AH292,8)="COMPLETE",1,0)</f>
        <v>0</v>
      </c>
      <c r="AK292" s="61" t="n">
        <f aca="false">IF(AND(AI292=1,AJ292=0,AsOfUTC&gt;Q292),1,0)</f>
        <v>0</v>
      </c>
      <c r="AL292" s="61" t="n">
        <f aca="false">IF(AND(AI292=1,OR(TRIM(U292)="Fail",AB292="Open",AND(ISNUMBER(AF292),AF292&lt;&gt;0,TRIM(U292)&lt;&gt;"Pass after CA"))),1,0)</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row>
    <row r="293" customFormat="false" ht="39.75" hidden="false" customHeight="true" outlineLevel="0" collapsed="false">
      <c r="A293" s="57" t="s">
        <v>831</v>
      </c>
      <c r="B293" s="57" t="s">
        <v>236</v>
      </c>
      <c r="C293" s="57" t="str">
        <f aca="false">Flights!$F$13</f>
        <v>MH0753</v>
      </c>
      <c r="D293" s="58" t="n">
        <f aca="false">Flights!$D$13</f>
        <v>46306</v>
      </c>
      <c r="E293" s="57" t="str">
        <f aca="false">Flights!$G$13&amp;"-"&amp;Flights!$H$13</f>
        <v>HAN-KUL</v>
      </c>
      <c r="F293" s="57" t="str">
        <f aca="false">Flights!$K$13</f>
        <v>BC</v>
      </c>
      <c r="G293" s="57" t="s">
        <v>383</v>
      </c>
      <c r="H293" s="57" t="s">
        <v>341</v>
      </c>
      <c r="I293" s="57" t="s">
        <v>342</v>
      </c>
      <c r="J293" s="57" t="s">
        <v>384</v>
      </c>
      <c r="K293" s="67"/>
      <c r="L293" s="67" t="s">
        <v>385</v>
      </c>
      <c r="M293" s="67"/>
      <c r="N293" s="67" t="s">
        <v>346</v>
      </c>
      <c r="O293" s="67" t="s">
        <v>386</v>
      </c>
      <c r="P293" s="57" t="s">
        <v>230</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IF(N293="N/A – rule","N/A – RULE",IF(TRIM(U293)="N/A",IF(AT293=0,"INVALID – N/A not permitted for this mandatory check",IF(AND(TRIM(AC293)&lt;&gt;"",TRIM(AE293)&lt;&gt;"",TRIM(T293)&lt;&gt;""),"N/A – JUSTIFIED","INVALID – N/A needs justification, PIC and verifier")),IF(OR(TRIM(U293)="Pass",TRIM(U293)="Pass after CA"),IF(NOT(ISNUMBER(AD293)),"INVALID – completion time missing",IF(TRIM(T293)="","INVALID – PIC missing",IF(TRIM(Z293)="","INVALID – evidence missing",IF(TRIM(AE293)="","INVALID – verifier missing",IF(AND(AQ293=1,TRIM(W293)=""),"INVALID – batch ID missing",IF(AND(AR293=1,OR(NOT(ISNUMBER(X293)),NOT(ISNUMBER(Y293)))),"INVALID – expected/actual qty missing",IF(IF(AND(TRIM(U293)="Pass",ISNUMBER(AF293)),IF(AF293&lt;&gt;0,"INVALID – qty variance: use Fail or Pass after CA",""),"")&amp;IF(AND(TRIM(U293)="Pass",AB293="Open"),"INVALID – corrective action still open: use Fail, then Pass after CA","")&amp;IF(AND(TRIM(U293)="Pass after CA",OR(TRIM(AA293)="",AB293&lt;&gt;"Closed")),"INVALID – corrective action not recorded/closed","")&lt;&gt;"",IF(AND(TRIM(U293)="Pass",ISNUMBER(AF293)),IF(AF293&lt;&gt;0,"INVALID – qty variance: use Fail or Pass after CA",""),"")&amp;IF(AND(TRIM(U293)="Pass",AB293="Open"),"INVALID – corrective action still open: use Fail, then Pass after CA","")&amp;IF(AND(TRIM(U293)="Pass after CA",OR(TRIM(AA293)="",AB293&lt;&gt;"Closed")),"INVALID – corrective action not recorded/closed",""),IF(AND(AS293=1,Documents!$J$13&lt;&gt;"ON FILE"),"INVALID – GLD not on file (Documents sheet)",IF(AND(AS293=2,Documents!$O$13&lt;&gt;"ON FILE"),"INVALID – menu checklist not on file (Documents sheet)",IF(AND(AS293=3,NOT(ISNUMBER(Flights!$AX$13))),"INVALID – enter carrying flight KUL departure (Flights AX)",IF(AG293&gt;AsOfUTC,"INVALID – completion time is in the future",IF(AND(ISNUMBER(S293),AG293&lt;S293),IF(H293="Physical uplift","INVALID – before uplift window (cannot confirm loading)","INVALID – before valid window"),IF(AG293&gt;Flights!$AA$13,"INVALID – completed after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f>
        <v>OPEN</v>
      </c>
      <c r="AI293" s="61" t="n">
        <f aca="false">IF(OR(AH293="N/A – RULE",AH293="N/A – JUSTIFIED"),0,1)</f>
        <v>1</v>
      </c>
      <c r="AJ293" s="61" t="n">
        <f aca="false">IF(LEFT(AH293,8)="COMPLETE",1,0)</f>
        <v>0</v>
      </c>
      <c r="AK293" s="61" t="n">
        <f aca="false">IF(AND(AI293=1,AJ293=0,AsOfUTC&gt;Q293),1,0)</f>
        <v>0</v>
      </c>
      <c r="AL293" s="61" t="n">
        <f aca="false">IF(AND(AI293=1,OR(TRIM(U293)="Fail",AB293="Open",AND(ISNUMBER(AF293),AF293&lt;&gt;0,TRIM(U293)&lt;&gt;"Pass after CA"))),1,0)</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row>
    <row r="294" customFormat="false" ht="39.75" hidden="false" customHeight="true" outlineLevel="0" collapsed="false">
      <c r="A294" s="57" t="s">
        <v>832</v>
      </c>
      <c r="B294" s="57" t="s">
        <v>236</v>
      </c>
      <c r="C294" s="57" t="str">
        <f aca="false">Flights!$F$13</f>
        <v>MH0753</v>
      </c>
      <c r="D294" s="58" t="n">
        <f aca="false">Flights!$D$13</f>
        <v>46306</v>
      </c>
      <c r="E294" s="57" t="str">
        <f aca="false">Flights!$G$13&amp;"-"&amp;Flights!$H$13</f>
        <v>HAN-KUL</v>
      </c>
      <c r="F294" s="57" t="str">
        <f aca="false">Flights!$K$13</f>
        <v>BC</v>
      </c>
      <c r="G294" s="57" t="s">
        <v>383</v>
      </c>
      <c r="H294" s="57" t="s">
        <v>341</v>
      </c>
      <c r="I294" s="57" t="s">
        <v>342</v>
      </c>
      <c r="J294" s="57" t="s">
        <v>388</v>
      </c>
      <c r="K294" s="67" t="s">
        <v>389</v>
      </c>
      <c r="L294" s="67" t="s">
        <v>385</v>
      </c>
      <c r="M294" s="67"/>
      <c r="N294" s="67" t="s">
        <v>346</v>
      </c>
      <c r="O294" s="67" t="s">
        <v>386</v>
      </c>
      <c r="P294" s="57" t="s">
        <v>230</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IF(N294="N/A – rule","N/A – RULE",IF(TRIM(U294)="N/A",IF(AT294=0,"INVALID – N/A not permitted for this mandatory check",IF(AND(TRIM(AC294)&lt;&gt;"",TRIM(AE294)&lt;&gt;"",TRIM(T294)&lt;&gt;""),"N/A – JUSTIFIED","INVALID – N/A needs justification, PIC and verifier")),IF(OR(TRIM(U294)="Pass",TRIM(U294)="Pass after CA"),IF(NOT(ISNUMBER(AD294)),"INVALID – completion time missing",IF(TRIM(T294)="","INVALID – PIC missing",IF(TRIM(Z294)="","INVALID – evidence missing",IF(TRIM(AE294)="","INVALID – verifier missing",IF(AND(AQ294=1,TRIM(W294)=""),"INVALID – batch ID missing",IF(AND(AR294=1,OR(NOT(ISNUMBER(X294)),NOT(ISNUMBER(Y294)))),"INVALID – expected/actual qty missing",IF(IF(AND(TRIM(U294)="Pass",ISNUMBER(AF294)),IF(AF294&lt;&gt;0,"INVALID – qty variance: use Fail or Pass after CA",""),"")&amp;IF(AND(TRIM(U294)="Pass",AB294="Open"),"INVALID – corrective action still open: use Fail, then Pass after CA","")&amp;IF(AND(TRIM(U294)="Pass after CA",OR(TRIM(AA294)="",AB294&lt;&gt;"Closed")),"INVALID – corrective action not recorded/closed","")&lt;&gt;"",IF(AND(TRIM(U294)="Pass",ISNUMBER(AF294)),IF(AF294&lt;&gt;0,"INVALID – qty variance: use Fail or Pass after CA",""),"")&amp;IF(AND(TRIM(U294)="Pass",AB294="Open"),"INVALID – corrective action still open: use Fail, then Pass after CA","")&amp;IF(AND(TRIM(U294)="Pass after CA",OR(TRIM(AA294)="",AB294&lt;&gt;"Closed")),"INVALID – corrective action not recorded/closed",""),IF(AND(AS294=1,Documents!$J$13&lt;&gt;"ON FILE"),"INVALID – GLD not on file (Documents sheet)",IF(AND(AS294=2,Documents!$O$13&lt;&gt;"ON FILE"),"INVALID – menu checklist not on file (Documents sheet)",IF(AND(AS294=3,NOT(ISNUMBER(Flights!$AX$13))),"INVALID – enter carrying flight KUL departure (Flights AX)",IF(AG294&gt;AsOfUTC,"INVALID – completion time is in the future",IF(AND(ISNUMBER(S294),AG294&lt;S294),IF(H294="Physical uplift","INVALID – before uplift window (cannot confirm loading)","INVALID – before valid window"),IF(AG294&gt;Flights!$AA$13,"INVALID – completed after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f>
        <v>OPEN</v>
      </c>
      <c r="AI294" s="61" t="n">
        <f aca="false">IF(OR(AH294="N/A – RULE",AH294="N/A – JUSTIFIED"),0,1)</f>
        <v>1</v>
      </c>
      <c r="AJ294" s="61" t="n">
        <f aca="false">IF(LEFT(AH294,8)="COMPLETE",1,0)</f>
        <v>0</v>
      </c>
      <c r="AK294" s="61" t="n">
        <f aca="false">IF(AND(AI294=1,AJ294=0,AsOfUTC&gt;Q294),1,0)</f>
        <v>0</v>
      </c>
      <c r="AL294" s="61" t="n">
        <f aca="false">IF(AND(AI294=1,OR(TRIM(U294)="Fail",AB294="Open",AND(ISNUMBER(AF294),AF294&lt;&gt;0,TRIM(U294)&lt;&gt;"Pass after CA"))),1,0)</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row>
    <row r="295" customFormat="false" ht="39.75" hidden="false" customHeight="true" outlineLevel="0" collapsed="false">
      <c r="A295" s="57" t="s">
        <v>833</v>
      </c>
      <c r="B295" s="57" t="s">
        <v>236</v>
      </c>
      <c r="C295" s="57" t="str">
        <f aca="false">Flights!$F$13</f>
        <v>MH0753</v>
      </c>
      <c r="D295" s="58" t="n">
        <f aca="false">Flights!$D$13</f>
        <v>46306</v>
      </c>
      <c r="E295" s="57" t="str">
        <f aca="false">Flights!$G$13&amp;"-"&amp;Flights!$H$13</f>
        <v>HAN-KUL</v>
      </c>
      <c r="F295" s="57" t="str">
        <f aca="false">Flights!$K$13</f>
        <v>BC</v>
      </c>
      <c r="G295" s="57" t="s">
        <v>383</v>
      </c>
      <c r="H295" s="57" t="s">
        <v>341</v>
      </c>
      <c r="I295" s="57" t="s">
        <v>391</v>
      </c>
      <c r="J295" s="57" t="s">
        <v>392</v>
      </c>
      <c r="K295" s="67"/>
      <c r="L295" s="67" t="s">
        <v>385</v>
      </c>
      <c r="M295" s="67"/>
      <c r="N295" s="67" t="s">
        <v>346</v>
      </c>
      <c r="O295" s="67" t="s">
        <v>386</v>
      </c>
      <c r="P295" s="57" t="s">
        <v>230</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IF(N295="N/A – rule","N/A – RULE",IF(TRIM(U295)="N/A",IF(AT295=0,"INVALID – N/A not permitted for this mandatory check",IF(AND(TRIM(AC295)&lt;&gt;"",TRIM(AE295)&lt;&gt;"",TRIM(T295)&lt;&gt;""),"N/A – JUSTIFIED","INVALID – N/A needs justification, PIC and verifier")),IF(OR(TRIM(U295)="Pass",TRIM(U295)="Pass after CA"),IF(NOT(ISNUMBER(AD295)),"INVALID – completion time missing",IF(TRIM(T295)="","INVALID – PIC missing",IF(TRIM(Z295)="","INVALID – evidence missing",IF(TRIM(AE295)="","INVALID – verifier missing",IF(AND(AQ295=1,TRIM(W295)=""),"INVALID – batch ID missing",IF(AND(AR295=1,OR(NOT(ISNUMBER(X295)),NOT(ISNUMBER(Y295)))),"INVALID – expected/actual qty missing",IF(IF(AND(TRIM(U295)="Pass",ISNUMBER(AF295)),IF(AF295&lt;&gt;0,"INVALID – qty variance: use Fail or Pass after CA",""),"")&amp;IF(AND(TRIM(U295)="Pass",AB295="Open"),"INVALID – corrective action still open: use Fail, then Pass after CA","")&amp;IF(AND(TRIM(U295)="Pass after CA",OR(TRIM(AA295)="",AB295&lt;&gt;"Closed")),"INVALID – corrective action not recorded/closed","")&lt;&gt;"",IF(AND(TRIM(U295)="Pass",ISNUMBER(AF295)),IF(AF295&lt;&gt;0,"INVALID – qty variance: use Fail or Pass after CA",""),"")&amp;IF(AND(TRIM(U295)="Pass",AB295="Open"),"INVALID – corrective action still open: use Fail, then Pass after CA","")&amp;IF(AND(TRIM(U295)="Pass after CA",OR(TRIM(AA295)="",AB295&lt;&gt;"Closed")),"INVALID – corrective action not recorded/closed",""),IF(AND(AS295=1,Documents!$J$13&lt;&gt;"ON FILE"),"INVALID – GLD not on file (Documents sheet)",IF(AND(AS295=2,Documents!$O$13&lt;&gt;"ON FILE"),"INVALID – menu checklist not on file (Documents sheet)",IF(AND(AS295=3,NOT(ISNUMBER(Flights!$AX$13))),"INVALID – enter carrying flight KUL departure (Flights AX)",IF(AG295&gt;AsOfUTC,"INVALID – completion time is in the future",IF(AND(ISNUMBER(S295),AG295&lt;S295),IF(H295="Physical uplift","INVALID – before uplift window (cannot confirm loading)","INVALID – before valid window"),IF(AG295&gt;Flights!$AA$13,"INVALID – completed after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f>
        <v>OPEN</v>
      </c>
      <c r="AI295" s="61" t="n">
        <f aca="false">IF(OR(AH295="N/A – RULE",AH295="N/A – JUSTIFIED"),0,1)</f>
        <v>1</v>
      </c>
      <c r="AJ295" s="61" t="n">
        <f aca="false">IF(LEFT(AH295,8)="COMPLETE",1,0)</f>
        <v>0</v>
      </c>
      <c r="AK295" s="61" t="n">
        <f aca="false">IF(AND(AI295=1,AJ295=0,AsOfUTC&gt;Q295),1,0)</f>
        <v>0</v>
      </c>
      <c r="AL295" s="61" t="n">
        <f aca="false">IF(AND(AI295=1,OR(TRIM(U295)="Fail",AB295="Open",AND(ISNUMBER(AF295),AF295&lt;&gt;0,TRIM(U295)&lt;&gt;"Pass after CA"))),1,0)</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row>
    <row r="296" customFormat="false" ht="39.75" hidden="false" customHeight="true" outlineLevel="0" collapsed="false">
      <c r="A296" s="57" t="s">
        <v>834</v>
      </c>
      <c r="B296" s="57" t="s">
        <v>236</v>
      </c>
      <c r="C296" s="57" t="str">
        <f aca="false">Flights!$F$13</f>
        <v>MH0753</v>
      </c>
      <c r="D296" s="58" t="n">
        <f aca="false">Flights!$D$13</f>
        <v>46306</v>
      </c>
      <c r="E296" s="57" t="str">
        <f aca="false">Flights!$G$13&amp;"-"&amp;Flights!$H$13</f>
        <v>HAN-KUL</v>
      </c>
      <c r="F296" s="57" t="str">
        <f aca="false">Flights!$K$13</f>
        <v>BC</v>
      </c>
      <c r="G296" s="57" t="s">
        <v>383</v>
      </c>
      <c r="H296" s="57" t="s">
        <v>341</v>
      </c>
      <c r="I296" s="57" t="s">
        <v>391</v>
      </c>
      <c r="J296" s="57" t="s">
        <v>394</v>
      </c>
      <c r="K296" s="67"/>
      <c r="L296" s="67" t="s">
        <v>385</v>
      </c>
      <c r="M296" s="67"/>
      <c r="N296" s="67" t="s">
        <v>346</v>
      </c>
      <c r="O296" s="67" t="s">
        <v>386</v>
      </c>
      <c r="P296" s="57" t="s">
        <v>230</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IF(N296="N/A – rule","N/A – RULE",IF(TRIM(U296)="N/A",IF(AT296=0,"INVALID – N/A not permitted for this mandatory check",IF(AND(TRIM(AC296)&lt;&gt;"",TRIM(AE296)&lt;&gt;"",TRIM(T296)&lt;&gt;""),"N/A – JUSTIFIED","INVALID – N/A needs justification, PIC and verifier")),IF(OR(TRIM(U296)="Pass",TRIM(U296)="Pass after CA"),IF(NOT(ISNUMBER(AD296)),"INVALID – completion time missing",IF(TRIM(T296)="","INVALID – PIC missing",IF(TRIM(Z296)="","INVALID – evidence missing",IF(TRIM(AE296)="","INVALID – verifier missing",IF(AND(AQ296=1,TRIM(W296)=""),"INVALID – batch ID missing",IF(AND(AR296=1,OR(NOT(ISNUMBER(X296)),NOT(ISNUMBER(Y296)))),"INVALID – expected/actual qty missing",IF(IF(AND(TRIM(U296)="Pass",ISNUMBER(AF296)),IF(AF296&lt;&gt;0,"INVALID – qty variance: use Fail or Pass after CA",""),"")&amp;IF(AND(TRIM(U296)="Pass",AB296="Open"),"INVALID – corrective action still open: use Fail, then Pass after CA","")&amp;IF(AND(TRIM(U296)="Pass after CA",OR(TRIM(AA296)="",AB296&lt;&gt;"Closed")),"INVALID – corrective action not recorded/closed","")&lt;&gt;"",IF(AND(TRIM(U296)="Pass",ISNUMBER(AF296)),IF(AF296&lt;&gt;0,"INVALID – qty variance: use Fail or Pass after CA",""),"")&amp;IF(AND(TRIM(U296)="Pass",AB296="Open"),"INVALID – corrective action still open: use Fail, then Pass after CA","")&amp;IF(AND(TRIM(U296)="Pass after CA",OR(TRIM(AA296)="",AB296&lt;&gt;"Closed")),"INVALID – corrective action not recorded/closed",""),IF(AND(AS296=1,Documents!$J$13&lt;&gt;"ON FILE"),"INVALID – GLD not on file (Documents sheet)",IF(AND(AS296=2,Documents!$O$13&lt;&gt;"ON FILE"),"INVALID – menu checklist not on file (Documents sheet)",IF(AND(AS296=3,NOT(ISNUMBER(Flights!$AX$13))),"INVALID – enter carrying flight KUL departure (Flights AX)",IF(AG296&gt;AsOfUTC,"INVALID – completion time is in the future",IF(AND(ISNUMBER(S296),AG296&lt;S296),IF(H296="Physical uplift","INVALID – before uplift window (cannot confirm loading)","INVALID – before valid window"),IF(AG296&gt;Flights!$AA$13,"INVALID – completed after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f>
        <v>OPEN</v>
      </c>
      <c r="AI296" s="61" t="n">
        <f aca="false">IF(OR(AH296="N/A – RULE",AH296="N/A – JUSTIFIED"),0,1)</f>
        <v>1</v>
      </c>
      <c r="AJ296" s="61" t="n">
        <f aca="false">IF(LEFT(AH296,8)="COMPLETE",1,0)</f>
        <v>0</v>
      </c>
      <c r="AK296" s="61" t="n">
        <f aca="false">IF(AND(AI296=1,AJ296=0,AsOfUTC&gt;Q296),1,0)</f>
        <v>0</v>
      </c>
      <c r="AL296" s="61" t="n">
        <f aca="false">IF(AND(AI296=1,OR(TRIM(U296)="Fail",AB296="Open",AND(ISNUMBER(AF296),AF296&lt;&gt;0,TRIM(U296)&lt;&gt;"Pass after CA"))),1,0)</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row>
    <row r="297" customFormat="false" ht="39.75" hidden="false" customHeight="true" outlineLevel="0" collapsed="false">
      <c r="A297" s="57" t="s">
        <v>835</v>
      </c>
      <c r="B297" s="57" t="s">
        <v>236</v>
      </c>
      <c r="C297" s="57" t="str">
        <f aca="false">Flights!$F$13</f>
        <v>MH0753</v>
      </c>
      <c r="D297" s="58" t="n">
        <f aca="false">Flights!$D$13</f>
        <v>46306</v>
      </c>
      <c r="E297" s="57" t="str">
        <f aca="false">Flights!$G$13&amp;"-"&amp;Flights!$H$13</f>
        <v>HAN-KUL</v>
      </c>
      <c r="F297" s="57" t="str">
        <f aca="false">Flights!$K$13</f>
        <v>BC</v>
      </c>
      <c r="G297" s="57" t="s">
        <v>383</v>
      </c>
      <c r="H297" s="57" t="s">
        <v>341</v>
      </c>
      <c r="I297" s="57" t="s">
        <v>391</v>
      </c>
      <c r="J297" s="57" t="s">
        <v>396</v>
      </c>
      <c r="K297" s="67"/>
      <c r="L297" s="67" t="s">
        <v>385</v>
      </c>
      <c r="M297" s="67"/>
      <c r="N297" s="67" t="s">
        <v>346</v>
      </c>
      <c r="O297" s="67" t="s">
        <v>386</v>
      </c>
      <c r="P297" s="57" t="s">
        <v>230</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IF(N297="N/A – rule","N/A – RULE",IF(TRIM(U297)="N/A",IF(AT297=0,"INVALID – N/A not permitted for this mandatory check",IF(AND(TRIM(AC297)&lt;&gt;"",TRIM(AE297)&lt;&gt;"",TRIM(T297)&lt;&gt;""),"N/A – JUSTIFIED","INVALID – N/A needs justification, PIC and verifier")),IF(OR(TRIM(U297)="Pass",TRIM(U297)="Pass after CA"),IF(NOT(ISNUMBER(AD297)),"INVALID – completion time missing",IF(TRIM(T297)="","INVALID – PIC missing",IF(TRIM(Z297)="","INVALID – evidence missing",IF(TRIM(AE297)="","INVALID – verifier missing",IF(AND(AQ297=1,TRIM(W297)=""),"INVALID – batch ID missing",IF(AND(AR297=1,OR(NOT(ISNUMBER(X297)),NOT(ISNUMBER(Y297)))),"INVALID – expected/actual qty missing",IF(IF(AND(TRIM(U297)="Pass",ISNUMBER(AF297)),IF(AF297&lt;&gt;0,"INVALID – qty variance: use Fail or Pass after CA",""),"")&amp;IF(AND(TRIM(U297)="Pass",AB297="Open"),"INVALID – corrective action still open: use Fail, then Pass after CA","")&amp;IF(AND(TRIM(U297)="Pass after CA",OR(TRIM(AA297)="",AB297&lt;&gt;"Closed")),"INVALID – corrective action not recorded/closed","")&lt;&gt;"",IF(AND(TRIM(U297)="Pass",ISNUMBER(AF297)),IF(AF297&lt;&gt;0,"INVALID – qty variance: use Fail or Pass after CA",""),"")&amp;IF(AND(TRIM(U297)="Pass",AB297="Open"),"INVALID – corrective action still open: use Fail, then Pass after CA","")&amp;IF(AND(TRIM(U297)="Pass after CA",OR(TRIM(AA297)="",AB297&lt;&gt;"Closed")),"INVALID – corrective action not recorded/closed",""),IF(AND(AS297=1,Documents!$J$13&lt;&gt;"ON FILE"),"INVALID – GLD not on file (Documents sheet)",IF(AND(AS297=2,Documents!$O$13&lt;&gt;"ON FILE"),"INVALID – menu checklist not on file (Documents sheet)",IF(AND(AS297=3,NOT(ISNUMBER(Flights!$AX$13))),"INVALID – enter carrying flight KUL departure (Flights AX)",IF(AG297&gt;AsOfUTC,"INVALID – completion time is in the future",IF(AND(ISNUMBER(S297),AG297&lt;S297),IF(H297="Physical uplift","INVALID – before uplift window (cannot confirm loading)","INVALID – before valid window"),IF(AG297&gt;Flights!$AA$13,"INVALID – completed after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f>
        <v>OPEN</v>
      </c>
      <c r="AI297" s="61" t="n">
        <f aca="false">IF(OR(AH297="N/A – RULE",AH297="N/A – JUSTIFIED"),0,1)</f>
        <v>1</v>
      </c>
      <c r="AJ297" s="61" t="n">
        <f aca="false">IF(LEFT(AH297,8)="COMPLETE",1,0)</f>
        <v>0</v>
      </c>
      <c r="AK297" s="61" t="n">
        <f aca="false">IF(AND(AI297=1,AJ297=0,AsOfUTC&gt;Q297),1,0)</f>
        <v>0</v>
      </c>
      <c r="AL297" s="61" t="n">
        <f aca="false">IF(AND(AI297=1,OR(TRIM(U297)="Fail",AB297="Open",AND(ISNUMBER(AF297),AF297&lt;&gt;0,TRIM(U297)&lt;&gt;"Pass after CA"))),1,0)</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row>
    <row r="298" customFormat="false" ht="78.75" hidden="false" customHeight="true" outlineLevel="0" collapsed="false">
      <c r="A298" s="57" t="s">
        <v>836</v>
      </c>
      <c r="B298" s="57" t="s">
        <v>236</v>
      </c>
      <c r="C298" s="57" t="str">
        <f aca="false">Flights!$F$13</f>
        <v>MH0753</v>
      </c>
      <c r="D298" s="58" t="n">
        <f aca="false">Flights!$D$13</f>
        <v>46306</v>
      </c>
      <c r="E298" s="57" t="str">
        <f aca="false">Flights!$G$13&amp;"-"&amp;Flights!$H$13</f>
        <v>HAN-KUL</v>
      </c>
      <c r="F298" s="57" t="str">
        <f aca="false">Flights!$K$13</f>
        <v>BC</v>
      </c>
      <c r="G298" s="57" t="s">
        <v>383</v>
      </c>
      <c r="H298" s="57" t="s">
        <v>341</v>
      </c>
      <c r="I298" s="57" t="s">
        <v>391</v>
      </c>
      <c r="J298" s="57" t="s">
        <v>398</v>
      </c>
      <c r="K298" s="67" t="s">
        <v>454</v>
      </c>
      <c r="L298" s="67" t="s">
        <v>385</v>
      </c>
      <c r="M298" s="67"/>
      <c r="N298" s="67" t="s">
        <v>346</v>
      </c>
      <c r="O298" s="67" t="s">
        <v>386</v>
      </c>
      <c r="P298" s="57" t="s">
        <v>230</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IF(N298="N/A – rule","N/A – RULE",IF(TRIM(U298)="N/A",IF(AT298=0,"INVALID – N/A not permitted for this mandatory check",IF(AND(TRIM(AC298)&lt;&gt;"",TRIM(AE298)&lt;&gt;"",TRIM(T298)&lt;&gt;""),"N/A – JUSTIFIED","INVALID – N/A needs justification, PIC and verifier")),IF(OR(TRIM(U298)="Pass",TRIM(U298)="Pass after CA"),IF(NOT(ISNUMBER(AD298)),"INVALID – completion time missing",IF(TRIM(T298)="","INVALID – PIC missing",IF(TRIM(Z298)="","INVALID – evidence missing",IF(TRIM(AE298)="","INVALID – verifier missing",IF(AND(AQ298=1,TRIM(W298)=""),"INVALID – batch ID missing",IF(AND(AR298=1,OR(NOT(ISNUMBER(X298)),NOT(ISNUMBER(Y298)))),"INVALID – expected/actual qty missing",IF(IF(AND(TRIM(U298)="Pass",ISNUMBER(AF298)),IF(AF298&lt;&gt;0,"INVALID – qty variance: use Fail or Pass after CA",""),"")&amp;IF(AND(TRIM(U298)="Pass",AB298="Open"),"INVALID – corrective action still open: use Fail, then Pass after CA","")&amp;IF(AND(TRIM(U298)="Pass after CA",OR(TRIM(AA298)="",AB298&lt;&gt;"Closed")),"INVALID – corrective action not recorded/closed","")&lt;&gt;"",IF(AND(TRIM(U298)="Pass",ISNUMBER(AF298)),IF(AF298&lt;&gt;0,"INVALID – qty variance: use Fail or Pass after CA",""),"")&amp;IF(AND(TRIM(U298)="Pass",AB298="Open"),"INVALID – corrective action still open: use Fail, then Pass after CA","")&amp;IF(AND(TRIM(U298)="Pass after CA",OR(TRIM(AA298)="",AB298&lt;&gt;"Closed")),"INVALID – corrective action not recorded/closed",""),IF(AND(AS298=1,Documents!$J$13&lt;&gt;"ON FILE"),"INVALID – GLD not on file (Documents sheet)",IF(AND(AS298=2,Documents!$O$13&lt;&gt;"ON FILE"),"INVALID – menu checklist not on file (Documents sheet)",IF(AND(AS298=3,NOT(ISNUMBER(Flights!$AX$13))),"INVALID – enter carrying flight KUL departure (Flights AX)",IF(AG298&gt;AsOfUTC,"INVALID – completion time is in the future",IF(AND(ISNUMBER(S298),AG298&lt;S298),IF(H298="Physical uplift","INVALID – before uplift window (cannot confirm loading)","INVALID – before valid window"),IF(AG298&gt;Flights!$AA$13,"INVALID – completed after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f>
        <v>OPEN</v>
      </c>
      <c r="AI298" s="61" t="n">
        <f aca="false">IF(OR(AH298="N/A – RULE",AH298="N/A – JUSTIFIED"),0,1)</f>
        <v>1</v>
      </c>
      <c r="AJ298" s="61" t="n">
        <f aca="false">IF(LEFT(AH298,8)="COMPLETE",1,0)</f>
        <v>0</v>
      </c>
      <c r="AK298" s="61" t="n">
        <f aca="false">IF(AND(AI298=1,AJ298=0,AsOfUTC&gt;Q298),1,0)</f>
        <v>0</v>
      </c>
      <c r="AL298" s="61" t="n">
        <f aca="false">IF(AND(AI298=1,OR(TRIM(U298)="Fail",AB298="Open",AND(ISNUMBER(AF298),AF298&lt;&gt;0,TRIM(U298)&lt;&gt;"Pass after CA"))),1,0)</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row>
    <row r="299" customFormat="false" ht="39.75" hidden="false" customHeight="true" outlineLevel="0" collapsed="false">
      <c r="A299" s="57" t="s">
        <v>837</v>
      </c>
      <c r="B299" s="57" t="s">
        <v>236</v>
      </c>
      <c r="C299" s="57" t="str">
        <f aca="false">Flights!$F$13</f>
        <v>MH0753</v>
      </c>
      <c r="D299" s="58" t="n">
        <f aca="false">Flights!$D$13</f>
        <v>46306</v>
      </c>
      <c r="E299" s="57" t="str">
        <f aca="false">Flights!$G$13&amp;"-"&amp;Flights!$H$13</f>
        <v>HAN-KUL</v>
      </c>
      <c r="F299" s="57" t="str">
        <f aca="false">Flights!$K$13</f>
        <v>BC</v>
      </c>
      <c r="G299" s="57" t="s">
        <v>383</v>
      </c>
      <c r="H299" s="57" t="s">
        <v>341</v>
      </c>
      <c r="I299" s="57" t="s">
        <v>391</v>
      </c>
      <c r="J299" s="57" t="s">
        <v>401</v>
      </c>
      <c r="K299" s="67"/>
      <c r="L299" s="67" t="s">
        <v>385</v>
      </c>
      <c r="M299" s="67"/>
      <c r="N299" s="67" t="s">
        <v>346</v>
      </c>
      <c r="O299" s="67" t="s">
        <v>386</v>
      </c>
      <c r="P299" s="57" t="s">
        <v>230</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IF(N299="N/A – rule","N/A – RULE",IF(TRIM(U299)="N/A",IF(AT299=0,"INVALID – N/A not permitted for this mandatory check",IF(AND(TRIM(AC299)&lt;&gt;"",TRIM(AE299)&lt;&gt;"",TRIM(T299)&lt;&gt;""),"N/A – JUSTIFIED","INVALID – N/A needs justification, PIC and verifier")),IF(OR(TRIM(U299)="Pass",TRIM(U299)="Pass after CA"),IF(NOT(ISNUMBER(AD299)),"INVALID – completion time missing",IF(TRIM(T299)="","INVALID – PIC missing",IF(TRIM(Z299)="","INVALID – evidence missing",IF(TRIM(AE299)="","INVALID – verifier missing",IF(AND(AQ299=1,TRIM(W299)=""),"INVALID – batch ID missing",IF(AND(AR299=1,OR(NOT(ISNUMBER(X299)),NOT(ISNUMBER(Y299)))),"INVALID – expected/actual qty missing",IF(IF(AND(TRIM(U299)="Pass",ISNUMBER(AF299)),IF(AF299&lt;&gt;0,"INVALID – qty variance: use Fail or Pass after CA",""),"")&amp;IF(AND(TRIM(U299)="Pass",AB299="Open"),"INVALID – corrective action still open: use Fail, then Pass after CA","")&amp;IF(AND(TRIM(U299)="Pass after CA",OR(TRIM(AA299)="",AB299&lt;&gt;"Closed")),"INVALID – corrective action not recorded/closed","")&lt;&gt;"",IF(AND(TRIM(U299)="Pass",ISNUMBER(AF299)),IF(AF299&lt;&gt;0,"INVALID – qty variance: use Fail or Pass after CA",""),"")&amp;IF(AND(TRIM(U299)="Pass",AB299="Open"),"INVALID – corrective action still open: use Fail, then Pass after CA","")&amp;IF(AND(TRIM(U299)="Pass after CA",OR(TRIM(AA299)="",AB299&lt;&gt;"Closed")),"INVALID – corrective action not recorded/closed",""),IF(AND(AS299=1,Documents!$J$13&lt;&gt;"ON FILE"),"INVALID – GLD not on file (Documents sheet)",IF(AND(AS299=2,Documents!$O$13&lt;&gt;"ON FILE"),"INVALID – menu checklist not on file (Documents sheet)",IF(AND(AS299=3,NOT(ISNUMBER(Flights!$AX$13))),"INVALID – enter carrying flight KUL departure (Flights AX)",IF(AG299&gt;AsOfUTC,"INVALID – completion time is in the future",IF(AND(ISNUMBER(S299),AG299&lt;S299),IF(H299="Physical uplift","INVALID – before uplift window (cannot confirm loading)","INVALID – before valid window"),IF(AG299&gt;Flights!$AA$13,"INVALID – completed after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f>
        <v>OPEN</v>
      </c>
      <c r="AI299" s="61" t="n">
        <f aca="false">IF(OR(AH299="N/A – RULE",AH299="N/A – JUSTIFIED"),0,1)</f>
        <v>1</v>
      </c>
      <c r="AJ299" s="61" t="n">
        <f aca="false">IF(LEFT(AH299,8)="COMPLETE",1,0)</f>
        <v>0</v>
      </c>
      <c r="AK299" s="61" t="n">
        <f aca="false">IF(AND(AI299=1,AJ299=0,AsOfUTC&gt;Q299),1,0)</f>
        <v>0</v>
      </c>
      <c r="AL299" s="61" t="n">
        <f aca="false">IF(AND(AI299=1,OR(TRIM(U299)="Fail",AB299="Open",AND(ISNUMBER(AF299),AF299&lt;&gt;0,TRIM(U299)&lt;&gt;"Pass after CA"))),1,0)</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row>
    <row r="300" customFormat="false" ht="66" hidden="false" customHeight="true" outlineLevel="0" collapsed="false">
      <c r="A300" s="57" t="s">
        <v>838</v>
      </c>
      <c r="B300" s="57" t="s">
        <v>236</v>
      </c>
      <c r="C300" s="57" t="str">
        <f aca="false">Flights!$F$13</f>
        <v>MH0753</v>
      </c>
      <c r="D300" s="58" t="n">
        <f aca="false">Flights!$D$13</f>
        <v>46306</v>
      </c>
      <c r="E300" s="57" t="str">
        <f aca="false">Flights!$G$13&amp;"-"&amp;Flights!$H$13</f>
        <v>HAN-KUL</v>
      </c>
      <c r="F300" s="57" t="str">
        <f aca="false">Flights!$K$13</f>
        <v>BC</v>
      </c>
      <c r="G300" s="57" t="s">
        <v>383</v>
      </c>
      <c r="H300" s="57" t="s">
        <v>341</v>
      </c>
      <c r="I300" s="57" t="s">
        <v>403</v>
      </c>
      <c r="J300" s="57" t="s">
        <v>457</v>
      </c>
      <c r="K300" s="67" t="s">
        <v>458</v>
      </c>
      <c r="L300" s="67" t="s">
        <v>839</v>
      </c>
      <c r="M300" s="67" t="s">
        <v>414</v>
      </c>
      <c r="N300" s="67" t="s">
        <v>346</v>
      </c>
      <c r="O300" s="67" t="s">
        <v>840</v>
      </c>
      <c r="P300" s="57" t="s">
        <v>230</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IF(N300="N/A – rule","N/A – RULE",IF(TRIM(U300)="N/A",IF(AT300=0,"INVALID – N/A not permitted for this mandatory check",IF(AND(TRIM(AC300)&lt;&gt;"",TRIM(AE300)&lt;&gt;"",TRIM(T300)&lt;&gt;""),"N/A – JUSTIFIED","INVALID – N/A needs justification, PIC and verifier")),IF(OR(TRIM(U300)="Pass",TRIM(U300)="Pass after CA"),IF(NOT(ISNUMBER(AD300)),"INVALID – completion time missing",IF(TRIM(T300)="","INVALID – PIC missing",IF(TRIM(Z300)="","INVALID – evidence missing",IF(TRIM(AE300)="","INVALID – verifier missing",IF(AND(AQ300=1,TRIM(W300)=""),"INVALID – batch ID missing",IF(AND(AR300=1,OR(NOT(ISNUMBER(X300)),NOT(ISNUMBER(Y300)))),"INVALID – expected/actual qty missing",IF(IF(AND(TRIM(U300)="Pass",ISNUMBER(AF300)),IF(AF300&lt;&gt;0,"INVALID – qty variance: use Fail or Pass after CA",""),"")&amp;IF(AND(TRIM(U300)="Pass",AB300="Open"),"INVALID – corrective action still open: use Fail, then Pass after CA","")&amp;IF(AND(TRIM(U300)="Pass after CA",OR(TRIM(AA300)="",AB300&lt;&gt;"Closed")),"INVALID – corrective action not recorded/closed","")&lt;&gt;"",IF(AND(TRIM(U300)="Pass",ISNUMBER(AF300)),IF(AF300&lt;&gt;0,"INVALID – qty variance: use Fail or Pass after CA",""),"")&amp;IF(AND(TRIM(U300)="Pass",AB300="Open"),"INVALID – corrective action still open: use Fail, then Pass after CA","")&amp;IF(AND(TRIM(U300)="Pass after CA",OR(TRIM(AA300)="",AB300&lt;&gt;"Closed")),"INVALID – corrective action not recorded/closed",""),IF(AND(AS300=1,Documents!$J$13&lt;&gt;"ON FILE"),"INVALID – GLD not on file (Documents sheet)",IF(AND(AS300=2,Documents!$O$13&lt;&gt;"ON FILE"),"INVALID – menu checklist not on file (Documents sheet)",IF(AND(AS300=3,NOT(ISNUMBER(Flights!$AX$13))),"INVALID – enter carrying flight KUL departure (Flights AX)",IF(AG300&gt;AsOfUTC,"INVALID – completion time is in the future",IF(AND(ISNUMBER(S300),AG300&lt;S300),IF(H300="Physical uplift","INVALID – before uplift window (cannot confirm loading)","INVALID – before valid window"),IF(AG300&gt;Flights!$AA$13,"INVALID – completed after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f>
        <v>OPEN</v>
      </c>
      <c r="AI300" s="61" t="n">
        <f aca="false">IF(OR(AH300="N/A – RULE",AH300="N/A – JUSTIFIED"),0,1)</f>
        <v>1</v>
      </c>
      <c r="AJ300" s="61" t="n">
        <f aca="false">IF(LEFT(AH300,8)="COMPLETE",1,0)</f>
        <v>0</v>
      </c>
      <c r="AK300" s="61" t="n">
        <f aca="false">IF(AND(AI300=1,AJ300=0,AsOfUTC&gt;Q300),1,0)</f>
        <v>0</v>
      </c>
      <c r="AL300" s="61" t="n">
        <f aca="false">IF(AND(AI300=1,OR(TRIM(U300)="Fail",AB300="Open",AND(ISNUMBER(AF300),AF300&lt;&gt;0,TRIM(U300)&lt;&gt;"Pass after CA"))),1,0)</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1</v>
      </c>
    </row>
    <row r="301" customFormat="false" ht="41.25" hidden="false" customHeight="true" outlineLevel="0" collapsed="false">
      <c r="A301" s="57" t="s">
        <v>841</v>
      </c>
      <c r="B301" s="57" t="s">
        <v>236</v>
      </c>
      <c r="C301" s="57" t="str">
        <f aca="false">Flights!$F$13</f>
        <v>MH0753</v>
      </c>
      <c r="D301" s="58" t="n">
        <f aca="false">Flights!$D$13</f>
        <v>46306</v>
      </c>
      <c r="E301" s="57" t="str">
        <f aca="false">Flights!$G$13&amp;"-"&amp;Flights!$H$13</f>
        <v>HAN-KUL</v>
      </c>
      <c r="F301" s="57" t="str">
        <f aca="false">Flights!$K$13</f>
        <v>BC</v>
      </c>
      <c r="G301" s="57" t="s">
        <v>383</v>
      </c>
      <c r="H301" s="57" t="s">
        <v>341</v>
      </c>
      <c r="I301" s="57" t="s">
        <v>462</v>
      </c>
      <c r="J301" s="57" t="s">
        <v>463</v>
      </c>
      <c r="K301" s="67" t="s">
        <v>464</v>
      </c>
      <c r="L301" s="67" t="s">
        <v>842</v>
      </c>
      <c r="M301" s="67" t="s">
        <v>414</v>
      </c>
      <c r="N301" s="67" t="s">
        <v>346</v>
      </c>
      <c r="O301" s="67" t="s">
        <v>843</v>
      </c>
      <c r="P301" s="57" t="s">
        <v>230</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IF(N301="N/A – rule","N/A – RULE",IF(TRIM(U301)="N/A",IF(AT301=0,"INVALID – N/A not permitted for this mandatory check",IF(AND(TRIM(AC301)&lt;&gt;"",TRIM(AE301)&lt;&gt;"",TRIM(T301)&lt;&gt;""),"N/A – JUSTIFIED","INVALID – N/A needs justification, PIC and verifier")),IF(OR(TRIM(U301)="Pass",TRIM(U301)="Pass after CA"),IF(NOT(ISNUMBER(AD301)),"INVALID – completion time missing",IF(TRIM(T301)="","INVALID – PIC missing",IF(TRIM(Z301)="","INVALID – evidence missing",IF(TRIM(AE301)="","INVALID – verifier missing",IF(AND(AQ301=1,TRIM(W301)=""),"INVALID – batch ID missing",IF(AND(AR301=1,OR(NOT(ISNUMBER(X301)),NOT(ISNUMBER(Y301)))),"INVALID – expected/actual qty missing",IF(IF(AND(TRIM(U301)="Pass",ISNUMBER(AF301)),IF(AF301&lt;&gt;0,"INVALID – qty variance: use Fail or Pass after CA",""),"")&amp;IF(AND(TRIM(U301)="Pass",AB301="Open"),"INVALID – corrective action still open: use Fail, then Pass after CA","")&amp;IF(AND(TRIM(U301)="Pass after CA",OR(TRIM(AA301)="",AB301&lt;&gt;"Closed")),"INVALID – corrective action not recorded/closed","")&lt;&gt;"",IF(AND(TRIM(U301)="Pass",ISNUMBER(AF301)),IF(AF301&lt;&gt;0,"INVALID – qty variance: use Fail or Pass after CA",""),"")&amp;IF(AND(TRIM(U301)="Pass",AB301="Open"),"INVALID – corrective action still open: use Fail, then Pass after CA","")&amp;IF(AND(TRIM(U301)="Pass after CA",OR(TRIM(AA301)="",AB301&lt;&gt;"Closed")),"INVALID – corrective action not recorded/closed",""),IF(AND(AS301=1,Documents!$J$13&lt;&gt;"ON FILE"),"INVALID – GLD not on file (Documents sheet)",IF(AND(AS301=2,Documents!$O$13&lt;&gt;"ON FILE"),"INVALID – menu checklist not on file (Documents sheet)",IF(AND(AS301=3,NOT(ISNUMBER(Flights!$AX$13))),"INVALID – enter carrying flight KUL departure (Flights AX)",IF(AG301&gt;AsOfUTC,"INVALID – completion time is in the future",IF(AND(ISNUMBER(S301),AG301&lt;S301),IF(H301="Physical uplift","INVALID – before uplift window (cannot confirm loading)","INVALID – before valid window"),IF(AG301&gt;Flights!$AA$13,"INVALID – completed after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f>
        <v>OPEN</v>
      </c>
      <c r="AI301" s="61" t="n">
        <f aca="false">IF(OR(AH301="N/A – RULE",AH301="N/A – JUSTIFIED"),0,1)</f>
        <v>1</v>
      </c>
      <c r="AJ301" s="61" t="n">
        <f aca="false">IF(LEFT(AH301,8)="COMPLETE",1,0)</f>
        <v>0</v>
      </c>
      <c r="AK301" s="61" t="n">
        <f aca="false">IF(AND(AI301=1,AJ301=0,AsOfUTC&gt;Q301),1,0)</f>
        <v>0</v>
      </c>
      <c r="AL301" s="61" t="n">
        <f aca="false">IF(AND(AI301=1,OR(TRIM(U301)="Fail",AB301="Open",AND(ISNUMBER(AF301),AF301&lt;&gt;0,TRIM(U301)&lt;&gt;"Pass after CA"))),1,0)</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1</v>
      </c>
    </row>
    <row r="302" customFormat="false" ht="41.25" hidden="false" customHeight="true" outlineLevel="0" collapsed="false">
      <c r="A302" s="57" t="s">
        <v>844</v>
      </c>
      <c r="B302" s="57" t="s">
        <v>236</v>
      </c>
      <c r="C302" s="57" t="str">
        <f aca="false">Flights!$F$13</f>
        <v>MH0753</v>
      </c>
      <c r="D302" s="58" t="n">
        <f aca="false">Flights!$D$13</f>
        <v>46306</v>
      </c>
      <c r="E302" s="57" t="str">
        <f aca="false">Flights!$G$13&amp;"-"&amp;Flights!$H$13</f>
        <v>HAN-KUL</v>
      </c>
      <c r="F302" s="57" t="str">
        <f aca="false">Flights!$K$13</f>
        <v>BC</v>
      </c>
      <c r="G302" s="57" t="s">
        <v>383</v>
      </c>
      <c r="H302" s="57" t="s">
        <v>341</v>
      </c>
      <c r="I302" s="57" t="s">
        <v>462</v>
      </c>
      <c r="J302" s="57" t="s">
        <v>468</v>
      </c>
      <c r="K302" s="67" t="s">
        <v>464</v>
      </c>
      <c r="L302" s="67" t="s">
        <v>845</v>
      </c>
      <c r="M302" s="67" t="s">
        <v>414</v>
      </c>
      <c r="N302" s="67" t="s">
        <v>346</v>
      </c>
      <c r="O302" s="67" t="s">
        <v>843</v>
      </c>
      <c r="P302" s="57" t="s">
        <v>230</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IF(N302="N/A – rule","N/A – RULE",IF(TRIM(U302)="N/A",IF(AT302=0,"INVALID – N/A not permitted for this mandatory check",IF(AND(TRIM(AC302)&lt;&gt;"",TRIM(AE302)&lt;&gt;"",TRIM(T302)&lt;&gt;""),"N/A – JUSTIFIED","INVALID – N/A needs justification, PIC and verifier")),IF(OR(TRIM(U302)="Pass",TRIM(U302)="Pass after CA"),IF(NOT(ISNUMBER(AD302)),"INVALID – completion time missing",IF(TRIM(T302)="","INVALID – PIC missing",IF(TRIM(Z302)="","INVALID – evidence missing",IF(TRIM(AE302)="","INVALID – verifier missing",IF(AND(AQ302=1,TRIM(W302)=""),"INVALID – batch ID missing",IF(AND(AR302=1,OR(NOT(ISNUMBER(X302)),NOT(ISNUMBER(Y302)))),"INVALID – expected/actual qty missing",IF(IF(AND(TRIM(U302)="Pass",ISNUMBER(AF302)),IF(AF302&lt;&gt;0,"INVALID – qty variance: use Fail or Pass after CA",""),"")&amp;IF(AND(TRIM(U302)="Pass",AB302="Open"),"INVALID – corrective action still open: use Fail, then Pass after CA","")&amp;IF(AND(TRIM(U302)="Pass after CA",OR(TRIM(AA302)="",AB302&lt;&gt;"Closed")),"INVALID – corrective action not recorded/closed","")&lt;&gt;"",IF(AND(TRIM(U302)="Pass",ISNUMBER(AF302)),IF(AF302&lt;&gt;0,"INVALID – qty variance: use Fail or Pass after CA",""),"")&amp;IF(AND(TRIM(U302)="Pass",AB302="Open"),"INVALID – corrective action still open: use Fail, then Pass after CA","")&amp;IF(AND(TRIM(U302)="Pass after CA",OR(TRIM(AA302)="",AB302&lt;&gt;"Closed")),"INVALID – corrective action not recorded/closed",""),IF(AND(AS302=1,Documents!$J$13&lt;&gt;"ON FILE"),"INVALID – GLD not on file (Documents sheet)",IF(AND(AS302=2,Documents!$O$13&lt;&gt;"ON FILE"),"INVALID – menu checklist not on file (Documents sheet)",IF(AND(AS302=3,NOT(ISNUMBER(Flights!$AX$13))),"INVALID – enter carrying flight KUL departure (Flights AX)",IF(AG302&gt;AsOfUTC,"INVALID – completion time is in the future",IF(AND(ISNUMBER(S302),AG302&lt;S302),IF(H302="Physical uplift","INVALID – before uplift window (cannot confirm loading)","INVALID – before valid window"),IF(AG302&gt;Flights!$AA$13,"INVALID – completed after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f>
        <v>OPEN</v>
      </c>
      <c r="AI302" s="61" t="n">
        <f aca="false">IF(OR(AH302="N/A – RULE",AH302="N/A – JUSTIFIED"),0,1)</f>
        <v>1</v>
      </c>
      <c r="AJ302" s="61" t="n">
        <f aca="false">IF(LEFT(AH302,8)="COMPLETE",1,0)</f>
        <v>0</v>
      </c>
      <c r="AK302" s="61" t="n">
        <f aca="false">IF(AND(AI302=1,AJ302=0,AsOfUTC&gt;Q302),1,0)</f>
        <v>0</v>
      </c>
      <c r="AL302" s="61" t="n">
        <f aca="false">IF(AND(AI302=1,OR(TRIM(U302)="Fail",AB302="Open",AND(ISNUMBER(AF302),AF302&lt;&gt;0,TRIM(U302)&lt;&gt;"Pass after CA"))),1,0)</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1</v>
      </c>
    </row>
    <row r="303" customFormat="false" ht="41.25" hidden="false" customHeight="true" outlineLevel="0" collapsed="false">
      <c r="A303" s="57" t="s">
        <v>846</v>
      </c>
      <c r="B303" s="57" t="s">
        <v>236</v>
      </c>
      <c r="C303" s="57" t="str">
        <f aca="false">Flights!$F$13</f>
        <v>MH0753</v>
      </c>
      <c r="D303" s="58" t="n">
        <f aca="false">Flights!$D$13</f>
        <v>46306</v>
      </c>
      <c r="E303" s="57" t="str">
        <f aca="false">Flights!$G$13&amp;"-"&amp;Flights!$H$13</f>
        <v>HAN-KUL</v>
      </c>
      <c r="F303" s="57" t="str">
        <f aca="false">Flights!$K$13</f>
        <v>BC</v>
      </c>
      <c r="G303" s="57" t="s">
        <v>383</v>
      </c>
      <c r="H303" s="57" t="s">
        <v>341</v>
      </c>
      <c r="I303" s="57" t="s">
        <v>462</v>
      </c>
      <c r="J303" s="57" t="s">
        <v>471</v>
      </c>
      <c r="K303" s="67" t="s">
        <v>464</v>
      </c>
      <c r="L303" s="67" t="s">
        <v>847</v>
      </c>
      <c r="M303" s="67" t="s">
        <v>414</v>
      </c>
      <c r="N303" s="67" t="s">
        <v>346</v>
      </c>
      <c r="O303" s="67" t="s">
        <v>843</v>
      </c>
      <c r="P303" s="57" t="s">
        <v>230</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IF(N303="N/A – rule","N/A – RULE",IF(TRIM(U303)="N/A",IF(AT303=0,"INVALID – N/A not permitted for this mandatory check",IF(AND(TRIM(AC303)&lt;&gt;"",TRIM(AE303)&lt;&gt;"",TRIM(T303)&lt;&gt;""),"N/A – JUSTIFIED","INVALID – N/A needs justification, PIC and verifier")),IF(OR(TRIM(U303)="Pass",TRIM(U303)="Pass after CA"),IF(NOT(ISNUMBER(AD303)),"INVALID – completion time missing",IF(TRIM(T303)="","INVALID – PIC missing",IF(TRIM(Z303)="","INVALID – evidence missing",IF(TRIM(AE303)="","INVALID – verifier missing",IF(AND(AQ303=1,TRIM(W303)=""),"INVALID – batch ID missing",IF(AND(AR303=1,OR(NOT(ISNUMBER(X303)),NOT(ISNUMBER(Y303)))),"INVALID – expected/actual qty missing",IF(IF(AND(TRIM(U303)="Pass",ISNUMBER(AF303)),IF(AF303&lt;&gt;0,"INVALID – qty variance: use Fail or Pass after CA",""),"")&amp;IF(AND(TRIM(U303)="Pass",AB303="Open"),"INVALID – corrective action still open: use Fail, then Pass after CA","")&amp;IF(AND(TRIM(U303)="Pass after CA",OR(TRIM(AA303)="",AB303&lt;&gt;"Closed")),"INVALID – corrective action not recorded/closed","")&lt;&gt;"",IF(AND(TRIM(U303)="Pass",ISNUMBER(AF303)),IF(AF303&lt;&gt;0,"INVALID – qty variance: use Fail or Pass after CA",""),"")&amp;IF(AND(TRIM(U303)="Pass",AB303="Open"),"INVALID – corrective action still open: use Fail, then Pass after CA","")&amp;IF(AND(TRIM(U303)="Pass after CA",OR(TRIM(AA303)="",AB303&lt;&gt;"Closed")),"INVALID – corrective action not recorded/closed",""),IF(AND(AS303=1,Documents!$J$13&lt;&gt;"ON FILE"),"INVALID – GLD not on file (Documents sheet)",IF(AND(AS303=2,Documents!$O$13&lt;&gt;"ON FILE"),"INVALID – menu checklist not on file (Documents sheet)",IF(AND(AS303=3,NOT(ISNUMBER(Flights!$AX$13))),"INVALID – enter carrying flight KUL departure (Flights AX)",IF(AG303&gt;AsOfUTC,"INVALID – completion time is in the future",IF(AND(ISNUMBER(S303),AG303&lt;S303),IF(H303="Physical uplift","INVALID – before uplift window (cannot confirm loading)","INVALID – before valid window"),IF(AG303&gt;Flights!$AA$13,"INVALID – completed after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f>
        <v>OPEN</v>
      </c>
      <c r="AI303" s="61" t="n">
        <f aca="false">IF(OR(AH303="N/A – RULE",AH303="N/A – JUSTIFIED"),0,1)</f>
        <v>1</v>
      </c>
      <c r="AJ303" s="61" t="n">
        <f aca="false">IF(LEFT(AH303,8)="COMPLETE",1,0)</f>
        <v>0</v>
      </c>
      <c r="AK303" s="61" t="n">
        <f aca="false">IF(AND(AI303=1,AJ303=0,AsOfUTC&gt;Q303),1,0)</f>
        <v>0</v>
      </c>
      <c r="AL303" s="61" t="n">
        <f aca="false">IF(AND(AI303=1,OR(TRIM(U303)="Fail",AB303="Open",AND(ISNUMBER(AF303),AF303&lt;&gt;0,TRIM(U303)&lt;&gt;"Pass after CA"))),1,0)</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1</v>
      </c>
    </row>
    <row r="304" customFormat="false" ht="116.25" hidden="false" customHeight="true" outlineLevel="0" collapsed="false">
      <c r="A304" s="57" t="s">
        <v>848</v>
      </c>
      <c r="B304" s="57" t="s">
        <v>236</v>
      </c>
      <c r="C304" s="57" t="str">
        <f aca="false">Flights!$F$13</f>
        <v>MH0753</v>
      </c>
      <c r="D304" s="58" t="n">
        <f aca="false">Flights!$D$13</f>
        <v>46306</v>
      </c>
      <c r="E304" s="57" t="str">
        <f aca="false">Flights!$G$13&amp;"-"&amp;Flights!$H$13</f>
        <v>HAN-KUL</v>
      </c>
      <c r="F304" s="57" t="str">
        <f aca="false">Flights!$K$13</f>
        <v>BC</v>
      </c>
      <c r="G304" s="57" t="s">
        <v>383</v>
      </c>
      <c r="H304" s="57" t="s">
        <v>341</v>
      </c>
      <c r="I304" s="57" t="s">
        <v>462</v>
      </c>
      <c r="J304" s="57" t="s">
        <v>474</v>
      </c>
      <c r="K304" s="67" t="s">
        <v>464</v>
      </c>
      <c r="L304" s="67" t="s">
        <v>849</v>
      </c>
      <c r="M304" s="67" t="s">
        <v>414</v>
      </c>
      <c r="N304" s="67" t="s">
        <v>407</v>
      </c>
      <c r="O304" s="67" t="s">
        <v>850</v>
      </c>
      <c r="P304" s="57" t="s">
        <v>230</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IF(N304="N/A – rule","N/A – RULE",IF(TRIM(U304)="N/A",IF(AT304=0,"INVALID – N/A not permitted for this mandatory check",IF(AND(TRIM(AC304)&lt;&gt;"",TRIM(AE304)&lt;&gt;"",TRIM(T304)&lt;&gt;""),"N/A – JUSTIFIED","INVALID – N/A needs justification, PIC and verifier")),IF(OR(TRIM(U304)="Pass",TRIM(U304)="Pass after CA"),IF(NOT(ISNUMBER(AD304)),"INVALID – completion time missing",IF(TRIM(T304)="","INVALID – PIC missing",IF(TRIM(Z304)="","INVALID – evidence missing",IF(TRIM(AE304)="","INVALID – verifier missing",IF(AND(AQ304=1,TRIM(W304)=""),"INVALID – batch ID missing",IF(AND(AR304=1,OR(NOT(ISNUMBER(X304)),NOT(ISNUMBER(Y304)))),"INVALID – expected/actual qty missing",IF(IF(AND(TRIM(U304)="Pass",ISNUMBER(AF304)),IF(AF304&lt;&gt;0,"INVALID – qty variance: use Fail or Pass after CA",""),"")&amp;IF(AND(TRIM(U304)="Pass",AB304="Open"),"INVALID – corrective action still open: use Fail, then Pass after CA","")&amp;IF(AND(TRIM(U304)="Pass after CA",OR(TRIM(AA304)="",AB304&lt;&gt;"Closed")),"INVALID – corrective action not recorded/closed","")&lt;&gt;"",IF(AND(TRIM(U304)="Pass",ISNUMBER(AF304)),IF(AF304&lt;&gt;0,"INVALID – qty variance: use Fail or Pass after CA",""),"")&amp;IF(AND(TRIM(U304)="Pass",AB304="Open"),"INVALID – corrective action still open: use Fail, then Pass after CA","")&amp;IF(AND(TRIM(U304)="Pass after CA",OR(TRIM(AA304)="",AB304&lt;&gt;"Closed")),"INVALID – corrective action not recorded/closed",""),IF(AND(AS304=1,Documents!$J$13&lt;&gt;"ON FILE"),"INVALID – GLD not on file (Documents sheet)",IF(AND(AS304=2,Documents!$O$13&lt;&gt;"ON FILE"),"INVALID – menu checklist not on file (Documents sheet)",IF(AND(AS304=3,NOT(ISNUMBER(Flights!$AX$13))),"INVALID – enter carrying flight KUL departure (Flights AX)",IF(AG304&gt;AsOfUTC,"INVALID – completion time is in the future",IF(AND(ISNUMBER(S304),AG304&lt;S304),IF(H304="Physical uplift","INVALID – before uplift window (cannot confirm loading)","INVALID – before valid window"),IF(AG304&gt;Flights!$AA$13,"INVALID – completed after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f>
        <v>OPEN – CLARIFICATION</v>
      </c>
      <c r="AI304" s="61" t="n">
        <f aca="false">IF(OR(AH304="N/A – RULE",AH304="N/A – JUSTIFIED"),0,1)</f>
        <v>1</v>
      </c>
      <c r="AJ304" s="61" t="n">
        <f aca="false">IF(LEFT(AH304,8)="COMPLETE",1,0)</f>
        <v>0</v>
      </c>
      <c r="AK304" s="61" t="n">
        <f aca="false">IF(AND(AI304=1,AJ304=0,AsOfUTC&gt;Q304),1,0)</f>
        <v>0</v>
      </c>
      <c r="AL304" s="61" t="n">
        <f aca="false">IF(AND(AI304=1,OR(TRIM(U304)="Fail",AB304="Open",AND(ISNUMBER(AF304),AF304&lt;&gt;0,TRIM(U304)&lt;&gt;"Pass after CA"))),1,0)</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row>
    <row r="305" customFormat="false" ht="116.25" hidden="false" customHeight="true" outlineLevel="0" collapsed="false">
      <c r="A305" s="57" t="s">
        <v>851</v>
      </c>
      <c r="B305" s="57" t="s">
        <v>236</v>
      </c>
      <c r="C305" s="57" t="str">
        <f aca="false">Flights!$F$13</f>
        <v>MH0753</v>
      </c>
      <c r="D305" s="58" t="n">
        <f aca="false">Flights!$D$13</f>
        <v>46306</v>
      </c>
      <c r="E305" s="57" t="str">
        <f aca="false">Flights!$G$13&amp;"-"&amp;Flights!$H$13</f>
        <v>HAN-KUL</v>
      </c>
      <c r="F305" s="57" t="str">
        <f aca="false">Flights!$K$13</f>
        <v>BC</v>
      </c>
      <c r="G305" s="57" t="s">
        <v>383</v>
      </c>
      <c r="H305" s="57" t="s">
        <v>341</v>
      </c>
      <c r="I305" s="57" t="s">
        <v>462</v>
      </c>
      <c r="J305" s="57" t="s">
        <v>478</v>
      </c>
      <c r="K305" s="67" t="s">
        <v>464</v>
      </c>
      <c r="L305" s="67" t="s">
        <v>852</v>
      </c>
      <c r="M305" s="67" t="s">
        <v>414</v>
      </c>
      <c r="N305" s="67" t="s">
        <v>407</v>
      </c>
      <c r="O305" s="67" t="s">
        <v>850</v>
      </c>
      <c r="P305" s="57" t="s">
        <v>230</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IF(N305="N/A – rule","N/A – RULE",IF(TRIM(U305)="N/A",IF(AT305=0,"INVALID – N/A not permitted for this mandatory check",IF(AND(TRIM(AC305)&lt;&gt;"",TRIM(AE305)&lt;&gt;"",TRIM(T305)&lt;&gt;""),"N/A – JUSTIFIED","INVALID – N/A needs justification, PIC and verifier")),IF(OR(TRIM(U305)="Pass",TRIM(U305)="Pass after CA"),IF(NOT(ISNUMBER(AD305)),"INVALID – completion time missing",IF(TRIM(T305)="","INVALID – PIC missing",IF(TRIM(Z305)="","INVALID – evidence missing",IF(TRIM(AE305)="","INVALID – verifier missing",IF(AND(AQ305=1,TRIM(W305)=""),"INVALID – batch ID missing",IF(AND(AR305=1,OR(NOT(ISNUMBER(X305)),NOT(ISNUMBER(Y305)))),"INVALID – expected/actual qty missing",IF(IF(AND(TRIM(U305)="Pass",ISNUMBER(AF305)),IF(AF305&lt;&gt;0,"INVALID – qty variance: use Fail or Pass after CA",""),"")&amp;IF(AND(TRIM(U305)="Pass",AB305="Open"),"INVALID – corrective action still open: use Fail, then Pass after CA","")&amp;IF(AND(TRIM(U305)="Pass after CA",OR(TRIM(AA305)="",AB305&lt;&gt;"Closed")),"INVALID – corrective action not recorded/closed","")&lt;&gt;"",IF(AND(TRIM(U305)="Pass",ISNUMBER(AF305)),IF(AF305&lt;&gt;0,"INVALID – qty variance: use Fail or Pass after CA",""),"")&amp;IF(AND(TRIM(U305)="Pass",AB305="Open"),"INVALID – corrective action still open: use Fail, then Pass after CA","")&amp;IF(AND(TRIM(U305)="Pass after CA",OR(TRIM(AA305)="",AB305&lt;&gt;"Closed")),"INVALID – corrective action not recorded/closed",""),IF(AND(AS305=1,Documents!$J$13&lt;&gt;"ON FILE"),"INVALID – GLD not on file (Documents sheet)",IF(AND(AS305=2,Documents!$O$13&lt;&gt;"ON FILE"),"INVALID – menu checklist not on file (Documents sheet)",IF(AND(AS305=3,NOT(ISNUMBER(Flights!$AX$13))),"INVALID – enter carrying flight KUL departure (Flights AX)",IF(AG305&gt;AsOfUTC,"INVALID – completion time is in the future",IF(AND(ISNUMBER(S305),AG305&lt;S305),IF(H305="Physical uplift","INVALID – before uplift window (cannot confirm loading)","INVALID – before valid window"),IF(AG305&gt;Flights!$AA$13,"INVALID – completed after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f>
        <v>OPEN – CLARIFICATION</v>
      </c>
      <c r="AI305" s="61" t="n">
        <f aca="false">IF(OR(AH305="N/A – RULE",AH305="N/A – JUSTIFIED"),0,1)</f>
        <v>1</v>
      </c>
      <c r="AJ305" s="61" t="n">
        <f aca="false">IF(LEFT(AH305,8)="COMPLETE",1,0)</f>
        <v>0</v>
      </c>
      <c r="AK305" s="61" t="n">
        <f aca="false">IF(AND(AI305=1,AJ305=0,AsOfUTC&gt;Q305),1,0)</f>
        <v>0</v>
      </c>
      <c r="AL305" s="61" t="n">
        <f aca="false">IF(AND(AI305=1,OR(TRIM(U305)="Fail",AB305="Open",AND(ISNUMBER(AF305),AF305&lt;&gt;0,TRIM(U305)&lt;&gt;"Pass after CA"))),1,0)</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row>
    <row r="306" customFormat="false" ht="54" hidden="false" customHeight="true" outlineLevel="0" collapsed="false">
      <c r="A306" s="57" t="s">
        <v>853</v>
      </c>
      <c r="B306" s="57" t="s">
        <v>236</v>
      </c>
      <c r="C306" s="57" t="str">
        <f aca="false">Flights!$F$13</f>
        <v>MH0753</v>
      </c>
      <c r="D306" s="58" t="n">
        <f aca="false">Flights!$D$13</f>
        <v>46306</v>
      </c>
      <c r="E306" s="57" t="str">
        <f aca="false">Flights!$G$13&amp;"-"&amp;Flights!$H$13</f>
        <v>HAN-KUL</v>
      </c>
      <c r="F306" s="57" t="str">
        <f aca="false">Flights!$K$13</f>
        <v>BC</v>
      </c>
      <c r="G306" s="57" t="s">
        <v>383</v>
      </c>
      <c r="H306" s="57" t="s">
        <v>341</v>
      </c>
      <c r="I306" s="57" t="s">
        <v>462</v>
      </c>
      <c r="J306" s="57" t="s">
        <v>481</v>
      </c>
      <c r="K306" s="67" t="s">
        <v>482</v>
      </c>
      <c r="L306" s="67" t="s">
        <v>854</v>
      </c>
      <c r="M306" s="67" t="s">
        <v>414</v>
      </c>
      <c r="N306" s="67" t="s">
        <v>346</v>
      </c>
      <c r="O306" s="67" t="s">
        <v>855</v>
      </c>
      <c r="P306" s="57" t="s">
        <v>230</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IF(N306="N/A – rule","N/A – RULE",IF(TRIM(U306)="N/A",IF(AT306=0,"INVALID – N/A not permitted for this mandatory check",IF(AND(TRIM(AC306)&lt;&gt;"",TRIM(AE306)&lt;&gt;"",TRIM(T306)&lt;&gt;""),"N/A – JUSTIFIED","INVALID – N/A needs justification, PIC and verifier")),IF(OR(TRIM(U306)="Pass",TRIM(U306)="Pass after CA"),IF(NOT(ISNUMBER(AD306)),"INVALID – completion time missing",IF(TRIM(T306)="","INVALID – PIC missing",IF(TRIM(Z306)="","INVALID – evidence missing",IF(TRIM(AE306)="","INVALID – verifier missing",IF(AND(AQ306=1,TRIM(W306)=""),"INVALID – batch ID missing",IF(AND(AR306=1,OR(NOT(ISNUMBER(X306)),NOT(ISNUMBER(Y306)))),"INVALID – expected/actual qty missing",IF(IF(AND(TRIM(U306)="Pass",ISNUMBER(AF306)),IF(AF306&lt;&gt;0,"INVALID – qty variance: use Fail or Pass after CA",""),"")&amp;IF(AND(TRIM(U306)="Pass",AB306="Open"),"INVALID – corrective action still open: use Fail, then Pass after CA","")&amp;IF(AND(TRIM(U306)="Pass after CA",OR(TRIM(AA306)="",AB306&lt;&gt;"Closed")),"INVALID – corrective action not recorded/closed","")&lt;&gt;"",IF(AND(TRIM(U306)="Pass",ISNUMBER(AF306)),IF(AF306&lt;&gt;0,"INVALID – qty variance: use Fail or Pass after CA",""),"")&amp;IF(AND(TRIM(U306)="Pass",AB306="Open"),"INVALID – corrective action still open: use Fail, then Pass after CA","")&amp;IF(AND(TRIM(U306)="Pass after CA",OR(TRIM(AA306)="",AB306&lt;&gt;"Closed")),"INVALID – corrective action not recorded/closed",""),IF(AND(AS306=1,Documents!$J$13&lt;&gt;"ON FILE"),"INVALID – GLD not on file (Documents sheet)",IF(AND(AS306=2,Documents!$O$13&lt;&gt;"ON FILE"),"INVALID – menu checklist not on file (Documents sheet)",IF(AND(AS306=3,NOT(ISNUMBER(Flights!$AX$13))),"INVALID – enter carrying flight KUL departure (Flights AX)",IF(AG306&gt;AsOfUTC,"INVALID – completion time is in the future",IF(AND(ISNUMBER(S306),AG306&lt;S306),IF(H306="Physical uplift","INVALID – before uplift window (cannot confirm loading)","INVALID – before valid window"),IF(AG306&gt;Flights!$AA$13,"INVALID – completed after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f>
        <v>OPEN</v>
      </c>
      <c r="AI306" s="61" t="n">
        <f aca="false">IF(OR(AH306="N/A – RULE",AH306="N/A – JUSTIFIED"),0,1)</f>
        <v>1</v>
      </c>
      <c r="AJ306" s="61" t="n">
        <f aca="false">IF(LEFT(AH306,8)="COMPLETE",1,0)</f>
        <v>0</v>
      </c>
      <c r="AK306" s="61" t="n">
        <f aca="false">IF(AND(AI306=1,AJ306=0,AsOfUTC&gt;Q306),1,0)</f>
        <v>0</v>
      </c>
      <c r="AL306" s="61" t="n">
        <f aca="false">IF(AND(AI306=1,OR(TRIM(U306)="Fail",AB306="Open",AND(ISNUMBER(AF306),AF306&lt;&gt;0,TRIM(U306)&lt;&gt;"Pass after CA"))),1,0)</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1</v>
      </c>
    </row>
    <row r="307" customFormat="false" ht="41.25" hidden="false" customHeight="true" outlineLevel="0" collapsed="false">
      <c r="A307" s="57" t="s">
        <v>856</v>
      </c>
      <c r="B307" s="57" t="s">
        <v>236</v>
      </c>
      <c r="C307" s="57" t="str">
        <f aca="false">Flights!$F$13</f>
        <v>MH0753</v>
      </c>
      <c r="D307" s="58" t="n">
        <f aca="false">Flights!$D$13</f>
        <v>46306</v>
      </c>
      <c r="E307" s="57" t="str">
        <f aca="false">Flights!$G$13&amp;"-"&amp;Flights!$H$13</f>
        <v>HAN-KUL</v>
      </c>
      <c r="F307" s="57" t="str">
        <f aca="false">Flights!$K$13</f>
        <v>BC</v>
      </c>
      <c r="G307" s="57" t="s">
        <v>383</v>
      </c>
      <c r="H307" s="57" t="s">
        <v>341</v>
      </c>
      <c r="I307" s="57" t="s">
        <v>462</v>
      </c>
      <c r="J307" s="57" t="s">
        <v>486</v>
      </c>
      <c r="K307" s="67" t="s">
        <v>464</v>
      </c>
      <c r="L307" s="67" t="s">
        <v>857</v>
      </c>
      <c r="M307" s="67" t="s">
        <v>414</v>
      </c>
      <c r="N307" s="67" t="s">
        <v>346</v>
      </c>
      <c r="O307" s="67" t="s">
        <v>843</v>
      </c>
      <c r="P307" s="57" t="s">
        <v>230</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IF(N307="N/A – rule","N/A – RULE",IF(TRIM(U307)="N/A",IF(AT307=0,"INVALID – N/A not permitted for this mandatory check",IF(AND(TRIM(AC307)&lt;&gt;"",TRIM(AE307)&lt;&gt;"",TRIM(T307)&lt;&gt;""),"N/A – JUSTIFIED","INVALID – N/A needs justification, PIC and verifier")),IF(OR(TRIM(U307)="Pass",TRIM(U307)="Pass after CA"),IF(NOT(ISNUMBER(AD307)),"INVALID – completion time missing",IF(TRIM(T307)="","INVALID – PIC missing",IF(TRIM(Z307)="","INVALID – evidence missing",IF(TRIM(AE307)="","INVALID – verifier missing",IF(AND(AQ307=1,TRIM(W307)=""),"INVALID – batch ID missing",IF(AND(AR307=1,OR(NOT(ISNUMBER(X307)),NOT(ISNUMBER(Y307)))),"INVALID – expected/actual qty missing",IF(IF(AND(TRIM(U307)="Pass",ISNUMBER(AF307)),IF(AF307&lt;&gt;0,"INVALID – qty variance: use Fail or Pass after CA",""),"")&amp;IF(AND(TRIM(U307)="Pass",AB307="Open"),"INVALID – corrective action still open: use Fail, then Pass after CA","")&amp;IF(AND(TRIM(U307)="Pass after CA",OR(TRIM(AA307)="",AB307&lt;&gt;"Closed")),"INVALID – corrective action not recorded/closed","")&lt;&gt;"",IF(AND(TRIM(U307)="Pass",ISNUMBER(AF307)),IF(AF307&lt;&gt;0,"INVALID – qty variance: use Fail or Pass after CA",""),"")&amp;IF(AND(TRIM(U307)="Pass",AB307="Open"),"INVALID – corrective action still open: use Fail, then Pass after CA","")&amp;IF(AND(TRIM(U307)="Pass after CA",OR(TRIM(AA307)="",AB307&lt;&gt;"Closed")),"INVALID – corrective action not recorded/closed",""),IF(AND(AS307=1,Documents!$J$13&lt;&gt;"ON FILE"),"INVALID – GLD not on file (Documents sheet)",IF(AND(AS307=2,Documents!$O$13&lt;&gt;"ON FILE"),"INVALID – menu checklist not on file (Documents sheet)",IF(AND(AS307=3,NOT(ISNUMBER(Flights!$AX$13))),"INVALID – enter carrying flight KUL departure (Flights AX)",IF(AG307&gt;AsOfUTC,"INVALID – completion time is in the future",IF(AND(ISNUMBER(S307),AG307&lt;S307),IF(H307="Physical uplift","INVALID – before uplift window (cannot confirm loading)","INVALID – before valid window"),IF(AG307&gt;Flights!$AA$13,"INVALID – completed after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f>
        <v>OPEN</v>
      </c>
      <c r="AI307" s="61" t="n">
        <f aca="false">IF(OR(AH307="N/A – RULE",AH307="N/A – JUSTIFIED"),0,1)</f>
        <v>1</v>
      </c>
      <c r="AJ307" s="61" t="n">
        <f aca="false">IF(LEFT(AH307,8)="COMPLETE",1,0)</f>
        <v>0</v>
      </c>
      <c r="AK307" s="61" t="n">
        <f aca="false">IF(AND(AI307=1,AJ307=0,AsOfUTC&gt;Q307),1,0)</f>
        <v>0</v>
      </c>
      <c r="AL307" s="61" t="n">
        <f aca="false">IF(AND(AI307=1,OR(TRIM(U307)="Fail",AB307="Open",AND(ISNUMBER(AF307),AF307&lt;&gt;0,TRIM(U307)&lt;&gt;"Pass after CA"))),1,0)</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1</v>
      </c>
    </row>
    <row r="308" customFormat="false" ht="41.25" hidden="false" customHeight="true" outlineLevel="0" collapsed="false">
      <c r="A308" s="57" t="s">
        <v>858</v>
      </c>
      <c r="B308" s="57" t="s">
        <v>236</v>
      </c>
      <c r="C308" s="57" t="str">
        <f aca="false">Flights!$F$13</f>
        <v>MH0753</v>
      </c>
      <c r="D308" s="58" t="n">
        <f aca="false">Flights!$D$13</f>
        <v>46306</v>
      </c>
      <c r="E308" s="57" t="str">
        <f aca="false">Flights!$G$13&amp;"-"&amp;Flights!$H$13</f>
        <v>HAN-KUL</v>
      </c>
      <c r="F308" s="57" t="str">
        <f aca="false">Flights!$K$13</f>
        <v>BC</v>
      </c>
      <c r="G308" s="57" t="s">
        <v>383</v>
      </c>
      <c r="H308" s="57" t="s">
        <v>341</v>
      </c>
      <c r="I308" s="57" t="s">
        <v>410</v>
      </c>
      <c r="J308" s="57" t="s">
        <v>489</v>
      </c>
      <c r="K308" s="67" t="s">
        <v>412</v>
      </c>
      <c r="L308" s="67" t="s">
        <v>859</v>
      </c>
      <c r="M308" s="67" t="s">
        <v>414</v>
      </c>
      <c r="N308" s="67" t="s">
        <v>346</v>
      </c>
      <c r="O308" s="67" t="s">
        <v>843</v>
      </c>
      <c r="P308" s="57" t="s">
        <v>230</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IF(N308="N/A – rule","N/A – RULE",IF(TRIM(U308)="N/A",IF(AT308=0,"INVALID – N/A not permitted for this mandatory check",IF(AND(TRIM(AC308)&lt;&gt;"",TRIM(AE308)&lt;&gt;"",TRIM(T308)&lt;&gt;""),"N/A – JUSTIFIED","INVALID – N/A needs justification, PIC and verifier")),IF(OR(TRIM(U308)="Pass",TRIM(U308)="Pass after CA"),IF(NOT(ISNUMBER(AD308)),"INVALID – completion time missing",IF(TRIM(T308)="","INVALID – PIC missing",IF(TRIM(Z308)="","INVALID – evidence missing",IF(TRIM(AE308)="","INVALID – verifier missing",IF(AND(AQ308=1,TRIM(W308)=""),"INVALID – batch ID missing",IF(AND(AR308=1,OR(NOT(ISNUMBER(X308)),NOT(ISNUMBER(Y308)))),"INVALID – expected/actual qty missing",IF(IF(AND(TRIM(U308)="Pass",ISNUMBER(AF308)),IF(AF308&lt;&gt;0,"INVALID – qty variance: use Fail or Pass after CA",""),"")&amp;IF(AND(TRIM(U308)="Pass",AB308="Open"),"INVALID – corrective action still open: use Fail, then Pass after CA","")&amp;IF(AND(TRIM(U308)="Pass after CA",OR(TRIM(AA308)="",AB308&lt;&gt;"Closed")),"INVALID – corrective action not recorded/closed","")&lt;&gt;"",IF(AND(TRIM(U308)="Pass",ISNUMBER(AF308)),IF(AF308&lt;&gt;0,"INVALID – qty variance: use Fail or Pass after CA",""),"")&amp;IF(AND(TRIM(U308)="Pass",AB308="Open"),"INVALID – corrective action still open: use Fail, then Pass after CA","")&amp;IF(AND(TRIM(U308)="Pass after CA",OR(TRIM(AA308)="",AB308&lt;&gt;"Closed")),"INVALID – corrective action not recorded/closed",""),IF(AND(AS308=1,Documents!$J$13&lt;&gt;"ON FILE"),"INVALID – GLD not on file (Documents sheet)",IF(AND(AS308=2,Documents!$O$13&lt;&gt;"ON FILE"),"INVALID – menu checklist not on file (Documents sheet)",IF(AND(AS308=3,NOT(ISNUMBER(Flights!$AX$13))),"INVALID – enter carrying flight KUL departure (Flights AX)",IF(AG308&gt;AsOfUTC,"INVALID – completion time is in the future",IF(AND(ISNUMBER(S308),AG308&lt;S308),IF(H308="Physical uplift","INVALID – before uplift window (cannot confirm loading)","INVALID – before valid window"),IF(AG308&gt;Flights!$AA$13,"INVALID – completed after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f>
        <v>OPEN</v>
      </c>
      <c r="AI308" s="61" t="n">
        <f aca="false">IF(OR(AH308="N/A – RULE",AH308="N/A – JUSTIFIED"),0,1)</f>
        <v>1</v>
      </c>
      <c r="AJ308" s="61" t="n">
        <f aca="false">IF(LEFT(AH308,8)="COMPLETE",1,0)</f>
        <v>0</v>
      </c>
      <c r="AK308" s="61" t="n">
        <f aca="false">IF(AND(AI308=1,AJ308=0,AsOfUTC&gt;Q308),1,0)</f>
        <v>0</v>
      </c>
      <c r="AL308" s="61" t="n">
        <f aca="false">IF(AND(AI308=1,OR(TRIM(U308)="Fail",AB308="Open",AND(ISNUMBER(AF308),AF308&lt;&gt;0,TRIM(U308)&lt;&gt;"Pass after CA"))),1,0)</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1</v>
      </c>
    </row>
    <row r="309" customFormat="false" ht="41.25" hidden="false" customHeight="true" outlineLevel="0" collapsed="false">
      <c r="A309" s="57" t="s">
        <v>860</v>
      </c>
      <c r="B309" s="57" t="s">
        <v>236</v>
      </c>
      <c r="C309" s="57" t="str">
        <f aca="false">Flights!$F$13</f>
        <v>MH0753</v>
      </c>
      <c r="D309" s="58" t="n">
        <f aca="false">Flights!$D$13</f>
        <v>46306</v>
      </c>
      <c r="E309" s="57" t="str">
        <f aca="false">Flights!$G$13&amp;"-"&amp;Flights!$H$13</f>
        <v>HAN-KUL</v>
      </c>
      <c r="F309" s="57" t="str">
        <f aca="false">Flights!$K$13</f>
        <v>BC</v>
      </c>
      <c r="G309" s="57" t="s">
        <v>383</v>
      </c>
      <c r="H309" s="57" t="s">
        <v>341</v>
      </c>
      <c r="I309" s="57" t="s">
        <v>410</v>
      </c>
      <c r="J309" s="57" t="s">
        <v>492</v>
      </c>
      <c r="K309" s="67" t="s">
        <v>412</v>
      </c>
      <c r="L309" s="67" t="s">
        <v>861</v>
      </c>
      <c r="M309" s="67" t="s">
        <v>414</v>
      </c>
      <c r="N309" s="67" t="s">
        <v>346</v>
      </c>
      <c r="O309" s="67" t="s">
        <v>843</v>
      </c>
      <c r="P309" s="57" t="s">
        <v>230</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IF(N309="N/A – rule","N/A – RULE",IF(TRIM(U309)="N/A",IF(AT309=0,"INVALID – N/A not permitted for this mandatory check",IF(AND(TRIM(AC309)&lt;&gt;"",TRIM(AE309)&lt;&gt;"",TRIM(T309)&lt;&gt;""),"N/A – JUSTIFIED","INVALID – N/A needs justification, PIC and verifier")),IF(OR(TRIM(U309)="Pass",TRIM(U309)="Pass after CA"),IF(NOT(ISNUMBER(AD309)),"INVALID – completion time missing",IF(TRIM(T309)="","INVALID – PIC missing",IF(TRIM(Z309)="","INVALID – evidence missing",IF(TRIM(AE309)="","INVALID – verifier missing",IF(AND(AQ309=1,TRIM(W309)=""),"INVALID – batch ID missing",IF(AND(AR309=1,OR(NOT(ISNUMBER(X309)),NOT(ISNUMBER(Y309)))),"INVALID – expected/actual qty missing",IF(IF(AND(TRIM(U309)="Pass",ISNUMBER(AF309)),IF(AF309&lt;&gt;0,"INVALID – qty variance: use Fail or Pass after CA",""),"")&amp;IF(AND(TRIM(U309)="Pass",AB309="Open"),"INVALID – corrective action still open: use Fail, then Pass after CA","")&amp;IF(AND(TRIM(U309)="Pass after CA",OR(TRIM(AA309)="",AB309&lt;&gt;"Closed")),"INVALID – corrective action not recorded/closed","")&lt;&gt;"",IF(AND(TRIM(U309)="Pass",ISNUMBER(AF309)),IF(AF309&lt;&gt;0,"INVALID – qty variance: use Fail or Pass after CA",""),"")&amp;IF(AND(TRIM(U309)="Pass",AB309="Open"),"INVALID – corrective action still open: use Fail, then Pass after CA","")&amp;IF(AND(TRIM(U309)="Pass after CA",OR(TRIM(AA309)="",AB309&lt;&gt;"Closed")),"INVALID – corrective action not recorded/closed",""),IF(AND(AS309=1,Documents!$J$13&lt;&gt;"ON FILE"),"INVALID – GLD not on file (Documents sheet)",IF(AND(AS309=2,Documents!$O$13&lt;&gt;"ON FILE"),"INVALID – menu checklist not on file (Documents sheet)",IF(AND(AS309=3,NOT(ISNUMBER(Flights!$AX$13))),"INVALID – enter carrying flight KUL departure (Flights AX)",IF(AG309&gt;AsOfUTC,"INVALID – completion time is in the future",IF(AND(ISNUMBER(S309),AG309&lt;S309),IF(H309="Physical uplift","INVALID – before uplift window (cannot confirm loading)","INVALID – before valid window"),IF(AG309&gt;Flights!$AA$13,"INVALID – completed after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f>
        <v>OPEN</v>
      </c>
      <c r="AI309" s="61" t="n">
        <f aca="false">IF(OR(AH309="N/A – RULE",AH309="N/A – JUSTIFIED"),0,1)</f>
        <v>1</v>
      </c>
      <c r="AJ309" s="61" t="n">
        <f aca="false">IF(LEFT(AH309,8)="COMPLETE",1,0)</f>
        <v>0</v>
      </c>
      <c r="AK309" s="61" t="n">
        <f aca="false">IF(AND(AI309=1,AJ309=0,AsOfUTC&gt;Q309),1,0)</f>
        <v>0</v>
      </c>
      <c r="AL309" s="61" t="n">
        <f aca="false">IF(AND(AI309=1,OR(TRIM(U309)="Fail",AB309="Open",AND(ISNUMBER(AF309),AF309&lt;&gt;0,TRIM(U309)&lt;&gt;"Pass after CA"))),1,0)</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1</v>
      </c>
    </row>
    <row r="310" customFormat="false" ht="39.75" hidden="false" customHeight="true" outlineLevel="0" collapsed="false">
      <c r="A310" s="57" t="s">
        <v>862</v>
      </c>
      <c r="B310" s="57" t="s">
        <v>236</v>
      </c>
      <c r="C310" s="57" t="str">
        <f aca="false">Flights!$F$13</f>
        <v>MH0753</v>
      </c>
      <c r="D310" s="58" t="n">
        <f aca="false">Flights!$D$13</f>
        <v>46306</v>
      </c>
      <c r="E310" s="57" t="str">
        <f aca="false">Flights!$G$13&amp;"-"&amp;Flights!$H$13</f>
        <v>HAN-KUL</v>
      </c>
      <c r="F310" s="57" t="str">
        <f aca="false">Flights!$K$13</f>
        <v>BC</v>
      </c>
      <c r="G310" s="57" t="s">
        <v>422</v>
      </c>
      <c r="H310" s="57" t="s">
        <v>423</v>
      </c>
      <c r="I310" s="57" t="s">
        <v>342</v>
      </c>
      <c r="J310" s="57" t="s">
        <v>424</v>
      </c>
      <c r="K310" s="67" t="s">
        <v>389</v>
      </c>
      <c r="L310" s="67" t="s">
        <v>425</v>
      </c>
      <c r="M310" s="67"/>
      <c r="N310" s="67" t="s">
        <v>346</v>
      </c>
      <c r="O310" s="67" t="s">
        <v>426</v>
      </c>
      <c r="P310" s="57" t="s">
        <v>230</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IF(N310="N/A – rule","N/A – RULE",IF(TRIM(U310)="N/A",IF(AT310=0,"INVALID – N/A not permitted for this mandatory check",IF(AND(TRIM(AC310)&lt;&gt;"",TRIM(AE310)&lt;&gt;"",TRIM(T310)&lt;&gt;""),"N/A – JUSTIFIED","INVALID – N/A needs justification, PIC and verifier")),IF(OR(TRIM(U310)="Pass",TRIM(U310)="Pass after CA"),IF(NOT(ISNUMBER(AD310)),"INVALID – completion time missing",IF(TRIM(T310)="","INVALID – PIC missing",IF(TRIM(Z310)="","INVALID – evidence missing",IF(TRIM(AE310)="","INVALID – verifier missing",IF(AND(AQ310=1,TRIM(W310)=""),"INVALID – batch ID missing",IF(AND(AR310=1,OR(NOT(ISNUMBER(X310)),NOT(ISNUMBER(Y310)))),"INVALID – expected/actual qty missing",IF(IF(AND(TRIM(U310)="Pass",ISNUMBER(AF310)),IF(AF310&lt;&gt;0,"INVALID – qty variance: use Fail or Pass after CA",""),"")&amp;IF(AND(TRIM(U310)="Pass",AB310="Open"),"INVALID – corrective action still open: use Fail, then Pass after CA","")&amp;IF(AND(TRIM(U310)="Pass after CA",OR(TRIM(AA310)="",AB310&lt;&gt;"Closed")),"INVALID – corrective action not recorded/closed","")&lt;&gt;"",IF(AND(TRIM(U310)="Pass",ISNUMBER(AF310)),IF(AF310&lt;&gt;0,"INVALID – qty variance: use Fail or Pass after CA",""),"")&amp;IF(AND(TRIM(U310)="Pass",AB310="Open"),"INVALID – corrective action still open: use Fail, then Pass after CA","")&amp;IF(AND(TRIM(U310)="Pass after CA",OR(TRIM(AA310)="",AB310&lt;&gt;"Closed")),"INVALID – corrective action not recorded/closed",""),IF(AND(AS310=1,Documents!$J$13&lt;&gt;"ON FILE"),"INVALID – GLD not on file (Documents sheet)",IF(AND(AS310=2,Documents!$O$13&lt;&gt;"ON FILE"),"INVALID – menu checklist not on file (Documents sheet)",IF(AND(AS310=3,NOT(ISNUMBER(Flights!$AX$13))),"INVALID – enter carrying flight KUL departure (Flights AX)",IF(AG310&gt;AsOfUTC,"INVALID – completion time is in the future",IF(AND(ISNUMBER(S310),AG310&lt;S310),IF(H310="Physical uplift","INVALID – before uplift window (cannot confirm loading)","INVALID – before valid window"),IF(AG310&gt;Flights!$AA$13,"INVALID – completed after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f>
        <v>OPEN</v>
      </c>
      <c r="AI310" s="61" t="n">
        <f aca="false">IF(OR(AH310="N/A – RULE",AH310="N/A – JUSTIFIED"),0,1)</f>
        <v>1</v>
      </c>
      <c r="AJ310" s="61" t="n">
        <f aca="false">IF(LEFT(AH310,8)="COMPLETE",1,0)</f>
        <v>0</v>
      </c>
      <c r="AK310" s="61" t="n">
        <f aca="false">IF(AND(AI310=1,AJ310=0,AsOfUTC&gt;Q310),1,0)</f>
        <v>0</v>
      </c>
      <c r="AL310" s="61" t="n">
        <f aca="false">IF(AND(AI310=1,OR(TRIM(U310)="Fail",AB310="Open",AND(ISNUMBER(AF310),AF310&lt;&gt;0,TRIM(U310)&lt;&gt;"Pass after CA"))),1,0)</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row>
    <row r="311" customFormat="false" ht="39.75" hidden="false" customHeight="true" outlineLevel="0" collapsed="false">
      <c r="A311" s="57" t="s">
        <v>863</v>
      </c>
      <c r="B311" s="57" t="s">
        <v>236</v>
      </c>
      <c r="C311" s="57" t="str">
        <f aca="false">Flights!$F$13</f>
        <v>MH0753</v>
      </c>
      <c r="D311" s="58" t="n">
        <f aca="false">Flights!$D$13</f>
        <v>46306</v>
      </c>
      <c r="E311" s="57" t="str">
        <f aca="false">Flights!$G$13&amp;"-"&amp;Flights!$H$13</f>
        <v>HAN-KUL</v>
      </c>
      <c r="F311" s="57" t="str">
        <f aca="false">Flights!$K$13</f>
        <v>BC</v>
      </c>
      <c r="G311" s="57" t="s">
        <v>422</v>
      </c>
      <c r="H311" s="57" t="s">
        <v>423</v>
      </c>
      <c r="I311" s="57" t="s">
        <v>391</v>
      </c>
      <c r="J311" s="57" t="s">
        <v>428</v>
      </c>
      <c r="K311" s="67" t="s">
        <v>389</v>
      </c>
      <c r="L311" s="67" t="s">
        <v>425</v>
      </c>
      <c r="M311" s="67"/>
      <c r="N311" s="67" t="s">
        <v>346</v>
      </c>
      <c r="O311" s="67" t="s">
        <v>426</v>
      </c>
      <c r="P311" s="57" t="s">
        <v>230</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IF(N311="N/A – rule","N/A – RULE",IF(TRIM(U311)="N/A",IF(AT311=0,"INVALID – N/A not permitted for this mandatory check",IF(AND(TRIM(AC311)&lt;&gt;"",TRIM(AE311)&lt;&gt;"",TRIM(T311)&lt;&gt;""),"N/A – JUSTIFIED","INVALID – N/A needs justification, PIC and verifier")),IF(OR(TRIM(U311)="Pass",TRIM(U311)="Pass after CA"),IF(NOT(ISNUMBER(AD311)),"INVALID – completion time missing",IF(TRIM(T311)="","INVALID – PIC missing",IF(TRIM(Z311)="","INVALID – evidence missing",IF(TRIM(AE311)="","INVALID – verifier missing",IF(AND(AQ311=1,TRIM(W311)=""),"INVALID – batch ID missing",IF(AND(AR311=1,OR(NOT(ISNUMBER(X311)),NOT(ISNUMBER(Y311)))),"INVALID – expected/actual qty missing",IF(IF(AND(TRIM(U311)="Pass",ISNUMBER(AF311)),IF(AF311&lt;&gt;0,"INVALID – qty variance: use Fail or Pass after CA",""),"")&amp;IF(AND(TRIM(U311)="Pass",AB311="Open"),"INVALID – corrective action still open: use Fail, then Pass after CA","")&amp;IF(AND(TRIM(U311)="Pass after CA",OR(TRIM(AA311)="",AB311&lt;&gt;"Closed")),"INVALID – corrective action not recorded/closed","")&lt;&gt;"",IF(AND(TRIM(U311)="Pass",ISNUMBER(AF311)),IF(AF311&lt;&gt;0,"INVALID – qty variance: use Fail or Pass after CA",""),"")&amp;IF(AND(TRIM(U311)="Pass",AB311="Open"),"INVALID – corrective action still open: use Fail, then Pass after CA","")&amp;IF(AND(TRIM(U311)="Pass after CA",OR(TRIM(AA311)="",AB311&lt;&gt;"Closed")),"INVALID – corrective action not recorded/closed",""),IF(AND(AS311=1,Documents!$J$13&lt;&gt;"ON FILE"),"INVALID – GLD not on file (Documents sheet)",IF(AND(AS311=2,Documents!$O$13&lt;&gt;"ON FILE"),"INVALID – menu checklist not on file (Documents sheet)",IF(AND(AS311=3,NOT(ISNUMBER(Flights!$AX$13))),"INVALID – enter carrying flight KUL departure (Flights AX)",IF(AG311&gt;AsOfUTC,"INVALID – completion time is in the future",IF(AND(ISNUMBER(S311),AG311&lt;S311),IF(H311="Physical uplift","INVALID – before uplift window (cannot confirm loading)","INVALID – before valid window"),IF(AG311&gt;Flights!$AA$13,"INVALID – completed after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f>
        <v>OPEN</v>
      </c>
      <c r="AI311" s="61" t="n">
        <f aca="false">IF(OR(AH311="N/A – RULE",AH311="N/A – JUSTIFIED"),0,1)</f>
        <v>1</v>
      </c>
      <c r="AJ311" s="61" t="n">
        <f aca="false">IF(LEFT(AH311,8)="COMPLETE",1,0)</f>
        <v>0</v>
      </c>
      <c r="AK311" s="61" t="n">
        <f aca="false">IF(AND(AI311=1,AJ311=0,AsOfUTC&gt;Q311),1,0)</f>
        <v>0</v>
      </c>
      <c r="AL311" s="61" t="n">
        <f aca="false">IF(AND(AI311=1,OR(TRIM(U311)="Fail",AB311="Open",AND(ISNUMBER(AF311),AF311&lt;&gt;0,TRIM(U311)&lt;&gt;"Pass after CA"))),1,0)</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row>
    <row r="312" customFormat="false" ht="41.25" hidden="false" customHeight="true" outlineLevel="0" collapsed="false">
      <c r="A312" s="57" t="s">
        <v>864</v>
      </c>
      <c r="B312" s="57" t="s">
        <v>236</v>
      </c>
      <c r="C312" s="57" t="str">
        <f aca="false">Flights!$F$13</f>
        <v>MH0753</v>
      </c>
      <c r="D312" s="58" t="n">
        <f aca="false">Flights!$D$13</f>
        <v>46306</v>
      </c>
      <c r="E312" s="57" t="str">
        <f aca="false">Flights!$G$13&amp;"-"&amp;Flights!$H$13</f>
        <v>HAN-KUL</v>
      </c>
      <c r="F312" s="57" t="str">
        <f aca="false">Flights!$K$13</f>
        <v>BC</v>
      </c>
      <c r="G312" s="57" t="s">
        <v>422</v>
      </c>
      <c r="H312" s="57" t="s">
        <v>423</v>
      </c>
      <c r="I312" s="57" t="s">
        <v>403</v>
      </c>
      <c r="J312" s="57" t="s">
        <v>497</v>
      </c>
      <c r="K312" s="67" t="s">
        <v>458</v>
      </c>
      <c r="L312" s="67" t="s">
        <v>839</v>
      </c>
      <c r="M312" s="67" t="s">
        <v>414</v>
      </c>
      <c r="N312" s="67" t="s">
        <v>346</v>
      </c>
      <c r="O312" s="67" t="s">
        <v>498</v>
      </c>
      <c r="P312" s="57" t="s">
        <v>230</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IF(N312="N/A – rule","N/A – RULE",IF(TRIM(U312)="N/A",IF(AT312=0,"INVALID – N/A not permitted for this mandatory check",IF(AND(TRIM(AC312)&lt;&gt;"",TRIM(AE312)&lt;&gt;"",TRIM(T312)&lt;&gt;""),"N/A – JUSTIFIED","INVALID – N/A needs justification, PIC and verifier")),IF(OR(TRIM(U312)="Pass",TRIM(U312)="Pass after CA"),IF(NOT(ISNUMBER(AD312)),"INVALID – completion time missing",IF(TRIM(T312)="","INVALID – PIC missing",IF(TRIM(Z312)="","INVALID – evidence missing",IF(TRIM(AE312)="","INVALID – verifier missing",IF(AND(AQ312=1,TRIM(W312)=""),"INVALID – batch ID missing",IF(AND(AR312=1,OR(NOT(ISNUMBER(X312)),NOT(ISNUMBER(Y312)))),"INVALID – expected/actual qty missing",IF(IF(AND(TRIM(U312)="Pass",ISNUMBER(AF312)),IF(AF312&lt;&gt;0,"INVALID – qty variance: use Fail or Pass after CA",""),"")&amp;IF(AND(TRIM(U312)="Pass",AB312="Open"),"INVALID – corrective action still open: use Fail, then Pass after CA","")&amp;IF(AND(TRIM(U312)="Pass after CA",OR(TRIM(AA312)="",AB312&lt;&gt;"Closed")),"INVALID – corrective action not recorded/closed","")&lt;&gt;"",IF(AND(TRIM(U312)="Pass",ISNUMBER(AF312)),IF(AF312&lt;&gt;0,"INVALID – qty variance: use Fail or Pass after CA",""),"")&amp;IF(AND(TRIM(U312)="Pass",AB312="Open"),"INVALID – corrective action still open: use Fail, then Pass after CA","")&amp;IF(AND(TRIM(U312)="Pass after CA",OR(TRIM(AA312)="",AB312&lt;&gt;"Closed")),"INVALID – corrective action not recorded/closed",""),IF(AND(AS312=1,Documents!$J$13&lt;&gt;"ON FILE"),"INVALID – GLD not on file (Documents sheet)",IF(AND(AS312=2,Documents!$O$13&lt;&gt;"ON FILE"),"INVALID – menu checklist not on file (Documents sheet)",IF(AND(AS312=3,NOT(ISNUMBER(Flights!$AX$13))),"INVALID – enter carrying flight KUL departure (Flights AX)",IF(AG312&gt;AsOfUTC,"INVALID – completion time is in the future",IF(AND(ISNUMBER(S312),AG312&lt;S312),IF(H312="Physical uplift","INVALID – before uplift window (cannot confirm loading)","INVALID – before valid window"),IF(AG312&gt;Flights!$AA$13,"INVALID – completed after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f>
        <v>OPEN</v>
      </c>
      <c r="AI312" s="61" t="n">
        <f aca="false">IF(OR(AH312="N/A – RULE",AH312="N/A – JUSTIFIED"),0,1)</f>
        <v>1</v>
      </c>
      <c r="AJ312" s="61" t="n">
        <f aca="false">IF(LEFT(AH312,8)="COMPLETE",1,0)</f>
        <v>0</v>
      </c>
      <c r="AK312" s="61" t="n">
        <f aca="false">IF(AND(AI312=1,AJ312=0,AsOfUTC&gt;Q312),1,0)</f>
        <v>0</v>
      </c>
      <c r="AL312" s="61" t="n">
        <f aca="false">IF(AND(AI312=1,OR(TRIM(U312)="Fail",AB312="Open",AND(ISNUMBER(AF312),AF312&lt;&gt;0,TRIM(U312)&lt;&gt;"Pass after CA"))),1,0)</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1</v>
      </c>
    </row>
    <row r="313" customFormat="false" ht="39.75" hidden="false" customHeight="true" outlineLevel="0" collapsed="false">
      <c r="A313" s="57" t="s">
        <v>865</v>
      </c>
      <c r="B313" s="57" t="s">
        <v>236</v>
      </c>
      <c r="C313" s="57" t="str">
        <f aca="false">Flights!$F$13</f>
        <v>MH0753</v>
      </c>
      <c r="D313" s="58" t="n">
        <f aca="false">Flights!$D$13</f>
        <v>46306</v>
      </c>
      <c r="E313" s="57" t="str">
        <f aca="false">Flights!$G$13&amp;"-"&amp;Flights!$H$13</f>
        <v>HAN-KUL</v>
      </c>
      <c r="F313" s="57" t="str">
        <f aca="false">Flights!$K$13</f>
        <v>BC</v>
      </c>
      <c r="G313" s="57" t="s">
        <v>422</v>
      </c>
      <c r="H313" s="57" t="s">
        <v>423</v>
      </c>
      <c r="I313" s="57" t="s">
        <v>462</v>
      </c>
      <c r="J313" s="57" t="s">
        <v>500</v>
      </c>
      <c r="K313" s="67" t="s">
        <v>464</v>
      </c>
      <c r="L313" s="67" t="s">
        <v>842</v>
      </c>
      <c r="M313" s="67" t="s">
        <v>414</v>
      </c>
      <c r="N313" s="67" t="s">
        <v>346</v>
      </c>
      <c r="O313" s="67"/>
      <c r="P313" s="57" t="s">
        <v>230</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IF(N313="N/A – rule","N/A – RULE",IF(TRIM(U313)="N/A",IF(AT313=0,"INVALID – N/A not permitted for this mandatory check",IF(AND(TRIM(AC313)&lt;&gt;"",TRIM(AE313)&lt;&gt;"",TRIM(T313)&lt;&gt;""),"N/A – JUSTIFIED","INVALID – N/A needs justification, PIC and verifier")),IF(OR(TRIM(U313)="Pass",TRIM(U313)="Pass after CA"),IF(NOT(ISNUMBER(AD313)),"INVALID – completion time missing",IF(TRIM(T313)="","INVALID – PIC missing",IF(TRIM(Z313)="","INVALID – evidence missing",IF(TRIM(AE313)="","INVALID – verifier missing",IF(AND(AQ313=1,TRIM(W313)=""),"INVALID – batch ID missing",IF(AND(AR313=1,OR(NOT(ISNUMBER(X313)),NOT(ISNUMBER(Y313)))),"INVALID – expected/actual qty missing",IF(IF(AND(TRIM(U313)="Pass",ISNUMBER(AF313)),IF(AF313&lt;&gt;0,"INVALID – qty variance: use Fail or Pass after CA",""),"")&amp;IF(AND(TRIM(U313)="Pass",AB313="Open"),"INVALID – corrective action still open: use Fail, then Pass after CA","")&amp;IF(AND(TRIM(U313)="Pass after CA",OR(TRIM(AA313)="",AB313&lt;&gt;"Closed")),"INVALID – corrective action not recorded/closed","")&lt;&gt;"",IF(AND(TRIM(U313)="Pass",ISNUMBER(AF313)),IF(AF313&lt;&gt;0,"INVALID – qty variance: use Fail or Pass after CA",""),"")&amp;IF(AND(TRIM(U313)="Pass",AB313="Open"),"INVALID – corrective action still open: use Fail, then Pass after CA","")&amp;IF(AND(TRIM(U313)="Pass after CA",OR(TRIM(AA313)="",AB313&lt;&gt;"Closed")),"INVALID – corrective action not recorded/closed",""),IF(AND(AS313=1,Documents!$J$13&lt;&gt;"ON FILE"),"INVALID – GLD not on file (Documents sheet)",IF(AND(AS313=2,Documents!$O$13&lt;&gt;"ON FILE"),"INVALID – menu checklist not on file (Documents sheet)",IF(AND(AS313=3,NOT(ISNUMBER(Flights!$AX$13))),"INVALID – enter carrying flight KUL departure (Flights AX)",IF(AG313&gt;AsOfUTC,"INVALID – completion time is in the future",IF(AND(ISNUMBER(S313),AG313&lt;S313),IF(H313="Physical uplift","INVALID – before uplift window (cannot confirm loading)","INVALID – before valid window"),IF(AG313&gt;Flights!$AA$13,"INVALID – completed after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f>
        <v>OPEN</v>
      </c>
      <c r="AI313" s="61" t="n">
        <f aca="false">IF(OR(AH313="N/A – RULE",AH313="N/A – JUSTIFIED"),0,1)</f>
        <v>1</v>
      </c>
      <c r="AJ313" s="61" t="n">
        <f aca="false">IF(LEFT(AH313,8)="COMPLETE",1,0)</f>
        <v>0</v>
      </c>
      <c r="AK313" s="61" t="n">
        <f aca="false">IF(AND(AI313=1,AJ313=0,AsOfUTC&gt;Q313),1,0)</f>
        <v>0</v>
      </c>
      <c r="AL313" s="61" t="n">
        <f aca="false">IF(AND(AI313=1,OR(TRIM(U313)="Fail",AB313="Open",AND(ISNUMBER(AF313),AF313&lt;&gt;0,TRIM(U313)&lt;&gt;"Pass after CA"))),1,0)</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1</v>
      </c>
    </row>
    <row r="314" customFormat="false" ht="39.75" hidden="false" customHeight="true" outlineLevel="0" collapsed="false">
      <c r="A314" s="57" t="s">
        <v>866</v>
      </c>
      <c r="B314" s="57" t="s">
        <v>236</v>
      </c>
      <c r="C314" s="57" t="str">
        <f aca="false">Flights!$F$13</f>
        <v>MH0753</v>
      </c>
      <c r="D314" s="58" t="n">
        <f aca="false">Flights!$D$13</f>
        <v>46306</v>
      </c>
      <c r="E314" s="57" t="str">
        <f aca="false">Flights!$G$13&amp;"-"&amp;Flights!$H$13</f>
        <v>HAN-KUL</v>
      </c>
      <c r="F314" s="57" t="str">
        <f aca="false">Flights!$K$13</f>
        <v>BC</v>
      </c>
      <c r="G314" s="57" t="s">
        <v>422</v>
      </c>
      <c r="H314" s="57" t="s">
        <v>423</v>
      </c>
      <c r="I314" s="57" t="s">
        <v>462</v>
      </c>
      <c r="J314" s="57" t="s">
        <v>502</v>
      </c>
      <c r="K314" s="67" t="s">
        <v>464</v>
      </c>
      <c r="L314" s="67" t="s">
        <v>845</v>
      </c>
      <c r="M314" s="67" t="s">
        <v>414</v>
      </c>
      <c r="N314" s="67" t="s">
        <v>346</v>
      </c>
      <c r="O314" s="67"/>
      <c r="P314" s="57" t="s">
        <v>230</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IF(N314="N/A – rule","N/A – RULE",IF(TRIM(U314)="N/A",IF(AT314=0,"INVALID – N/A not permitted for this mandatory check",IF(AND(TRIM(AC314)&lt;&gt;"",TRIM(AE314)&lt;&gt;"",TRIM(T314)&lt;&gt;""),"N/A – JUSTIFIED","INVALID – N/A needs justification, PIC and verifier")),IF(OR(TRIM(U314)="Pass",TRIM(U314)="Pass after CA"),IF(NOT(ISNUMBER(AD314)),"INVALID – completion time missing",IF(TRIM(T314)="","INVALID – PIC missing",IF(TRIM(Z314)="","INVALID – evidence missing",IF(TRIM(AE314)="","INVALID – verifier missing",IF(AND(AQ314=1,TRIM(W314)=""),"INVALID – batch ID missing",IF(AND(AR314=1,OR(NOT(ISNUMBER(X314)),NOT(ISNUMBER(Y314)))),"INVALID – expected/actual qty missing",IF(IF(AND(TRIM(U314)="Pass",ISNUMBER(AF314)),IF(AF314&lt;&gt;0,"INVALID – qty variance: use Fail or Pass after CA",""),"")&amp;IF(AND(TRIM(U314)="Pass",AB314="Open"),"INVALID – corrective action still open: use Fail, then Pass after CA","")&amp;IF(AND(TRIM(U314)="Pass after CA",OR(TRIM(AA314)="",AB314&lt;&gt;"Closed")),"INVALID – corrective action not recorded/closed","")&lt;&gt;"",IF(AND(TRIM(U314)="Pass",ISNUMBER(AF314)),IF(AF314&lt;&gt;0,"INVALID – qty variance: use Fail or Pass after CA",""),"")&amp;IF(AND(TRIM(U314)="Pass",AB314="Open"),"INVALID – corrective action still open: use Fail, then Pass after CA","")&amp;IF(AND(TRIM(U314)="Pass after CA",OR(TRIM(AA314)="",AB314&lt;&gt;"Closed")),"INVALID – corrective action not recorded/closed",""),IF(AND(AS314=1,Documents!$J$13&lt;&gt;"ON FILE"),"INVALID – GLD not on file (Documents sheet)",IF(AND(AS314=2,Documents!$O$13&lt;&gt;"ON FILE"),"INVALID – menu checklist not on file (Documents sheet)",IF(AND(AS314=3,NOT(ISNUMBER(Flights!$AX$13))),"INVALID – enter carrying flight KUL departure (Flights AX)",IF(AG314&gt;AsOfUTC,"INVALID – completion time is in the future",IF(AND(ISNUMBER(S314),AG314&lt;S314),IF(H314="Physical uplift","INVALID – before uplift window (cannot confirm loading)","INVALID – before valid window"),IF(AG314&gt;Flights!$AA$13,"INVALID – completed after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f>
        <v>OPEN</v>
      </c>
      <c r="AI314" s="61" t="n">
        <f aca="false">IF(OR(AH314="N/A – RULE",AH314="N/A – JUSTIFIED"),0,1)</f>
        <v>1</v>
      </c>
      <c r="AJ314" s="61" t="n">
        <f aca="false">IF(LEFT(AH314,8)="COMPLETE",1,0)</f>
        <v>0</v>
      </c>
      <c r="AK314" s="61" t="n">
        <f aca="false">IF(AND(AI314=1,AJ314=0,AsOfUTC&gt;Q314),1,0)</f>
        <v>0</v>
      </c>
      <c r="AL314" s="61" t="n">
        <f aca="false">IF(AND(AI314=1,OR(TRIM(U314)="Fail",AB314="Open",AND(ISNUMBER(AF314),AF314&lt;&gt;0,TRIM(U314)&lt;&gt;"Pass after CA"))),1,0)</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1</v>
      </c>
    </row>
    <row r="315" customFormat="false" ht="39.75" hidden="false" customHeight="true" outlineLevel="0" collapsed="false">
      <c r="A315" s="57" t="s">
        <v>867</v>
      </c>
      <c r="B315" s="57" t="s">
        <v>236</v>
      </c>
      <c r="C315" s="57" t="str">
        <f aca="false">Flights!$F$13</f>
        <v>MH0753</v>
      </c>
      <c r="D315" s="58" t="n">
        <f aca="false">Flights!$D$13</f>
        <v>46306</v>
      </c>
      <c r="E315" s="57" t="str">
        <f aca="false">Flights!$G$13&amp;"-"&amp;Flights!$H$13</f>
        <v>HAN-KUL</v>
      </c>
      <c r="F315" s="57" t="str">
        <f aca="false">Flights!$K$13</f>
        <v>BC</v>
      </c>
      <c r="G315" s="57" t="s">
        <v>422</v>
      </c>
      <c r="H315" s="57" t="s">
        <v>423</v>
      </c>
      <c r="I315" s="57" t="s">
        <v>462</v>
      </c>
      <c r="J315" s="57" t="s">
        <v>504</v>
      </c>
      <c r="K315" s="67" t="s">
        <v>464</v>
      </c>
      <c r="L315" s="67" t="s">
        <v>847</v>
      </c>
      <c r="M315" s="67" t="s">
        <v>414</v>
      </c>
      <c r="N315" s="67" t="s">
        <v>346</v>
      </c>
      <c r="O315" s="67"/>
      <c r="P315" s="57" t="s">
        <v>230</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IF(N315="N/A – rule","N/A – RULE",IF(TRIM(U315)="N/A",IF(AT315=0,"INVALID – N/A not permitted for this mandatory check",IF(AND(TRIM(AC315)&lt;&gt;"",TRIM(AE315)&lt;&gt;"",TRIM(T315)&lt;&gt;""),"N/A – JUSTIFIED","INVALID – N/A needs justification, PIC and verifier")),IF(OR(TRIM(U315)="Pass",TRIM(U315)="Pass after CA"),IF(NOT(ISNUMBER(AD315)),"INVALID – completion time missing",IF(TRIM(T315)="","INVALID – PIC missing",IF(TRIM(Z315)="","INVALID – evidence missing",IF(TRIM(AE315)="","INVALID – verifier missing",IF(AND(AQ315=1,TRIM(W315)=""),"INVALID – batch ID missing",IF(AND(AR315=1,OR(NOT(ISNUMBER(X315)),NOT(ISNUMBER(Y315)))),"INVALID – expected/actual qty missing",IF(IF(AND(TRIM(U315)="Pass",ISNUMBER(AF315)),IF(AF315&lt;&gt;0,"INVALID – qty variance: use Fail or Pass after CA",""),"")&amp;IF(AND(TRIM(U315)="Pass",AB315="Open"),"INVALID – corrective action still open: use Fail, then Pass after CA","")&amp;IF(AND(TRIM(U315)="Pass after CA",OR(TRIM(AA315)="",AB315&lt;&gt;"Closed")),"INVALID – corrective action not recorded/closed","")&lt;&gt;"",IF(AND(TRIM(U315)="Pass",ISNUMBER(AF315)),IF(AF315&lt;&gt;0,"INVALID – qty variance: use Fail or Pass after CA",""),"")&amp;IF(AND(TRIM(U315)="Pass",AB315="Open"),"INVALID – corrective action still open: use Fail, then Pass after CA","")&amp;IF(AND(TRIM(U315)="Pass after CA",OR(TRIM(AA315)="",AB315&lt;&gt;"Closed")),"INVALID – corrective action not recorded/closed",""),IF(AND(AS315=1,Documents!$J$13&lt;&gt;"ON FILE"),"INVALID – GLD not on file (Documents sheet)",IF(AND(AS315=2,Documents!$O$13&lt;&gt;"ON FILE"),"INVALID – menu checklist not on file (Documents sheet)",IF(AND(AS315=3,NOT(ISNUMBER(Flights!$AX$13))),"INVALID – enter carrying flight KUL departure (Flights AX)",IF(AG315&gt;AsOfUTC,"INVALID – completion time is in the future",IF(AND(ISNUMBER(S315),AG315&lt;S315),IF(H315="Physical uplift","INVALID – before uplift window (cannot confirm loading)","INVALID – before valid window"),IF(AG315&gt;Flights!$AA$13,"INVALID – completed after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f>
        <v>OPEN</v>
      </c>
      <c r="AI315" s="61" t="n">
        <f aca="false">IF(OR(AH315="N/A – RULE",AH315="N/A – JUSTIFIED"),0,1)</f>
        <v>1</v>
      </c>
      <c r="AJ315" s="61" t="n">
        <f aca="false">IF(LEFT(AH315,8)="COMPLETE",1,0)</f>
        <v>0</v>
      </c>
      <c r="AK315" s="61" t="n">
        <f aca="false">IF(AND(AI315=1,AJ315=0,AsOfUTC&gt;Q315),1,0)</f>
        <v>0</v>
      </c>
      <c r="AL315" s="61" t="n">
        <f aca="false">IF(AND(AI315=1,OR(TRIM(U315)="Fail",AB315="Open",AND(ISNUMBER(AF315),AF315&lt;&gt;0,TRIM(U315)&lt;&gt;"Pass after CA"))),1,0)</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1</v>
      </c>
    </row>
    <row r="316" customFormat="false" ht="78.75" hidden="false" customHeight="true" outlineLevel="0" collapsed="false">
      <c r="A316" s="57" t="s">
        <v>868</v>
      </c>
      <c r="B316" s="57" t="s">
        <v>236</v>
      </c>
      <c r="C316" s="57" t="str">
        <f aca="false">Flights!$F$13</f>
        <v>MH0753</v>
      </c>
      <c r="D316" s="58" t="n">
        <f aca="false">Flights!$D$13</f>
        <v>46306</v>
      </c>
      <c r="E316" s="57" t="str">
        <f aca="false">Flights!$G$13&amp;"-"&amp;Flights!$H$13</f>
        <v>HAN-KUL</v>
      </c>
      <c r="F316" s="57" t="str">
        <f aca="false">Flights!$K$13</f>
        <v>BC</v>
      </c>
      <c r="G316" s="57" t="s">
        <v>422</v>
      </c>
      <c r="H316" s="57" t="s">
        <v>423</v>
      </c>
      <c r="I316" s="57" t="s">
        <v>462</v>
      </c>
      <c r="J316" s="57" t="s">
        <v>506</v>
      </c>
      <c r="K316" s="67" t="s">
        <v>464</v>
      </c>
      <c r="L316" s="67" t="s">
        <v>849</v>
      </c>
      <c r="M316" s="67" t="s">
        <v>414</v>
      </c>
      <c r="N316" s="67" t="s">
        <v>407</v>
      </c>
      <c r="O316" s="67" t="s">
        <v>507</v>
      </c>
      <c r="P316" s="57" t="s">
        <v>230</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IF(N316="N/A – rule","N/A – RULE",IF(TRIM(U316)="N/A",IF(AT316=0,"INVALID – N/A not permitted for this mandatory check",IF(AND(TRIM(AC316)&lt;&gt;"",TRIM(AE316)&lt;&gt;"",TRIM(T316)&lt;&gt;""),"N/A – JUSTIFIED","INVALID – N/A needs justification, PIC and verifier")),IF(OR(TRIM(U316)="Pass",TRIM(U316)="Pass after CA"),IF(NOT(ISNUMBER(AD316)),"INVALID – completion time missing",IF(TRIM(T316)="","INVALID – PIC missing",IF(TRIM(Z316)="","INVALID – evidence missing",IF(TRIM(AE316)="","INVALID – verifier missing",IF(AND(AQ316=1,TRIM(W316)=""),"INVALID – batch ID missing",IF(AND(AR316=1,OR(NOT(ISNUMBER(X316)),NOT(ISNUMBER(Y316)))),"INVALID – expected/actual qty missing",IF(IF(AND(TRIM(U316)="Pass",ISNUMBER(AF316)),IF(AF316&lt;&gt;0,"INVALID – qty variance: use Fail or Pass after CA",""),"")&amp;IF(AND(TRIM(U316)="Pass",AB316="Open"),"INVALID – corrective action still open: use Fail, then Pass after CA","")&amp;IF(AND(TRIM(U316)="Pass after CA",OR(TRIM(AA316)="",AB316&lt;&gt;"Closed")),"INVALID – corrective action not recorded/closed","")&lt;&gt;"",IF(AND(TRIM(U316)="Pass",ISNUMBER(AF316)),IF(AF316&lt;&gt;0,"INVALID – qty variance: use Fail or Pass after CA",""),"")&amp;IF(AND(TRIM(U316)="Pass",AB316="Open"),"INVALID – corrective action still open: use Fail, then Pass after CA","")&amp;IF(AND(TRIM(U316)="Pass after CA",OR(TRIM(AA316)="",AB316&lt;&gt;"Closed")),"INVALID – corrective action not recorded/closed",""),IF(AND(AS316=1,Documents!$J$13&lt;&gt;"ON FILE"),"INVALID – GLD not on file (Documents sheet)",IF(AND(AS316=2,Documents!$O$13&lt;&gt;"ON FILE"),"INVALID – menu checklist not on file (Documents sheet)",IF(AND(AS316=3,NOT(ISNUMBER(Flights!$AX$13))),"INVALID – enter carrying flight KUL departure (Flights AX)",IF(AG316&gt;AsOfUTC,"INVALID – completion time is in the future",IF(AND(ISNUMBER(S316),AG316&lt;S316),IF(H316="Physical uplift","INVALID – before uplift window (cannot confirm loading)","INVALID – before valid window"),IF(AG316&gt;Flights!$AA$13,"INVALID – completed after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f>
        <v>OPEN – CLARIFICATION</v>
      </c>
      <c r="AI316" s="61" t="n">
        <f aca="false">IF(OR(AH316="N/A – RULE",AH316="N/A – JUSTIFIED"),0,1)</f>
        <v>1</v>
      </c>
      <c r="AJ316" s="61" t="n">
        <f aca="false">IF(LEFT(AH316,8)="COMPLETE",1,0)</f>
        <v>0</v>
      </c>
      <c r="AK316" s="61" t="n">
        <f aca="false">IF(AND(AI316=1,AJ316=0,AsOfUTC&gt;Q316),1,0)</f>
        <v>0</v>
      </c>
      <c r="AL316" s="61" t="n">
        <f aca="false">IF(AND(AI316=1,OR(TRIM(U316)="Fail",AB316="Open",AND(ISNUMBER(AF316),AF316&lt;&gt;0,TRIM(U316)&lt;&gt;"Pass after CA"))),1,0)</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row>
    <row r="317" customFormat="false" ht="78.75" hidden="false" customHeight="true" outlineLevel="0" collapsed="false">
      <c r="A317" s="57" t="s">
        <v>869</v>
      </c>
      <c r="B317" s="57" t="s">
        <v>236</v>
      </c>
      <c r="C317" s="57" t="str">
        <f aca="false">Flights!$F$13</f>
        <v>MH0753</v>
      </c>
      <c r="D317" s="58" t="n">
        <f aca="false">Flights!$D$13</f>
        <v>46306</v>
      </c>
      <c r="E317" s="57" t="str">
        <f aca="false">Flights!$G$13&amp;"-"&amp;Flights!$H$13</f>
        <v>HAN-KUL</v>
      </c>
      <c r="F317" s="57" t="str">
        <f aca="false">Flights!$K$13</f>
        <v>BC</v>
      </c>
      <c r="G317" s="57" t="s">
        <v>422</v>
      </c>
      <c r="H317" s="57" t="s">
        <v>423</v>
      </c>
      <c r="I317" s="57" t="s">
        <v>462</v>
      </c>
      <c r="J317" s="57" t="s">
        <v>509</v>
      </c>
      <c r="K317" s="67" t="s">
        <v>464</v>
      </c>
      <c r="L317" s="67" t="s">
        <v>852</v>
      </c>
      <c r="M317" s="67" t="s">
        <v>414</v>
      </c>
      <c r="N317" s="67" t="s">
        <v>407</v>
      </c>
      <c r="O317" s="67" t="s">
        <v>507</v>
      </c>
      <c r="P317" s="57" t="s">
        <v>230</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IF(N317="N/A – rule","N/A – RULE",IF(TRIM(U317)="N/A",IF(AT317=0,"INVALID – N/A not permitted for this mandatory check",IF(AND(TRIM(AC317)&lt;&gt;"",TRIM(AE317)&lt;&gt;"",TRIM(T317)&lt;&gt;""),"N/A – JUSTIFIED","INVALID – N/A needs justification, PIC and verifier")),IF(OR(TRIM(U317)="Pass",TRIM(U317)="Pass after CA"),IF(NOT(ISNUMBER(AD317)),"INVALID – completion time missing",IF(TRIM(T317)="","INVALID – PIC missing",IF(TRIM(Z317)="","INVALID – evidence missing",IF(TRIM(AE317)="","INVALID – verifier missing",IF(AND(AQ317=1,TRIM(W317)=""),"INVALID – batch ID missing",IF(AND(AR317=1,OR(NOT(ISNUMBER(X317)),NOT(ISNUMBER(Y317)))),"INVALID – expected/actual qty missing",IF(IF(AND(TRIM(U317)="Pass",ISNUMBER(AF317)),IF(AF317&lt;&gt;0,"INVALID – qty variance: use Fail or Pass after CA",""),"")&amp;IF(AND(TRIM(U317)="Pass",AB317="Open"),"INVALID – corrective action still open: use Fail, then Pass after CA","")&amp;IF(AND(TRIM(U317)="Pass after CA",OR(TRIM(AA317)="",AB317&lt;&gt;"Closed")),"INVALID – corrective action not recorded/closed","")&lt;&gt;"",IF(AND(TRIM(U317)="Pass",ISNUMBER(AF317)),IF(AF317&lt;&gt;0,"INVALID – qty variance: use Fail or Pass after CA",""),"")&amp;IF(AND(TRIM(U317)="Pass",AB317="Open"),"INVALID – corrective action still open: use Fail, then Pass after CA","")&amp;IF(AND(TRIM(U317)="Pass after CA",OR(TRIM(AA317)="",AB317&lt;&gt;"Closed")),"INVALID – corrective action not recorded/closed",""),IF(AND(AS317=1,Documents!$J$13&lt;&gt;"ON FILE"),"INVALID – GLD not on file (Documents sheet)",IF(AND(AS317=2,Documents!$O$13&lt;&gt;"ON FILE"),"INVALID – menu checklist not on file (Documents sheet)",IF(AND(AS317=3,NOT(ISNUMBER(Flights!$AX$13))),"INVALID – enter carrying flight KUL departure (Flights AX)",IF(AG317&gt;AsOfUTC,"INVALID – completion time is in the future",IF(AND(ISNUMBER(S317),AG317&lt;S317),IF(H317="Physical uplift","INVALID – before uplift window (cannot confirm loading)","INVALID – before valid window"),IF(AG317&gt;Flights!$AA$13,"INVALID – completed after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f>
        <v>OPEN – CLARIFICATION</v>
      </c>
      <c r="AI317" s="61" t="n">
        <f aca="false">IF(OR(AH317="N/A – RULE",AH317="N/A – JUSTIFIED"),0,1)</f>
        <v>1</v>
      </c>
      <c r="AJ317" s="61" t="n">
        <f aca="false">IF(LEFT(AH317,8)="COMPLETE",1,0)</f>
        <v>0</v>
      </c>
      <c r="AK317" s="61" t="n">
        <f aca="false">IF(AND(AI317=1,AJ317=0,AsOfUTC&gt;Q317),1,0)</f>
        <v>0</v>
      </c>
      <c r="AL317" s="61" t="n">
        <f aca="false">IF(AND(AI317=1,OR(TRIM(U317)="Fail",AB317="Open",AND(ISNUMBER(AF317),AF317&lt;&gt;0,TRIM(U317)&lt;&gt;"Pass after CA"))),1,0)</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row>
    <row r="318" customFormat="false" ht="39.75" hidden="false" customHeight="true" outlineLevel="0" collapsed="false">
      <c r="A318" s="57" t="s">
        <v>870</v>
      </c>
      <c r="B318" s="57" t="s">
        <v>236</v>
      </c>
      <c r="C318" s="57" t="str">
        <f aca="false">Flights!$F$13</f>
        <v>MH0753</v>
      </c>
      <c r="D318" s="58" t="n">
        <f aca="false">Flights!$D$13</f>
        <v>46306</v>
      </c>
      <c r="E318" s="57" t="str">
        <f aca="false">Flights!$G$13&amp;"-"&amp;Flights!$H$13</f>
        <v>HAN-KUL</v>
      </c>
      <c r="F318" s="57" t="str">
        <f aca="false">Flights!$K$13</f>
        <v>BC</v>
      </c>
      <c r="G318" s="57" t="s">
        <v>422</v>
      </c>
      <c r="H318" s="57" t="s">
        <v>423</v>
      </c>
      <c r="I318" s="57" t="s">
        <v>462</v>
      </c>
      <c r="J318" s="57" t="s">
        <v>511</v>
      </c>
      <c r="K318" s="67" t="s">
        <v>482</v>
      </c>
      <c r="L318" s="67" t="s">
        <v>854</v>
      </c>
      <c r="M318" s="67" t="s">
        <v>414</v>
      </c>
      <c r="N318" s="67" t="s">
        <v>346</v>
      </c>
      <c r="O318" s="67" t="s">
        <v>512</v>
      </c>
      <c r="P318" s="57" t="s">
        <v>230</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IF(N318="N/A – rule","N/A – RULE",IF(TRIM(U318)="N/A",IF(AT318=0,"INVALID – N/A not permitted for this mandatory check",IF(AND(TRIM(AC318)&lt;&gt;"",TRIM(AE318)&lt;&gt;"",TRIM(T318)&lt;&gt;""),"N/A – JUSTIFIED","INVALID – N/A needs justification, PIC and verifier")),IF(OR(TRIM(U318)="Pass",TRIM(U318)="Pass after CA"),IF(NOT(ISNUMBER(AD318)),"INVALID – completion time missing",IF(TRIM(T318)="","INVALID – PIC missing",IF(TRIM(Z318)="","INVALID – evidence missing",IF(TRIM(AE318)="","INVALID – verifier missing",IF(AND(AQ318=1,TRIM(W318)=""),"INVALID – batch ID missing",IF(AND(AR318=1,OR(NOT(ISNUMBER(X318)),NOT(ISNUMBER(Y318)))),"INVALID – expected/actual qty missing",IF(IF(AND(TRIM(U318)="Pass",ISNUMBER(AF318)),IF(AF318&lt;&gt;0,"INVALID – qty variance: use Fail or Pass after CA",""),"")&amp;IF(AND(TRIM(U318)="Pass",AB318="Open"),"INVALID – corrective action still open: use Fail, then Pass after CA","")&amp;IF(AND(TRIM(U318)="Pass after CA",OR(TRIM(AA318)="",AB318&lt;&gt;"Closed")),"INVALID – corrective action not recorded/closed","")&lt;&gt;"",IF(AND(TRIM(U318)="Pass",ISNUMBER(AF318)),IF(AF318&lt;&gt;0,"INVALID – qty variance: use Fail or Pass after CA",""),"")&amp;IF(AND(TRIM(U318)="Pass",AB318="Open"),"INVALID – corrective action still open: use Fail, then Pass after CA","")&amp;IF(AND(TRIM(U318)="Pass after CA",OR(TRIM(AA318)="",AB318&lt;&gt;"Closed")),"INVALID – corrective action not recorded/closed",""),IF(AND(AS318=1,Documents!$J$13&lt;&gt;"ON FILE"),"INVALID – GLD not on file (Documents sheet)",IF(AND(AS318=2,Documents!$O$13&lt;&gt;"ON FILE"),"INVALID – menu checklist not on file (Documents sheet)",IF(AND(AS318=3,NOT(ISNUMBER(Flights!$AX$13))),"INVALID – enter carrying flight KUL departure (Flights AX)",IF(AG318&gt;AsOfUTC,"INVALID – completion time is in the future",IF(AND(ISNUMBER(S318),AG318&lt;S318),IF(H318="Physical uplift","INVALID – before uplift window (cannot confirm loading)","INVALID – before valid window"),IF(AG318&gt;Flights!$AA$13,"INVALID – completed after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f>
        <v>OPEN</v>
      </c>
      <c r="AI318" s="61" t="n">
        <f aca="false">IF(OR(AH318="N/A – RULE",AH318="N/A – JUSTIFIED"),0,1)</f>
        <v>1</v>
      </c>
      <c r="AJ318" s="61" t="n">
        <f aca="false">IF(LEFT(AH318,8)="COMPLETE",1,0)</f>
        <v>0</v>
      </c>
      <c r="AK318" s="61" t="n">
        <f aca="false">IF(AND(AI318=1,AJ318=0,AsOfUTC&gt;Q318),1,0)</f>
        <v>0</v>
      </c>
      <c r="AL318" s="61" t="n">
        <f aca="false">IF(AND(AI318=1,OR(TRIM(U318)="Fail",AB318="Open",AND(ISNUMBER(AF318),AF318&lt;&gt;0,TRIM(U318)&lt;&gt;"Pass after CA"))),1,0)</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1</v>
      </c>
    </row>
    <row r="319" customFormat="false" ht="39.75" hidden="false" customHeight="true" outlineLevel="0" collapsed="false">
      <c r="A319" s="57" t="s">
        <v>871</v>
      </c>
      <c r="B319" s="57" t="s">
        <v>236</v>
      </c>
      <c r="C319" s="57" t="str">
        <f aca="false">Flights!$F$13</f>
        <v>MH0753</v>
      </c>
      <c r="D319" s="58" t="n">
        <f aca="false">Flights!$D$13</f>
        <v>46306</v>
      </c>
      <c r="E319" s="57" t="str">
        <f aca="false">Flights!$G$13&amp;"-"&amp;Flights!$H$13</f>
        <v>HAN-KUL</v>
      </c>
      <c r="F319" s="57" t="str">
        <f aca="false">Flights!$K$13</f>
        <v>BC</v>
      </c>
      <c r="G319" s="57" t="s">
        <v>422</v>
      </c>
      <c r="H319" s="57" t="s">
        <v>423</v>
      </c>
      <c r="I319" s="57" t="s">
        <v>462</v>
      </c>
      <c r="J319" s="57" t="s">
        <v>514</v>
      </c>
      <c r="K319" s="67" t="s">
        <v>464</v>
      </c>
      <c r="L319" s="67" t="s">
        <v>857</v>
      </c>
      <c r="M319" s="67" t="s">
        <v>414</v>
      </c>
      <c r="N319" s="67" t="s">
        <v>346</v>
      </c>
      <c r="O319" s="67"/>
      <c r="P319" s="57" t="s">
        <v>230</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IF(N319="N/A – rule","N/A – RULE",IF(TRIM(U319)="N/A",IF(AT319=0,"INVALID – N/A not permitted for this mandatory check",IF(AND(TRIM(AC319)&lt;&gt;"",TRIM(AE319)&lt;&gt;"",TRIM(T319)&lt;&gt;""),"N/A – JUSTIFIED","INVALID – N/A needs justification, PIC and verifier")),IF(OR(TRIM(U319)="Pass",TRIM(U319)="Pass after CA"),IF(NOT(ISNUMBER(AD319)),"INVALID – completion time missing",IF(TRIM(T319)="","INVALID – PIC missing",IF(TRIM(Z319)="","INVALID – evidence missing",IF(TRIM(AE319)="","INVALID – verifier missing",IF(AND(AQ319=1,TRIM(W319)=""),"INVALID – batch ID missing",IF(AND(AR319=1,OR(NOT(ISNUMBER(X319)),NOT(ISNUMBER(Y319)))),"INVALID – expected/actual qty missing",IF(IF(AND(TRIM(U319)="Pass",ISNUMBER(AF319)),IF(AF319&lt;&gt;0,"INVALID – qty variance: use Fail or Pass after CA",""),"")&amp;IF(AND(TRIM(U319)="Pass",AB319="Open"),"INVALID – corrective action still open: use Fail, then Pass after CA","")&amp;IF(AND(TRIM(U319)="Pass after CA",OR(TRIM(AA319)="",AB319&lt;&gt;"Closed")),"INVALID – corrective action not recorded/closed","")&lt;&gt;"",IF(AND(TRIM(U319)="Pass",ISNUMBER(AF319)),IF(AF319&lt;&gt;0,"INVALID – qty variance: use Fail or Pass after CA",""),"")&amp;IF(AND(TRIM(U319)="Pass",AB319="Open"),"INVALID – corrective action still open: use Fail, then Pass after CA","")&amp;IF(AND(TRIM(U319)="Pass after CA",OR(TRIM(AA319)="",AB319&lt;&gt;"Closed")),"INVALID – corrective action not recorded/closed",""),IF(AND(AS319=1,Documents!$J$13&lt;&gt;"ON FILE"),"INVALID – GLD not on file (Documents sheet)",IF(AND(AS319=2,Documents!$O$13&lt;&gt;"ON FILE"),"INVALID – menu checklist not on file (Documents sheet)",IF(AND(AS319=3,NOT(ISNUMBER(Flights!$AX$13))),"INVALID – enter carrying flight KUL departure (Flights AX)",IF(AG319&gt;AsOfUTC,"INVALID – completion time is in the future",IF(AND(ISNUMBER(S319),AG319&lt;S319),IF(H319="Physical uplift","INVALID – before uplift window (cannot confirm loading)","INVALID – before valid window"),IF(AG319&gt;Flights!$AA$13,"INVALID – completed after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f>
        <v>OPEN</v>
      </c>
      <c r="AI319" s="61" t="n">
        <f aca="false">IF(OR(AH319="N/A – RULE",AH319="N/A – JUSTIFIED"),0,1)</f>
        <v>1</v>
      </c>
      <c r="AJ319" s="61" t="n">
        <f aca="false">IF(LEFT(AH319,8)="COMPLETE",1,0)</f>
        <v>0</v>
      </c>
      <c r="AK319" s="61" t="n">
        <f aca="false">IF(AND(AI319=1,AJ319=0,AsOfUTC&gt;Q319),1,0)</f>
        <v>0</v>
      </c>
      <c r="AL319" s="61" t="n">
        <f aca="false">IF(AND(AI319=1,OR(TRIM(U319)="Fail",AB319="Open",AND(ISNUMBER(AF319),AF319&lt;&gt;0,TRIM(U319)&lt;&gt;"Pass after CA"))),1,0)</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1</v>
      </c>
    </row>
    <row r="320" customFormat="false" ht="39.75" hidden="false" customHeight="true" outlineLevel="0" collapsed="false">
      <c r="A320" s="57" t="s">
        <v>872</v>
      </c>
      <c r="B320" s="57" t="s">
        <v>236</v>
      </c>
      <c r="C320" s="57" t="str">
        <f aca="false">Flights!$F$13</f>
        <v>MH0753</v>
      </c>
      <c r="D320" s="58" t="n">
        <f aca="false">Flights!$D$13</f>
        <v>46306</v>
      </c>
      <c r="E320" s="57" t="str">
        <f aca="false">Flights!$G$13&amp;"-"&amp;Flights!$H$13</f>
        <v>HAN-KUL</v>
      </c>
      <c r="F320" s="57" t="str">
        <f aca="false">Flights!$K$13</f>
        <v>BC</v>
      </c>
      <c r="G320" s="57" t="s">
        <v>422</v>
      </c>
      <c r="H320" s="57" t="s">
        <v>423</v>
      </c>
      <c r="I320" s="57" t="s">
        <v>410</v>
      </c>
      <c r="J320" s="57" t="s">
        <v>516</v>
      </c>
      <c r="K320" s="67" t="s">
        <v>412</v>
      </c>
      <c r="L320" s="67" t="s">
        <v>859</v>
      </c>
      <c r="M320" s="67" t="s">
        <v>414</v>
      </c>
      <c r="N320" s="67" t="s">
        <v>346</v>
      </c>
      <c r="O320" s="67"/>
      <c r="P320" s="57" t="s">
        <v>230</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IF(N320="N/A – rule","N/A – RULE",IF(TRIM(U320)="N/A",IF(AT320=0,"INVALID – N/A not permitted for this mandatory check",IF(AND(TRIM(AC320)&lt;&gt;"",TRIM(AE320)&lt;&gt;"",TRIM(T320)&lt;&gt;""),"N/A – JUSTIFIED","INVALID – N/A needs justification, PIC and verifier")),IF(OR(TRIM(U320)="Pass",TRIM(U320)="Pass after CA"),IF(NOT(ISNUMBER(AD320)),"INVALID – completion time missing",IF(TRIM(T320)="","INVALID – PIC missing",IF(TRIM(Z320)="","INVALID – evidence missing",IF(TRIM(AE320)="","INVALID – verifier missing",IF(AND(AQ320=1,TRIM(W320)=""),"INVALID – batch ID missing",IF(AND(AR320=1,OR(NOT(ISNUMBER(X320)),NOT(ISNUMBER(Y320)))),"INVALID – expected/actual qty missing",IF(IF(AND(TRIM(U320)="Pass",ISNUMBER(AF320)),IF(AF320&lt;&gt;0,"INVALID – qty variance: use Fail or Pass after CA",""),"")&amp;IF(AND(TRIM(U320)="Pass",AB320="Open"),"INVALID – corrective action still open: use Fail, then Pass after CA","")&amp;IF(AND(TRIM(U320)="Pass after CA",OR(TRIM(AA320)="",AB320&lt;&gt;"Closed")),"INVALID – corrective action not recorded/closed","")&lt;&gt;"",IF(AND(TRIM(U320)="Pass",ISNUMBER(AF320)),IF(AF320&lt;&gt;0,"INVALID – qty variance: use Fail or Pass after CA",""),"")&amp;IF(AND(TRIM(U320)="Pass",AB320="Open"),"INVALID – corrective action still open: use Fail, then Pass after CA","")&amp;IF(AND(TRIM(U320)="Pass after CA",OR(TRIM(AA320)="",AB320&lt;&gt;"Closed")),"INVALID – corrective action not recorded/closed",""),IF(AND(AS320=1,Documents!$J$13&lt;&gt;"ON FILE"),"INVALID – GLD not on file (Documents sheet)",IF(AND(AS320=2,Documents!$O$13&lt;&gt;"ON FILE"),"INVALID – menu checklist not on file (Documents sheet)",IF(AND(AS320=3,NOT(ISNUMBER(Flights!$AX$13))),"INVALID – enter carrying flight KUL departure (Flights AX)",IF(AG320&gt;AsOfUTC,"INVALID – completion time is in the future",IF(AND(ISNUMBER(S320),AG320&lt;S320),IF(H320="Physical uplift","INVALID – before uplift window (cannot confirm loading)","INVALID – before valid window"),IF(AG320&gt;Flights!$AA$13,"INVALID – completed after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f>
        <v>OPEN</v>
      </c>
      <c r="AI320" s="61" t="n">
        <f aca="false">IF(OR(AH320="N/A – RULE",AH320="N/A – JUSTIFIED"),0,1)</f>
        <v>1</v>
      </c>
      <c r="AJ320" s="61" t="n">
        <f aca="false">IF(LEFT(AH320,8)="COMPLETE",1,0)</f>
        <v>0</v>
      </c>
      <c r="AK320" s="61" t="n">
        <f aca="false">IF(AND(AI320=1,AJ320=0,AsOfUTC&gt;Q320),1,0)</f>
        <v>0</v>
      </c>
      <c r="AL320" s="61" t="n">
        <f aca="false">IF(AND(AI320=1,OR(TRIM(U320)="Fail",AB320="Open",AND(ISNUMBER(AF320),AF320&lt;&gt;0,TRIM(U320)&lt;&gt;"Pass after CA"))),1,0)</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1</v>
      </c>
    </row>
    <row r="321" customFormat="false" ht="39.75" hidden="false" customHeight="true" outlineLevel="0" collapsed="false">
      <c r="A321" s="57" t="s">
        <v>873</v>
      </c>
      <c r="B321" s="57" t="s">
        <v>236</v>
      </c>
      <c r="C321" s="57" t="str">
        <f aca="false">Flights!$F$13</f>
        <v>MH0753</v>
      </c>
      <c r="D321" s="58" t="n">
        <f aca="false">Flights!$D$13</f>
        <v>46306</v>
      </c>
      <c r="E321" s="57" t="str">
        <f aca="false">Flights!$G$13&amp;"-"&amp;Flights!$H$13</f>
        <v>HAN-KUL</v>
      </c>
      <c r="F321" s="57" t="str">
        <f aca="false">Flights!$K$13</f>
        <v>BC</v>
      </c>
      <c r="G321" s="57" t="s">
        <v>422</v>
      </c>
      <c r="H321" s="57" t="s">
        <v>423</v>
      </c>
      <c r="I321" s="57" t="s">
        <v>410</v>
      </c>
      <c r="J321" s="57" t="s">
        <v>518</v>
      </c>
      <c r="K321" s="67" t="s">
        <v>412</v>
      </c>
      <c r="L321" s="67" t="s">
        <v>861</v>
      </c>
      <c r="M321" s="67" t="s">
        <v>414</v>
      </c>
      <c r="N321" s="67" t="s">
        <v>346</v>
      </c>
      <c r="O321" s="67"/>
      <c r="P321" s="57" t="s">
        <v>230</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IF(N321="N/A – rule","N/A – RULE",IF(TRIM(U321)="N/A",IF(AT321=0,"INVALID – N/A not permitted for this mandatory check",IF(AND(TRIM(AC321)&lt;&gt;"",TRIM(AE321)&lt;&gt;"",TRIM(T321)&lt;&gt;""),"N/A – JUSTIFIED","INVALID – N/A needs justification, PIC and verifier")),IF(OR(TRIM(U321)="Pass",TRIM(U321)="Pass after CA"),IF(NOT(ISNUMBER(AD321)),"INVALID – completion time missing",IF(TRIM(T321)="","INVALID – PIC missing",IF(TRIM(Z321)="","INVALID – evidence missing",IF(TRIM(AE321)="","INVALID – verifier missing",IF(AND(AQ321=1,TRIM(W321)=""),"INVALID – batch ID missing",IF(AND(AR321=1,OR(NOT(ISNUMBER(X321)),NOT(ISNUMBER(Y321)))),"INVALID – expected/actual qty missing",IF(IF(AND(TRIM(U321)="Pass",ISNUMBER(AF321)),IF(AF321&lt;&gt;0,"INVALID – qty variance: use Fail or Pass after CA",""),"")&amp;IF(AND(TRIM(U321)="Pass",AB321="Open"),"INVALID – corrective action still open: use Fail, then Pass after CA","")&amp;IF(AND(TRIM(U321)="Pass after CA",OR(TRIM(AA321)="",AB321&lt;&gt;"Closed")),"INVALID – corrective action not recorded/closed","")&lt;&gt;"",IF(AND(TRIM(U321)="Pass",ISNUMBER(AF321)),IF(AF321&lt;&gt;0,"INVALID – qty variance: use Fail or Pass after CA",""),"")&amp;IF(AND(TRIM(U321)="Pass",AB321="Open"),"INVALID – corrective action still open: use Fail, then Pass after CA","")&amp;IF(AND(TRIM(U321)="Pass after CA",OR(TRIM(AA321)="",AB321&lt;&gt;"Closed")),"INVALID – corrective action not recorded/closed",""),IF(AND(AS321=1,Documents!$J$13&lt;&gt;"ON FILE"),"INVALID – GLD not on file (Documents sheet)",IF(AND(AS321=2,Documents!$O$13&lt;&gt;"ON FILE"),"INVALID – menu checklist not on file (Documents sheet)",IF(AND(AS321=3,NOT(ISNUMBER(Flights!$AX$13))),"INVALID – enter carrying flight KUL departure (Flights AX)",IF(AG321&gt;AsOfUTC,"INVALID – completion time is in the future",IF(AND(ISNUMBER(S321),AG321&lt;S321),IF(H321="Physical uplift","INVALID – before uplift window (cannot confirm loading)","INVALID – before valid window"),IF(AG321&gt;Flights!$AA$13,"INVALID – completed after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f>
        <v>OPEN</v>
      </c>
      <c r="AI321" s="61" t="n">
        <f aca="false">IF(OR(AH321="N/A – RULE",AH321="N/A – JUSTIFIED"),0,1)</f>
        <v>1</v>
      </c>
      <c r="AJ321" s="61" t="n">
        <f aca="false">IF(LEFT(AH321,8)="COMPLETE",1,0)</f>
        <v>0</v>
      </c>
      <c r="AK321" s="61" t="n">
        <f aca="false">IF(AND(AI321=1,AJ321=0,AsOfUTC&gt;Q321),1,0)</f>
        <v>0</v>
      </c>
      <c r="AL321" s="61" t="n">
        <f aca="false">IF(AND(AI321=1,OR(TRIM(U321)="Fail",AB321="Open",AND(ISNUMBER(AF321),AF321&lt;&gt;0,TRIM(U321)&lt;&gt;"Pass after CA"))),1,0)</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1</v>
      </c>
    </row>
    <row r="322" customFormat="false" ht="39.75" hidden="false" customHeight="true" outlineLevel="0" collapsed="false">
      <c r="A322" s="57" t="s">
        <v>874</v>
      </c>
      <c r="B322" s="57" t="s">
        <v>241</v>
      </c>
      <c r="C322" s="57" t="str">
        <f aca="false">Flights!$F$14</f>
        <v>MH1140</v>
      </c>
      <c r="D322" s="58" t="n">
        <f aca="false">Flights!$D$14</f>
        <v>46307</v>
      </c>
      <c r="E322" s="57" t="str">
        <f aca="false">Flights!$G$14&amp;"-"&amp;Flights!$H$14</f>
        <v>KUL-PEN</v>
      </c>
      <c r="F322" s="57" t="str">
        <f aca="false">Flights!$K$14</f>
        <v>BC</v>
      </c>
      <c r="G322" s="57" t="s">
        <v>74</v>
      </c>
      <c r="H322" s="57" t="s">
        <v>341</v>
      </c>
      <c r="I322" s="57" t="s">
        <v>342</v>
      </c>
      <c r="J322" s="57" t="s">
        <v>343</v>
      </c>
      <c r="K322" s="67" t="s">
        <v>344</v>
      </c>
      <c r="L322" s="67" t="s">
        <v>345</v>
      </c>
      <c r="M322" s="67"/>
      <c r="N322" s="67" t="s">
        <v>346</v>
      </c>
      <c r="O322" s="67" t="s">
        <v>875</v>
      </c>
      <c r="P322" s="57" t="s">
        <v>177</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IF(N322="N/A – rule","N/A – RULE",IF(TRIM(U322)="N/A",IF(AT322=0,"INVALID – N/A not permitted for this mandatory check",IF(AND(TRIM(AC322)&lt;&gt;"",TRIM(AE322)&lt;&gt;"",TRIM(T322)&lt;&gt;""),"N/A – JUSTIFIED","INVALID – N/A needs justification, PIC and verifier")),IF(OR(TRIM(U322)="Pass",TRIM(U322)="Pass after CA"),IF(NOT(ISNUMBER(AD322)),"INVALID – completion time missing",IF(TRIM(T322)="","INVALID – PIC missing",IF(TRIM(Z322)="","INVALID – evidence missing",IF(TRIM(AE322)="","INVALID – verifier missing",IF(AND(AQ322=1,TRIM(W322)=""),"INVALID – batch ID missing",IF(AND(AR322=1,OR(NOT(ISNUMBER(X322)),NOT(ISNUMBER(Y322)))),"INVALID – expected/actual qty missing",IF(IF(AND(TRIM(U322)="Pass",ISNUMBER(AF322)),IF(AF322&lt;&gt;0,"INVALID – qty variance: use Fail or Pass after CA",""),"")&amp;IF(AND(TRIM(U322)="Pass",AB322="Open"),"INVALID – corrective action still open: use Fail, then Pass after CA","")&amp;IF(AND(TRIM(U322)="Pass after CA",OR(TRIM(AA322)="",AB322&lt;&gt;"Closed")),"INVALID – corrective action not recorded/closed","")&lt;&gt;"",IF(AND(TRIM(U322)="Pass",ISNUMBER(AF322)),IF(AF322&lt;&gt;0,"INVALID – qty variance: use Fail or Pass after CA",""),"")&amp;IF(AND(TRIM(U322)="Pass",AB322="Open"),"INVALID – corrective action still open: use Fail, then Pass after CA","")&amp;IF(AND(TRIM(U322)="Pass after CA",OR(TRIM(AA322)="",AB322&lt;&gt;"Closed")),"INVALID – corrective action not recorded/closed",""),IF(AND(AS322=1,Documents!$J$14&lt;&gt;"ON FILE"),"INVALID – GLD not on file (Documents sheet)",IF(AND(AS322=2,Documents!$O$14&lt;&gt;"ON FILE"),"INVALID – menu checklist not on file (Documents sheet)",IF(AND(AS322=3,NOT(ISNUMBER(Flights!$AX$14))),"INVALID – enter carrying flight KUL departure (Flights AX)",IF(AG322&gt;AsOfUTC,"INVALID – completion time is in the future",IF(AND(ISNUMBER(S322),AG322&lt;S322),IF(H322="Physical uplift","INVALID – before uplift window (cannot confirm loading)","INVALID – before valid window"),IF(AG322&gt;Flights!$AA$14,"INVALID – completed after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f>
        <v>OPEN</v>
      </c>
      <c r="AI322" s="61" t="n">
        <f aca="false">IF(OR(AH322="N/A – RULE",AH322="N/A – JUSTIFIED"),0,1)</f>
        <v>1</v>
      </c>
      <c r="AJ322" s="61" t="n">
        <f aca="false">IF(LEFT(AH322,8)="COMPLETE",1,0)</f>
        <v>0</v>
      </c>
      <c r="AK322" s="61" t="n">
        <f aca="false">IF(AND(AI322=1,AJ322=0,AsOfUTC&gt;Q322),1,0)</f>
        <v>0</v>
      </c>
      <c r="AL322" s="61" t="n">
        <f aca="false">IF(AND(AI322=1,OR(TRIM(U322)="Fail",AB322="Open",AND(ISNUMBER(AF322),AF322&lt;&gt;0,TRIM(U322)&lt;&gt;"Pass after CA"))),1,0)</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row>
    <row r="323" customFormat="false" ht="41.25" hidden="false" customHeight="true" outlineLevel="0" collapsed="false">
      <c r="A323" s="57" t="s">
        <v>876</v>
      </c>
      <c r="B323" s="57" t="s">
        <v>241</v>
      </c>
      <c r="C323" s="57" t="str">
        <f aca="false">Flights!$F$14</f>
        <v>MH1140</v>
      </c>
      <c r="D323" s="58" t="n">
        <f aca="false">Flights!$D$14</f>
        <v>46307</v>
      </c>
      <c r="E323" s="57" t="str">
        <f aca="false">Flights!$G$14&amp;"-"&amp;Flights!$H$14</f>
        <v>KUL-PEN</v>
      </c>
      <c r="F323" s="57" t="str">
        <f aca="false">Flights!$K$14</f>
        <v>BC</v>
      </c>
      <c r="G323" s="57" t="s">
        <v>74</v>
      </c>
      <c r="H323" s="57" t="s">
        <v>341</v>
      </c>
      <c r="I323" s="57" t="s">
        <v>348</v>
      </c>
      <c r="J323" s="57" t="s">
        <v>349</v>
      </c>
      <c r="K323" s="67" t="s">
        <v>350</v>
      </c>
      <c r="L323" s="67" t="s">
        <v>345</v>
      </c>
      <c r="M323" s="67"/>
      <c r="N323" s="67" t="s">
        <v>346</v>
      </c>
      <c r="O323" s="67" t="s">
        <v>877</v>
      </c>
      <c r="P323" s="57" t="s">
        <v>177</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IF(N323="N/A – rule","N/A – RULE",IF(TRIM(U323)="N/A",IF(AT323=0,"INVALID – N/A not permitted for this mandatory check",IF(AND(TRIM(AC323)&lt;&gt;"",TRIM(AE323)&lt;&gt;"",TRIM(T323)&lt;&gt;""),"N/A – JUSTIFIED","INVALID – N/A needs justification, PIC and verifier")),IF(OR(TRIM(U323)="Pass",TRIM(U323)="Pass after CA"),IF(NOT(ISNUMBER(AD323)),"INVALID – completion time missing",IF(TRIM(T323)="","INVALID – PIC missing",IF(TRIM(Z323)="","INVALID – evidence missing",IF(TRIM(AE323)="","INVALID – verifier missing",IF(AND(AQ323=1,TRIM(W323)=""),"INVALID – batch ID missing",IF(AND(AR323=1,OR(NOT(ISNUMBER(X323)),NOT(ISNUMBER(Y323)))),"INVALID – expected/actual qty missing",IF(IF(AND(TRIM(U323)="Pass",ISNUMBER(AF323)),IF(AF323&lt;&gt;0,"INVALID – qty variance: use Fail or Pass after CA",""),"")&amp;IF(AND(TRIM(U323)="Pass",AB323="Open"),"INVALID – corrective action still open: use Fail, then Pass after CA","")&amp;IF(AND(TRIM(U323)="Pass after CA",OR(TRIM(AA323)="",AB323&lt;&gt;"Closed")),"INVALID – corrective action not recorded/closed","")&lt;&gt;"",IF(AND(TRIM(U323)="Pass",ISNUMBER(AF323)),IF(AF323&lt;&gt;0,"INVALID – qty variance: use Fail or Pass after CA",""),"")&amp;IF(AND(TRIM(U323)="Pass",AB323="Open"),"INVALID – corrective action still open: use Fail, then Pass after CA","")&amp;IF(AND(TRIM(U323)="Pass after CA",OR(TRIM(AA323)="",AB323&lt;&gt;"Closed")),"INVALID – corrective action not recorded/closed",""),IF(AND(AS323=1,Documents!$J$14&lt;&gt;"ON FILE"),"INVALID – GLD not on file (Documents sheet)",IF(AND(AS323=2,Documents!$O$14&lt;&gt;"ON FILE"),"INVALID – menu checklist not on file (Documents sheet)",IF(AND(AS323=3,NOT(ISNUMBER(Flights!$AX$14))),"INVALID – enter carrying flight KUL departure (Flights AX)",IF(AG323&gt;AsOfUTC,"INVALID – completion time is in the future",IF(AND(ISNUMBER(S323),AG323&lt;S323),IF(H323="Physical uplift","INVALID – before uplift window (cannot confirm loading)","INVALID – before valid window"),IF(AG323&gt;Flights!$AA$14,"INVALID – completed after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f>
        <v>OPEN</v>
      </c>
      <c r="AI323" s="61" t="n">
        <f aca="false">IF(OR(AH323="N/A – RULE",AH323="N/A – JUSTIFIED"),0,1)</f>
        <v>1</v>
      </c>
      <c r="AJ323" s="61" t="n">
        <f aca="false">IF(LEFT(AH323,8)="COMPLETE",1,0)</f>
        <v>0</v>
      </c>
      <c r="AK323" s="61" t="n">
        <f aca="false">IF(AND(AI323=1,AJ323=0,AsOfUTC&gt;Q323),1,0)</f>
        <v>0</v>
      </c>
      <c r="AL323" s="61" t="n">
        <f aca="false">IF(AND(AI323=1,OR(TRIM(U323)="Fail",AB323="Open",AND(ISNUMBER(AF323),AF323&lt;&gt;0,TRIM(U323)&lt;&gt;"Pass after CA"))),1,0)</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row>
    <row r="324" customFormat="false" ht="41.25" hidden="false" customHeight="true" outlineLevel="0" collapsed="false">
      <c r="A324" s="57" t="s">
        <v>878</v>
      </c>
      <c r="B324" s="57" t="s">
        <v>241</v>
      </c>
      <c r="C324" s="57" t="str">
        <f aca="false">Flights!$F$14</f>
        <v>MH1140</v>
      </c>
      <c r="D324" s="58" t="n">
        <f aca="false">Flights!$D$14</f>
        <v>46307</v>
      </c>
      <c r="E324" s="57" t="str">
        <f aca="false">Flights!$G$14&amp;"-"&amp;Flights!$H$14</f>
        <v>KUL-PEN</v>
      </c>
      <c r="F324" s="57" t="str">
        <f aca="false">Flights!$K$14</f>
        <v>BC</v>
      </c>
      <c r="G324" s="57" t="s">
        <v>74</v>
      </c>
      <c r="H324" s="57" t="s">
        <v>341</v>
      </c>
      <c r="I324" s="57" t="s">
        <v>352</v>
      </c>
      <c r="J324" s="57" t="s">
        <v>353</v>
      </c>
      <c r="K324" s="67" t="s">
        <v>354</v>
      </c>
      <c r="L324" s="67" t="s">
        <v>345</v>
      </c>
      <c r="M324" s="67"/>
      <c r="N324" s="67" t="str">
        <f aca="false">IF(TRIM(Flights!$L$14)="A339","Required","N/A – rule")</f>
        <v>N/A – rule</v>
      </c>
      <c r="O324" s="67" t="s">
        <v>355</v>
      </c>
      <c r="P324" s="57" t="s">
        <v>177</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IF(N324="N/A – rule","N/A – RULE",IF(TRIM(U324)="N/A",IF(AT324=0,"INVALID – N/A not permitted for this mandatory check",IF(AND(TRIM(AC324)&lt;&gt;"",TRIM(AE324)&lt;&gt;"",TRIM(T324)&lt;&gt;""),"N/A – JUSTIFIED","INVALID – N/A needs justification, PIC and verifier")),IF(OR(TRIM(U324)="Pass",TRIM(U324)="Pass after CA"),IF(NOT(ISNUMBER(AD324)),"INVALID – completion time missing",IF(TRIM(T324)="","INVALID – PIC missing",IF(TRIM(Z324)="","INVALID – evidence missing",IF(TRIM(AE324)="","INVALID – verifier missing",IF(AND(AQ324=1,TRIM(W324)=""),"INVALID – batch ID missing",IF(AND(AR324=1,OR(NOT(ISNUMBER(X324)),NOT(ISNUMBER(Y324)))),"INVALID – expected/actual qty missing",IF(IF(AND(TRIM(U324)="Pass",ISNUMBER(AF324)),IF(AF324&lt;&gt;0,"INVALID – qty variance: use Fail or Pass after CA",""),"")&amp;IF(AND(TRIM(U324)="Pass",AB324="Open"),"INVALID – corrective action still open: use Fail, then Pass after CA","")&amp;IF(AND(TRIM(U324)="Pass after CA",OR(TRIM(AA324)="",AB324&lt;&gt;"Closed")),"INVALID – corrective action not recorded/closed","")&lt;&gt;"",IF(AND(TRIM(U324)="Pass",ISNUMBER(AF324)),IF(AF324&lt;&gt;0,"INVALID – qty variance: use Fail or Pass after CA",""),"")&amp;IF(AND(TRIM(U324)="Pass",AB324="Open"),"INVALID – corrective action still open: use Fail, then Pass after CA","")&amp;IF(AND(TRIM(U324)="Pass after CA",OR(TRIM(AA324)="",AB324&lt;&gt;"Closed")),"INVALID – corrective action not recorded/closed",""),IF(AND(AS324=1,Documents!$J$14&lt;&gt;"ON FILE"),"INVALID – GLD not on file (Documents sheet)",IF(AND(AS324=2,Documents!$O$14&lt;&gt;"ON FILE"),"INVALID – menu checklist not on file (Documents sheet)",IF(AND(AS324=3,NOT(ISNUMBER(Flights!$AX$14))),"INVALID – enter carrying flight KUL departure (Flights AX)",IF(AG324&gt;AsOfUTC,"INVALID – completion time is in the future",IF(AND(ISNUMBER(S324),AG324&lt;S324),IF(H324="Physical uplift","INVALID – before uplift window (cannot confirm loading)","INVALID – before valid window"),IF(AG324&gt;Flights!$AA$14,"INVALID – completed after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f>
        <v>N/A – RULE</v>
      </c>
      <c r="AI324" s="61" t="n">
        <f aca="false">IF(OR(AH324="N/A – RULE",AH324="N/A – JUSTIFIED"),0,1)</f>
        <v>0</v>
      </c>
      <c r="AJ324" s="61" t="n">
        <f aca="false">IF(LEFT(AH324,8)="COMPLETE",1,0)</f>
        <v>0</v>
      </c>
      <c r="AK324" s="61" t="n">
        <f aca="false">IF(AND(AI324=1,AJ324=0,AsOfUTC&gt;Q324),1,0)</f>
        <v>0</v>
      </c>
      <c r="AL324" s="61" t="n">
        <f aca="false">IF(AND(AI324=1,OR(TRIM(U324)="Fail",AB324="Open",AND(ISNUMBER(AF324),AF324&lt;&gt;0,TRIM(U324)&lt;&gt;"Pass after CA"))),1,0)</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row>
    <row r="325" customFormat="false" ht="39.75" hidden="false" customHeight="true" outlineLevel="0" collapsed="false">
      <c r="A325" s="57" t="s">
        <v>879</v>
      </c>
      <c r="B325" s="57" t="s">
        <v>241</v>
      </c>
      <c r="C325" s="57" t="str">
        <f aca="false">Flights!$F$14</f>
        <v>MH1140</v>
      </c>
      <c r="D325" s="58" t="n">
        <f aca="false">Flights!$D$14</f>
        <v>46307</v>
      </c>
      <c r="E325" s="57" t="str">
        <f aca="false">Flights!$G$14&amp;"-"&amp;Flights!$H$14</f>
        <v>KUL-PEN</v>
      </c>
      <c r="F325" s="57" t="str">
        <f aca="false">Flights!$K$14</f>
        <v>BC</v>
      </c>
      <c r="G325" s="57" t="s">
        <v>74</v>
      </c>
      <c r="H325" s="57" t="s">
        <v>341</v>
      </c>
      <c r="I325" s="57" t="s">
        <v>357</v>
      </c>
      <c r="J325" s="57" t="s">
        <v>358</v>
      </c>
      <c r="K325" s="67" t="s">
        <v>359</v>
      </c>
      <c r="L325" s="67" t="s">
        <v>345</v>
      </c>
      <c r="M325" s="67"/>
      <c r="N325" s="67" t="s">
        <v>346</v>
      </c>
      <c r="O325" s="67"/>
      <c r="P325" s="57" t="s">
        <v>177</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IF(N325="N/A – rule","N/A – RULE",IF(TRIM(U325)="N/A",IF(AT325=0,"INVALID – N/A not permitted for this mandatory check",IF(AND(TRIM(AC325)&lt;&gt;"",TRIM(AE325)&lt;&gt;"",TRIM(T325)&lt;&gt;""),"N/A – JUSTIFIED","INVALID – N/A needs justification, PIC and verifier")),IF(OR(TRIM(U325)="Pass",TRIM(U325)="Pass after CA"),IF(NOT(ISNUMBER(AD325)),"INVALID – completion time missing",IF(TRIM(T325)="","INVALID – PIC missing",IF(TRIM(Z325)="","INVALID – evidence missing",IF(TRIM(AE325)="","INVALID – verifier missing",IF(AND(AQ325=1,TRIM(W325)=""),"INVALID – batch ID missing",IF(AND(AR325=1,OR(NOT(ISNUMBER(X325)),NOT(ISNUMBER(Y325)))),"INVALID – expected/actual qty missing",IF(IF(AND(TRIM(U325)="Pass",ISNUMBER(AF325)),IF(AF325&lt;&gt;0,"INVALID – qty variance: use Fail or Pass after CA",""),"")&amp;IF(AND(TRIM(U325)="Pass",AB325="Open"),"INVALID – corrective action still open: use Fail, then Pass after CA","")&amp;IF(AND(TRIM(U325)="Pass after CA",OR(TRIM(AA325)="",AB325&lt;&gt;"Closed")),"INVALID – corrective action not recorded/closed","")&lt;&gt;"",IF(AND(TRIM(U325)="Pass",ISNUMBER(AF325)),IF(AF325&lt;&gt;0,"INVALID – qty variance: use Fail or Pass after CA",""),"")&amp;IF(AND(TRIM(U325)="Pass",AB325="Open"),"INVALID – corrective action still open: use Fail, then Pass after CA","")&amp;IF(AND(TRIM(U325)="Pass after CA",OR(TRIM(AA325)="",AB325&lt;&gt;"Closed")),"INVALID – corrective action not recorded/closed",""),IF(AND(AS325=1,Documents!$J$14&lt;&gt;"ON FILE"),"INVALID – GLD not on file (Documents sheet)",IF(AND(AS325=2,Documents!$O$14&lt;&gt;"ON FILE"),"INVALID – menu checklist not on file (Documents sheet)",IF(AND(AS325=3,NOT(ISNUMBER(Flights!$AX$14))),"INVALID – enter carrying flight KUL departure (Flights AX)",IF(AG325&gt;AsOfUTC,"INVALID – completion time is in the future",IF(AND(ISNUMBER(S325),AG325&lt;S325),IF(H325="Physical uplift","INVALID – before uplift window (cannot confirm loading)","INVALID – before valid window"),IF(AG325&gt;Flights!$AA$14,"INVALID – completed after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f>
        <v>OPEN</v>
      </c>
      <c r="AI325" s="61" t="n">
        <f aca="false">IF(OR(AH325="N/A – RULE",AH325="N/A – JUSTIFIED"),0,1)</f>
        <v>1</v>
      </c>
      <c r="AJ325" s="61" t="n">
        <f aca="false">IF(LEFT(AH325,8)="COMPLETE",1,0)</f>
        <v>0</v>
      </c>
      <c r="AK325" s="61" t="n">
        <f aca="false">IF(AND(AI325=1,AJ325=0,AsOfUTC&gt;Q325),1,0)</f>
        <v>0</v>
      </c>
      <c r="AL325" s="61" t="n">
        <f aca="false">IF(AND(AI325=1,OR(TRIM(U325)="Fail",AB325="Open",AND(ISNUMBER(AF325),AF325&lt;&gt;0,TRIM(U325)&lt;&gt;"Pass after CA"))),1,0)</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row>
    <row r="326" customFormat="false" ht="39.75" hidden="false" customHeight="true" outlineLevel="0" collapsed="false">
      <c r="A326" s="57" t="s">
        <v>880</v>
      </c>
      <c r="B326" s="57" t="s">
        <v>241</v>
      </c>
      <c r="C326" s="57" t="str">
        <f aca="false">Flights!$F$14</f>
        <v>MH1140</v>
      </c>
      <c r="D326" s="58" t="n">
        <f aca="false">Flights!$D$14</f>
        <v>46307</v>
      </c>
      <c r="E326" s="57" t="str">
        <f aca="false">Flights!$G$14&amp;"-"&amp;Flights!$H$14</f>
        <v>KUL-PEN</v>
      </c>
      <c r="F326" s="57" t="str">
        <f aca="false">Flights!$K$14</f>
        <v>BC</v>
      </c>
      <c r="G326" s="57" t="s">
        <v>74</v>
      </c>
      <c r="H326" s="57" t="s">
        <v>341</v>
      </c>
      <c r="I326" s="57" t="s">
        <v>361</v>
      </c>
      <c r="J326" s="57" t="s">
        <v>362</v>
      </c>
      <c r="K326" s="67" t="s">
        <v>363</v>
      </c>
      <c r="L326" s="67" t="s">
        <v>345</v>
      </c>
      <c r="M326" s="67"/>
      <c r="N326" s="67" t="s">
        <v>346</v>
      </c>
      <c r="O326" s="67"/>
      <c r="P326" s="57" t="s">
        <v>177</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IF(N326="N/A – rule","N/A – RULE",IF(TRIM(U326)="N/A",IF(AT326=0,"INVALID – N/A not permitted for this mandatory check",IF(AND(TRIM(AC326)&lt;&gt;"",TRIM(AE326)&lt;&gt;"",TRIM(T326)&lt;&gt;""),"N/A – JUSTIFIED","INVALID – N/A needs justification, PIC and verifier")),IF(OR(TRIM(U326)="Pass",TRIM(U326)="Pass after CA"),IF(NOT(ISNUMBER(AD326)),"INVALID – completion time missing",IF(TRIM(T326)="","INVALID – PIC missing",IF(TRIM(Z326)="","INVALID – evidence missing",IF(TRIM(AE326)="","INVALID – verifier missing",IF(AND(AQ326=1,TRIM(W326)=""),"INVALID – batch ID missing",IF(AND(AR326=1,OR(NOT(ISNUMBER(X326)),NOT(ISNUMBER(Y326)))),"INVALID – expected/actual qty missing",IF(IF(AND(TRIM(U326)="Pass",ISNUMBER(AF326)),IF(AF326&lt;&gt;0,"INVALID – qty variance: use Fail or Pass after CA",""),"")&amp;IF(AND(TRIM(U326)="Pass",AB326="Open"),"INVALID – corrective action still open: use Fail, then Pass after CA","")&amp;IF(AND(TRIM(U326)="Pass after CA",OR(TRIM(AA326)="",AB326&lt;&gt;"Closed")),"INVALID – corrective action not recorded/closed","")&lt;&gt;"",IF(AND(TRIM(U326)="Pass",ISNUMBER(AF326)),IF(AF326&lt;&gt;0,"INVALID – qty variance: use Fail or Pass after CA",""),"")&amp;IF(AND(TRIM(U326)="Pass",AB326="Open"),"INVALID – corrective action still open: use Fail, then Pass after CA","")&amp;IF(AND(TRIM(U326)="Pass after CA",OR(TRIM(AA326)="",AB326&lt;&gt;"Closed")),"INVALID – corrective action not recorded/closed",""),IF(AND(AS326=1,Documents!$J$14&lt;&gt;"ON FILE"),"INVALID – GLD not on file (Documents sheet)",IF(AND(AS326=2,Documents!$O$14&lt;&gt;"ON FILE"),"INVALID – menu checklist not on file (Documents sheet)",IF(AND(AS326=3,NOT(ISNUMBER(Flights!$AX$14))),"INVALID – enter carrying flight KUL departure (Flights AX)",IF(AG326&gt;AsOfUTC,"INVALID – completion time is in the future",IF(AND(ISNUMBER(S326),AG326&lt;S326),IF(H326="Physical uplift","INVALID – before uplift window (cannot confirm loading)","INVALID – before valid window"),IF(AG326&gt;Flights!$AA$14,"INVALID – completed after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f>
        <v>OPEN</v>
      </c>
      <c r="AI326" s="61" t="n">
        <f aca="false">IF(OR(AH326="N/A – RULE",AH326="N/A – JUSTIFIED"),0,1)</f>
        <v>1</v>
      </c>
      <c r="AJ326" s="61" t="n">
        <f aca="false">IF(LEFT(AH326,8)="COMPLETE",1,0)</f>
        <v>0</v>
      </c>
      <c r="AK326" s="61" t="n">
        <f aca="false">IF(AND(AI326=1,AJ326=0,AsOfUTC&gt;Q326),1,0)</f>
        <v>0</v>
      </c>
      <c r="AL326" s="61" t="n">
        <f aca="false">IF(AND(AI326=1,OR(TRIM(U326)="Fail",AB326="Open",AND(ISNUMBER(AF326),AF326&lt;&gt;0,TRIM(U326)&lt;&gt;"Pass after CA"))),1,0)</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row>
    <row r="327" customFormat="false" ht="39.75" hidden="false" customHeight="true" outlineLevel="0" collapsed="false">
      <c r="A327" s="57" t="s">
        <v>881</v>
      </c>
      <c r="B327" s="57" t="s">
        <v>241</v>
      </c>
      <c r="C327" s="57" t="str">
        <f aca="false">Flights!$F$14</f>
        <v>MH1140</v>
      </c>
      <c r="D327" s="58" t="n">
        <f aca="false">Flights!$D$14</f>
        <v>46307</v>
      </c>
      <c r="E327" s="57" t="str">
        <f aca="false">Flights!$G$14&amp;"-"&amp;Flights!$H$14</f>
        <v>KUL-PEN</v>
      </c>
      <c r="F327" s="57" t="str">
        <f aca="false">Flights!$K$14</f>
        <v>BC</v>
      </c>
      <c r="G327" s="57" t="s">
        <v>74</v>
      </c>
      <c r="H327" s="57" t="s">
        <v>341</v>
      </c>
      <c r="I327" s="57" t="s">
        <v>361</v>
      </c>
      <c r="J327" s="57" t="s">
        <v>365</v>
      </c>
      <c r="K327" s="67" t="s">
        <v>366</v>
      </c>
      <c r="L327" s="67" t="s">
        <v>345</v>
      </c>
      <c r="M327" s="67"/>
      <c r="N327" s="67" t="s">
        <v>346</v>
      </c>
      <c r="O327" s="67"/>
      <c r="P327" s="57" t="s">
        <v>177</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IF(N327="N/A – rule","N/A – RULE",IF(TRIM(U327)="N/A",IF(AT327=0,"INVALID – N/A not permitted for this mandatory check",IF(AND(TRIM(AC327)&lt;&gt;"",TRIM(AE327)&lt;&gt;"",TRIM(T327)&lt;&gt;""),"N/A – JUSTIFIED","INVALID – N/A needs justification, PIC and verifier")),IF(OR(TRIM(U327)="Pass",TRIM(U327)="Pass after CA"),IF(NOT(ISNUMBER(AD327)),"INVALID – completion time missing",IF(TRIM(T327)="","INVALID – PIC missing",IF(TRIM(Z327)="","INVALID – evidence missing",IF(TRIM(AE327)="","INVALID – verifier missing",IF(AND(AQ327=1,TRIM(W327)=""),"INVALID – batch ID missing",IF(AND(AR327=1,OR(NOT(ISNUMBER(X327)),NOT(ISNUMBER(Y327)))),"INVALID – expected/actual qty missing",IF(IF(AND(TRIM(U327)="Pass",ISNUMBER(AF327)),IF(AF327&lt;&gt;0,"INVALID – qty variance: use Fail or Pass after CA",""),"")&amp;IF(AND(TRIM(U327)="Pass",AB327="Open"),"INVALID – corrective action still open: use Fail, then Pass after CA","")&amp;IF(AND(TRIM(U327)="Pass after CA",OR(TRIM(AA327)="",AB327&lt;&gt;"Closed")),"INVALID – corrective action not recorded/closed","")&lt;&gt;"",IF(AND(TRIM(U327)="Pass",ISNUMBER(AF327)),IF(AF327&lt;&gt;0,"INVALID – qty variance: use Fail or Pass after CA",""),"")&amp;IF(AND(TRIM(U327)="Pass",AB327="Open"),"INVALID – corrective action still open: use Fail, then Pass after CA","")&amp;IF(AND(TRIM(U327)="Pass after CA",OR(TRIM(AA327)="",AB327&lt;&gt;"Closed")),"INVALID – corrective action not recorded/closed",""),IF(AND(AS327=1,Documents!$J$14&lt;&gt;"ON FILE"),"INVALID – GLD not on file (Documents sheet)",IF(AND(AS327=2,Documents!$O$14&lt;&gt;"ON FILE"),"INVALID – menu checklist not on file (Documents sheet)",IF(AND(AS327=3,NOT(ISNUMBER(Flights!$AX$14))),"INVALID – enter carrying flight KUL departure (Flights AX)",IF(AG327&gt;AsOfUTC,"INVALID – completion time is in the future",IF(AND(ISNUMBER(S327),AG327&lt;S327),IF(H327="Physical uplift","INVALID – before uplift window (cannot confirm loading)","INVALID – before valid window"),IF(AG327&gt;Flights!$AA$14,"INVALID – completed after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f>
        <v>OPEN</v>
      </c>
      <c r="AI327" s="61" t="n">
        <f aca="false">IF(OR(AH327="N/A – RULE",AH327="N/A – JUSTIFIED"),0,1)</f>
        <v>1</v>
      </c>
      <c r="AJ327" s="61" t="n">
        <f aca="false">IF(LEFT(AH327,8)="COMPLETE",1,0)</f>
        <v>0</v>
      </c>
      <c r="AK327" s="61" t="n">
        <f aca="false">IF(AND(AI327=1,AJ327=0,AsOfUTC&gt;Q327),1,0)</f>
        <v>0</v>
      </c>
      <c r="AL327" s="61" t="n">
        <f aca="false">IF(AND(AI327=1,OR(TRIM(U327)="Fail",AB327="Open",AND(ISNUMBER(AF327),AF327&lt;&gt;0,TRIM(U327)&lt;&gt;"Pass after CA"))),1,0)</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row>
    <row r="328" customFormat="false" ht="39.75" hidden="false" customHeight="true" outlineLevel="0" collapsed="false">
      <c r="A328" s="57" t="s">
        <v>882</v>
      </c>
      <c r="B328" s="57" t="s">
        <v>241</v>
      </c>
      <c r="C328" s="57" t="str">
        <f aca="false">Flights!$F$14</f>
        <v>MH1140</v>
      </c>
      <c r="D328" s="58" t="n">
        <f aca="false">Flights!$D$14</f>
        <v>46307</v>
      </c>
      <c r="E328" s="57" t="str">
        <f aca="false">Flights!$G$14&amp;"-"&amp;Flights!$H$14</f>
        <v>KUL-PEN</v>
      </c>
      <c r="F328" s="57" t="str">
        <f aca="false">Flights!$K$14</f>
        <v>BC</v>
      </c>
      <c r="G328" s="57" t="s">
        <v>74</v>
      </c>
      <c r="H328" s="57" t="s">
        <v>341</v>
      </c>
      <c r="I328" s="57" t="s">
        <v>368</v>
      </c>
      <c r="J328" s="57" t="s">
        <v>369</v>
      </c>
      <c r="K328" s="67" t="s">
        <v>370</v>
      </c>
      <c r="L328" s="67" t="s">
        <v>345</v>
      </c>
      <c r="M328" s="67"/>
      <c r="N328" s="67" t="s">
        <v>346</v>
      </c>
      <c r="O328" s="67"/>
      <c r="P328" s="57" t="s">
        <v>177</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IF(N328="N/A – rule","N/A – RULE",IF(TRIM(U328)="N/A",IF(AT328=0,"INVALID – N/A not permitted for this mandatory check",IF(AND(TRIM(AC328)&lt;&gt;"",TRIM(AE328)&lt;&gt;"",TRIM(T328)&lt;&gt;""),"N/A – JUSTIFIED","INVALID – N/A needs justification, PIC and verifier")),IF(OR(TRIM(U328)="Pass",TRIM(U328)="Pass after CA"),IF(NOT(ISNUMBER(AD328)),"INVALID – completion time missing",IF(TRIM(T328)="","INVALID – PIC missing",IF(TRIM(Z328)="","INVALID – evidence missing",IF(TRIM(AE328)="","INVALID – verifier missing",IF(AND(AQ328=1,TRIM(W328)=""),"INVALID – batch ID missing",IF(AND(AR328=1,OR(NOT(ISNUMBER(X328)),NOT(ISNUMBER(Y328)))),"INVALID – expected/actual qty missing",IF(IF(AND(TRIM(U328)="Pass",ISNUMBER(AF328)),IF(AF328&lt;&gt;0,"INVALID – qty variance: use Fail or Pass after CA",""),"")&amp;IF(AND(TRIM(U328)="Pass",AB328="Open"),"INVALID – corrective action still open: use Fail, then Pass after CA","")&amp;IF(AND(TRIM(U328)="Pass after CA",OR(TRIM(AA328)="",AB328&lt;&gt;"Closed")),"INVALID – corrective action not recorded/closed","")&lt;&gt;"",IF(AND(TRIM(U328)="Pass",ISNUMBER(AF328)),IF(AF328&lt;&gt;0,"INVALID – qty variance: use Fail or Pass after CA",""),"")&amp;IF(AND(TRIM(U328)="Pass",AB328="Open"),"INVALID – corrective action still open: use Fail, then Pass after CA","")&amp;IF(AND(TRIM(U328)="Pass after CA",OR(TRIM(AA328)="",AB328&lt;&gt;"Closed")),"INVALID – corrective action not recorded/closed",""),IF(AND(AS328=1,Documents!$J$14&lt;&gt;"ON FILE"),"INVALID – GLD not on file (Documents sheet)",IF(AND(AS328=2,Documents!$O$14&lt;&gt;"ON FILE"),"INVALID – menu checklist not on file (Documents sheet)",IF(AND(AS328=3,NOT(ISNUMBER(Flights!$AX$14))),"INVALID – enter carrying flight KUL departure (Flights AX)",IF(AG328&gt;AsOfUTC,"INVALID – completion time is in the future",IF(AND(ISNUMBER(S328),AG328&lt;S328),IF(H328="Physical uplift","INVALID – before uplift window (cannot confirm loading)","INVALID – before valid window"),IF(AG328&gt;Flights!$AA$14,"INVALID – completed after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f>
        <v>OPEN</v>
      </c>
      <c r="AI328" s="61" t="n">
        <f aca="false">IF(OR(AH328="N/A – RULE",AH328="N/A – JUSTIFIED"),0,1)</f>
        <v>1</v>
      </c>
      <c r="AJ328" s="61" t="n">
        <f aca="false">IF(LEFT(AH328,8)="COMPLETE",1,0)</f>
        <v>0</v>
      </c>
      <c r="AK328" s="61" t="n">
        <f aca="false">IF(AND(AI328=1,AJ328=0,AsOfUTC&gt;Q328),1,0)</f>
        <v>0</v>
      </c>
      <c r="AL328" s="61" t="n">
        <f aca="false">IF(AND(AI328=1,OR(TRIM(U328)="Fail",AB328="Open",AND(ISNUMBER(AF328),AF328&lt;&gt;0,TRIM(U328)&lt;&gt;"Pass after CA"))),1,0)</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row>
    <row r="329" customFormat="false" ht="39.75" hidden="false" customHeight="true" outlineLevel="0" collapsed="false">
      <c r="A329" s="57" t="s">
        <v>883</v>
      </c>
      <c r="B329" s="57" t="s">
        <v>241</v>
      </c>
      <c r="C329" s="57" t="str">
        <f aca="false">Flights!$F$14</f>
        <v>MH1140</v>
      </c>
      <c r="D329" s="58" t="n">
        <f aca="false">Flights!$D$14</f>
        <v>46307</v>
      </c>
      <c r="E329" s="57" t="str">
        <f aca="false">Flights!$G$14&amp;"-"&amp;Flights!$H$14</f>
        <v>KUL-PEN</v>
      </c>
      <c r="F329" s="57" t="str">
        <f aca="false">Flights!$K$14</f>
        <v>BC</v>
      </c>
      <c r="G329" s="57" t="s">
        <v>74</v>
      </c>
      <c r="H329" s="57" t="s">
        <v>341</v>
      </c>
      <c r="I329" s="57" t="s">
        <v>368</v>
      </c>
      <c r="J329" s="57" t="s">
        <v>372</v>
      </c>
      <c r="K329" s="67" t="s">
        <v>370</v>
      </c>
      <c r="L329" s="67" t="s">
        <v>345</v>
      </c>
      <c r="M329" s="67"/>
      <c r="N329" s="67" t="s">
        <v>346</v>
      </c>
      <c r="O329" s="67"/>
      <c r="P329" s="57" t="s">
        <v>177</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IF(N329="N/A – rule","N/A – RULE",IF(TRIM(U329)="N/A",IF(AT329=0,"INVALID – N/A not permitted for this mandatory check",IF(AND(TRIM(AC329)&lt;&gt;"",TRIM(AE329)&lt;&gt;"",TRIM(T329)&lt;&gt;""),"N/A – JUSTIFIED","INVALID – N/A needs justification, PIC and verifier")),IF(OR(TRIM(U329)="Pass",TRIM(U329)="Pass after CA"),IF(NOT(ISNUMBER(AD329)),"INVALID – completion time missing",IF(TRIM(T329)="","INVALID – PIC missing",IF(TRIM(Z329)="","INVALID – evidence missing",IF(TRIM(AE329)="","INVALID – verifier missing",IF(AND(AQ329=1,TRIM(W329)=""),"INVALID – batch ID missing",IF(AND(AR329=1,OR(NOT(ISNUMBER(X329)),NOT(ISNUMBER(Y329)))),"INVALID – expected/actual qty missing",IF(IF(AND(TRIM(U329)="Pass",ISNUMBER(AF329)),IF(AF329&lt;&gt;0,"INVALID – qty variance: use Fail or Pass after CA",""),"")&amp;IF(AND(TRIM(U329)="Pass",AB329="Open"),"INVALID – corrective action still open: use Fail, then Pass after CA","")&amp;IF(AND(TRIM(U329)="Pass after CA",OR(TRIM(AA329)="",AB329&lt;&gt;"Closed")),"INVALID – corrective action not recorded/closed","")&lt;&gt;"",IF(AND(TRIM(U329)="Pass",ISNUMBER(AF329)),IF(AF329&lt;&gt;0,"INVALID – qty variance: use Fail or Pass after CA",""),"")&amp;IF(AND(TRIM(U329)="Pass",AB329="Open"),"INVALID – corrective action still open: use Fail, then Pass after CA","")&amp;IF(AND(TRIM(U329)="Pass after CA",OR(TRIM(AA329)="",AB329&lt;&gt;"Closed")),"INVALID – corrective action not recorded/closed",""),IF(AND(AS329=1,Documents!$J$14&lt;&gt;"ON FILE"),"INVALID – GLD not on file (Documents sheet)",IF(AND(AS329=2,Documents!$O$14&lt;&gt;"ON FILE"),"INVALID – menu checklist not on file (Documents sheet)",IF(AND(AS329=3,NOT(ISNUMBER(Flights!$AX$14))),"INVALID – enter carrying flight KUL departure (Flights AX)",IF(AG329&gt;AsOfUTC,"INVALID – completion time is in the future",IF(AND(ISNUMBER(S329),AG329&lt;S329),IF(H329="Physical uplift","INVALID – before uplift window (cannot confirm loading)","INVALID – before valid window"),IF(AG329&gt;Flights!$AA$14,"INVALID – completed after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f>
        <v>OPEN</v>
      </c>
      <c r="AI329" s="61" t="n">
        <f aca="false">IF(OR(AH329="N/A – RULE",AH329="N/A – JUSTIFIED"),0,1)</f>
        <v>1</v>
      </c>
      <c r="AJ329" s="61" t="n">
        <f aca="false">IF(LEFT(AH329,8)="COMPLETE",1,0)</f>
        <v>0</v>
      </c>
      <c r="AK329" s="61" t="n">
        <f aca="false">IF(AND(AI329=1,AJ329=0,AsOfUTC&gt;Q329),1,0)</f>
        <v>0</v>
      </c>
      <c r="AL329" s="61" t="n">
        <f aca="false">IF(AND(AI329=1,OR(TRIM(U329)="Fail",AB329="Open",AND(ISNUMBER(AF329),AF329&lt;&gt;0,TRIM(U329)&lt;&gt;"Pass after CA"))),1,0)</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row>
    <row r="330" customFormat="false" ht="39.75" hidden="false" customHeight="true" outlineLevel="0" collapsed="false">
      <c r="A330" s="57" t="s">
        <v>884</v>
      </c>
      <c r="B330" s="57" t="s">
        <v>241</v>
      </c>
      <c r="C330" s="57" t="str">
        <f aca="false">Flights!$F$14</f>
        <v>MH1140</v>
      </c>
      <c r="D330" s="58" t="n">
        <f aca="false">Flights!$D$14</f>
        <v>46307</v>
      </c>
      <c r="E330" s="57" t="str">
        <f aca="false">Flights!$G$14&amp;"-"&amp;Flights!$H$14</f>
        <v>KUL-PEN</v>
      </c>
      <c r="F330" s="57" t="str">
        <f aca="false">Flights!$K$14</f>
        <v>BC</v>
      </c>
      <c r="G330" s="57" t="s">
        <v>74</v>
      </c>
      <c r="H330" s="57" t="s">
        <v>341</v>
      </c>
      <c r="I330" s="57" t="s">
        <v>374</v>
      </c>
      <c r="J330" s="57" t="s">
        <v>375</v>
      </c>
      <c r="K330" s="67" t="s">
        <v>885</v>
      </c>
      <c r="L330" s="67" t="s">
        <v>886</v>
      </c>
      <c r="M330" s="67"/>
      <c r="N330" s="67" t="s">
        <v>346</v>
      </c>
      <c r="O330" s="67"/>
      <c r="P330" s="57" t="s">
        <v>177</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IF(N330="N/A – rule","N/A – RULE",IF(TRIM(U330)="N/A",IF(AT330=0,"INVALID – N/A not permitted for this mandatory check",IF(AND(TRIM(AC330)&lt;&gt;"",TRIM(AE330)&lt;&gt;"",TRIM(T330)&lt;&gt;""),"N/A – JUSTIFIED","INVALID – N/A needs justification, PIC and verifier")),IF(OR(TRIM(U330)="Pass",TRIM(U330)="Pass after CA"),IF(NOT(ISNUMBER(AD330)),"INVALID – completion time missing",IF(TRIM(T330)="","INVALID – PIC missing",IF(TRIM(Z330)="","INVALID – evidence missing",IF(TRIM(AE330)="","INVALID – verifier missing",IF(AND(AQ330=1,TRIM(W330)=""),"INVALID – batch ID missing",IF(AND(AR330=1,OR(NOT(ISNUMBER(X330)),NOT(ISNUMBER(Y330)))),"INVALID – expected/actual qty missing",IF(IF(AND(TRIM(U330)="Pass",ISNUMBER(AF330)),IF(AF330&lt;&gt;0,"INVALID – qty variance: use Fail or Pass after CA",""),"")&amp;IF(AND(TRIM(U330)="Pass",AB330="Open"),"INVALID – corrective action still open: use Fail, then Pass after CA","")&amp;IF(AND(TRIM(U330)="Pass after CA",OR(TRIM(AA330)="",AB330&lt;&gt;"Closed")),"INVALID – corrective action not recorded/closed","")&lt;&gt;"",IF(AND(TRIM(U330)="Pass",ISNUMBER(AF330)),IF(AF330&lt;&gt;0,"INVALID – qty variance: use Fail or Pass after CA",""),"")&amp;IF(AND(TRIM(U330)="Pass",AB330="Open"),"INVALID – corrective action still open: use Fail, then Pass after CA","")&amp;IF(AND(TRIM(U330)="Pass after CA",OR(TRIM(AA330)="",AB330&lt;&gt;"Closed")),"INVALID – corrective action not recorded/closed",""),IF(AND(AS330=1,Documents!$J$14&lt;&gt;"ON FILE"),"INVALID – GLD not on file (Documents sheet)",IF(AND(AS330=2,Documents!$O$14&lt;&gt;"ON FILE"),"INVALID – menu checklist not on file (Documents sheet)",IF(AND(AS330=3,NOT(ISNUMBER(Flights!$AX$14))),"INVALID – enter carrying flight KUL departure (Flights AX)",IF(AG330&gt;AsOfUTC,"INVALID – completion time is in the future",IF(AND(ISNUMBER(S330),AG330&lt;S330),IF(H330="Physical uplift","INVALID – before uplift window (cannot confirm loading)","INVALID – before valid window"),IF(AG330&gt;Flights!$AA$14,"INVALID – completed after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f>
        <v>OPEN</v>
      </c>
      <c r="AI330" s="61" t="n">
        <f aca="false">IF(OR(AH330="N/A – RULE",AH330="N/A – JUSTIFIED"),0,1)</f>
        <v>1</v>
      </c>
      <c r="AJ330" s="61" t="n">
        <f aca="false">IF(LEFT(AH330,8)="COMPLETE",1,0)</f>
        <v>0</v>
      </c>
      <c r="AK330" s="61" t="n">
        <f aca="false">IF(AND(AI330=1,AJ330=0,AsOfUTC&gt;Q330),1,0)</f>
        <v>0</v>
      </c>
      <c r="AL330" s="61" t="n">
        <f aca="false">IF(AND(AI330=1,OR(TRIM(U330)="Fail",AB330="Open",AND(ISNUMBER(AF330),AF330&lt;&gt;0,TRIM(U330)&lt;&gt;"Pass after CA"))),1,0)</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row>
    <row r="331" customFormat="false" ht="39.75" hidden="false" customHeight="true" outlineLevel="0" collapsed="false">
      <c r="A331" s="57" t="s">
        <v>887</v>
      </c>
      <c r="B331" s="57" t="s">
        <v>241</v>
      </c>
      <c r="C331" s="57" t="str">
        <f aca="false">Flights!$F$14</f>
        <v>MH1140</v>
      </c>
      <c r="D331" s="58" t="n">
        <f aca="false">Flights!$D$14</f>
        <v>46307</v>
      </c>
      <c r="E331" s="57" t="str">
        <f aca="false">Flights!$G$14&amp;"-"&amp;Flights!$H$14</f>
        <v>KUL-PEN</v>
      </c>
      <c r="F331" s="57" t="str">
        <f aca="false">Flights!$K$14</f>
        <v>BC</v>
      </c>
      <c r="G331" s="57" t="s">
        <v>76</v>
      </c>
      <c r="H331" s="57" t="s">
        <v>341</v>
      </c>
      <c r="I331" s="57" t="s">
        <v>342</v>
      </c>
      <c r="J331" s="57" t="s">
        <v>379</v>
      </c>
      <c r="K331" s="67" t="s">
        <v>380</v>
      </c>
      <c r="L331" s="67" t="s">
        <v>381</v>
      </c>
      <c r="M331" s="67"/>
      <c r="N331" s="67" t="s">
        <v>346</v>
      </c>
      <c r="O331" s="67"/>
      <c r="P331" s="57" t="s">
        <v>177</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IF(N331="N/A – rule","N/A – RULE",IF(TRIM(U331)="N/A",IF(AT331=0,"INVALID – N/A not permitted for this mandatory check",IF(AND(TRIM(AC331)&lt;&gt;"",TRIM(AE331)&lt;&gt;"",TRIM(T331)&lt;&gt;""),"N/A – JUSTIFIED","INVALID – N/A needs justification, PIC and verifier")),IF(OR(TRIM(U331)="Pass",TRIM(U331)="Pass after CA"),IF(NOT(ISNUMBER(AD331)),"INVALID – completion time missing",IF(TRIM(T331)="","INVALID – PIC missing",IF(TRIM(Z331)="","INVALID – evidence missing",IF(TRIM(AE331)="","INVALID – verifier missing",IF(AND(AQ331=1,TRIM(W331)=""),"INVALID – batch ID missing",IF(AND(AR331=1,OR(NOT(ISNUMBER(X331)),NOT(ISNUMBER(Y331)))),"INVALID – expected/actual qty missing",IF(IF(AND(TRIM(U331)="Pass",ISNUMBER(AF331)),IF(AF331&lt;&gt;0,"INVALID – qty variance: use Fail or Pass after CA",""),"")&amp;IF(AND(TRIM(U331)="Pass",AB331="Open"),"INVALID – corrective action still open: use Fail, then Pass after CA","")&amp;IF(AND(TRIM(U331)="Pass after CA",OR(TRIM(AA331)="",AB331&lt;&gt;"Closed")),"INVALID – corrective action not recorded/closed","")&lt;&gt;"",IF(AND(TRIM(U331)="Pass",ISNUMBER(AF331)),IF(AF331&lt;&gt;0,"INVALID – qty variance: use Fail or Pass after CA",""),"")&amp;IF(AND(TRIM(U331)="Pass",AB331="Open"),"INVALID – corrective action still open: use Fail, then Pass after CA","")&amp;IF(AND(TRIM(U331)="Pass after CA",OR(TRIM(AA331)="",AB331&lt;&gt;"Closed")),"INVALID – corrective action not recorded/closed",""),IF(AND(AS331=1,Documents!$J$14&lt;&gt;"ON FILE"),"INVALID – GLD not on file (Documents sheet)",IF(AND(AS331=2,Documents!$O$14&lt;&gt;"ON FILE"),"INVALID – menu checklist not on file (Documents sheet)",IF(AND(AS331=3,NOT(ISNUMBER(Flights!$AX$14))),"INVALID – enter carrying flight KUL departure (Flights AX)",IF(AG331&gt;AsOfUTC,"INVALID – completion time is in the future",IF(AND(ISNUMBER(S331),AG331&lt;S331),IF(H331="Physical uplift","INVALID – before uplift window (cannot confirm loading)","INVALID – before valid window"),IF(AG331&gt;Flights!$AA$14,"INVALID – completed after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f>
        <v>OPEN</v>
      </c>
      <c r="AI331" s="61" t="n">
        <f aca="false">IF(OR(AH331="N/A – RULE",AH331="N/A – JUSTIFIED"),0,1)</f>
        <v>1</v>
      </c>
      <c r="AJ331" s="61" t="n">
        <f aca="false">IF(LEFT(AH331,8)="COMPLETE",1,0)</f>
        <v>0</v>
      </c>
      <c r="AK331" s="61" t="n">
        <f aca="false">IF(AND(AI331=1,AJ331=0,AsOfUTC&gt;Q331),1,0)</f>
        <v>0</v>
      </c>
      <c r="AL331" s="61" t="n">
        <f aca="false">IF(AND(AI331=1,OR(TRIM(U331)="Fail",AB331="Open",AND(ISNUMBER(AF331),AF331&lt;&gt;0,TRIM(U331)&lt;&gt;"Pass after CA"))),1,0)</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row>
    <row r="332" customFormat="false" ht="39.75" hidden="false" customHeight="true" outlineLevel="0" collapsed="false">
      <c r="A332" s="57" t="s">
        <v>888</v>
      </c>
      <c r="B332" s="57" t="s">
        <v>241</v>
      </c>
      <c r="C332" s="57" t="str">
        <f aca="false">Flights!$F$14</f>
        <v>MH1140</v>
      </c>
      <c r="D332" s="58" t="n">
        <f aca="false">Flights!$D$14</f>
        <v>46307</v>
      </c>
      <c r="E332" s="57" t="str">
        <f aca="false">Flights!$G$14&amp;"-"&amp;Flights!$H$14</f>
        <v>KUL-PEN</v>
      </c>
      <c r="F332" s="57" t="str">
        <f aca="false">Flights!$K$14</f>
        <v>BC</v>
      </c>
      <c r="G332" s="57" t="s">
        <v>383</v>
      </c>
      <c r="H332" s="57" t="s">
        <v>341</v>
      </c>
      <c r="I332" s="57" t="s">
        <v>342</v>
      </c>
      <c r="J332" s="57" t="s">
        <v>384</v>
      </c>
      <c r="K332" s="67"/>
      <c r="L332" s="67" t="s">
        <v>385</v>
      </c>
      <c r="M332" s="67"/>
      <c r="N332" s="67" t="s">
        <v>346</v>
      </c>
      <c r="O332" s="67" t="s">
        <v>386</v>
      </c>
      <c r="P332" s="57" t="s">
        <v>177</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IF(N332="N/A – rule","N/A – RULE",IF(TRIM(U332)="N/A",IF(AT332=0,"INVALID – N/A not permitted for this mandatory check",IF(AND(TRIM(AC332)&lt;&gt;"",TRIM(AE332)&lt;&gt;"",TRIM(T332)&lt;&gt;""),"N/A – JUSTIFIED","INVALID – N/A needs justification, PIC and verifier")),IF(OR(TRIM(U332)="Pass",TRIM(U332)="Pass after CA"),IF(NOT(ISNUMBER(AD332)),"INVALID – completion time missing",IF(TRIM(T332)="","INVALID – PIC missing",IF(TRIM(Z332)="","INVALID – evidence missing",IF(TRIM(AE332)="","INVALID – verifier missing",IF(AND(AQ332=1,TRIM(W332)=""),"INVALID – batch ID missing",IF(AND(AR332=1,OR(NOT(ISNUMBER(X332)),NOT(ISNUMBER(Y332)))),"INVALID – expected/actual qty missing",IF(IF(AND(TRIM(U332)="Pass",ISNUMBER(AF332)),IF(AF332&lt;&gt;0,"INVALID – qty variance: use Fail or Pass after CA",""),"")&amp;IF(AND(TRIM(U332)="Pass",AB332="Open"),"INVALID – corrective action still open: use Fail, then Pass after CA","")&amp;IF(AND(TRIM(U332)="Pass after CA",OR(TRIM(AA332)="",AB332&lt;&gt;"Closed")),"INVALID – corrective action not recorded/closed","")&lt;&gt;"",IF(AND(TRIM(U332)="Pass",ISNUMBER(AF332)),IF(AF332&lt;&gt;0,"INVALID – qty variance: use Fail or Pass after CA",""),"")&amp;IF(AND(TRIM(U332)="Pass",AB332="Open"),"INVALID – corrective action still open: use Fail, then Pass after CA","")&amp;IF(AND(TRIM(U332)="Pass after CA",OR(TRIM(AA332)="",AB332&lt;&gt;"Closed")),"INVALID – corrective action not recorded/closed",""),IF(AND(AS332=1,Documents!$J$14&lt;&gt;"ON FILE"),"INVALID – GLD not on file (Documents sheet)",IF(AND(AS332=2,Documents!$O$14&lt;&gt;"ON FILE"),"INVALID – menu checklist not on file (Documents sheet)",IF(AND(AS332=3,NOT(ISNUMBER(Flights!$AX$14))),"INVALID – enter carrying flight KUL departure (Flights AX)",IF(AG332&gt;AsOfUTC,"INVALID – completion time is in the future",IF(AND(ISNUMBER(S332),AG332&lt;S332),IF(H332="Physical uplift","INVALID – before uplift window (cannot confirm loading)","INVALID – before valid window"),IF(AG332&gt;Flights!$AA$14,"INVALID – completed after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f>
        <v>OPEN</v>
      </c>
      <c r="AI332" s="61" t="n">
        <f aca="false">IF(OR(AH332="N/A – RULE",AH332="N/A – JUSTIFIED"),0,1)</f>
        <v>1</v>
      </c>
      <c r="AJ332" s="61" t="n">
        <f aca="false">IF(LEFT(AH332,8)="COMPLETE",1,0)</f>
        <v>0</v>
      </c>
      <c r="AK332" s="61" t="n">
        <f aca="false">IF(AND(AI332=1,AJ332=0,AsOfUTC&gt;Q332),1,0)</f>
        <v>0</v>
      </c>
      <c r="AL332" s="61" t="n">
        <f aca="false">IF(AND(AI332=1,OR(TRIM(U332)="Fail",AB332="Open",AND(ISNUMBER(AF332),AF332&lt;&gt;0,TRIM(U332)&lt;&gt;"Pass after CA"))),1,0)</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row>
    <row r="333" customFormat="false" ht="39.75" hidden="false" customHeight="true" outlineLevel="0" collapsed="false">
      <c r="A333" s="57" t="s">
        <v>889</v>
      </c>
      <c r="B333" s="57" t="s">
        <v>241</v>
      </c>
      <c r="C333" s="57" t="str">
        <f aca="false">Flights!$F$14</f>
        <v>MH1140</v>
      </c>
      <c r="D333" s="58" t="n">
        <f aca="false">Flights!$D$14</f>
        <v>46307</v>
      </c>
      <c r="E333" s="57" t="str">
        <f aca="false">Flights!$G$14&amp;"-"&amp;Flights!$H$14</f>
        <v>KUL-PEN</v>
      </c>
      <c r="F333" s="57" t="str">
        <f aca="false">Flights!$K$14</f>
        <v>BC</v>
      </c>
      <c r="G333" s="57" t="s">
        <v>383</v>
      </c>
      <c r="H333" s="57" t="s">
        <v>341</v>
      </c>
      <c r="I333" s="57" t="s">
        <v>342</v>
      </c>
      <c r="J333" s="57" t="s">
        <v>388</v>
      </c>
      <c r="K333" s="67" t="s">
        <v>389</v>
      </c>
      <c r="L333" s="67" t="s">
        <v>385</v>
      </c>
      <c r="M333" s="67"/>
      <c r="N333" s="67" t="s">
        <v>346</v>
      </c>
      <c r="O333" s="67" t="s">
        <v>386</v>
      </c>
      <c r="P333" s="57" t="s">
        <v>177</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IF(N333="N/A – rule","N/A – RULE",IF(TRIM(U333)="N/A",IF(AT333=0,"INVALID – N/A not permitted for this mandatory check",IF(AND(TRIM(AC333)&lt;&gt;"",TRIM(AE333)&lt;&gt;"",TRIM(T333)&lt;&gt;""),"N/A – JUSTIFIED","INVALID – N/A needs justification, PIC and verifier")),IF(OR(TRIM(U333)="Pass",TRIM(U333)="Pass after CA"),IF(NOT(ISNUMBER(AD333)),"INVALID – completion time missing",IF(TRIM(T333)="","INVALID – PIC missing",IF(TRIM(Z333)="","INVALID – evidence missing",IF(TRIM(AE333)="","INVALID – verifier missing",IF(AND(AQ333=1,TRIM(W333)=""),"INVALID – batch ID missing",IF(AND(AR333=1,OR(NOT(ISNUMBER(X333)),NOT(ISNUMBER(Y333)))),"INVALID – expected/actual qty missing",IF(IF(AND(TRIM(U333)="Pass",ISNUMBER(AF333)),IF(AF333&lt;&gt;0,"INVALID – qty variance: use Fail or Pass after CA",""),"")&amp;IF(AND(TRIM(U333)="Pass",AB333="Open"),"INVALID – corrective action still open: use Fail, then Pass after CA","")&amp;IF(AND(TRIM(U333)="Pass after CA",OR(TRIM(AA333)="",AB333&lt;&gt;"Closed")),"INVALID – corrective action not recorded/closed","")&lt;&gt;"",IF(AND(TRIM(U333)="Pass",ISNUMBER(AF333)),IF(AF333&lt;&gt;0,"INVALID – qty variance: use Fail or Pass after CA",""),"")&amp;IF(AND(TRIM(U333)="Pass",AB333="Open"),"INVALID – corrective action still open: use Fail, then Pass after CA","")&amp;IF(AND(TRIM(U333)="Pass after CA",OR(TRIM(AA333)="",AB333&lt;&gt;"Closed")),"INVALID – corrective action not recorded/closed",""),IF(AND(AS333=1,Documents!$J$14&lt;&gt;"ON FILE"),"INVALID – GLD not on file (Documents sheet)",IF(AND(AS333=2,Documents!$O$14&lt;&gt;"ON FILE"),"INVALID – menu checklist not on file (Documents sheet)",IF(AND(AS333=3,NOT(ISNUMBER(Flights!$AX$14))),"INVALID – enter carrying flight KUL departure (Flights AX)",IF(AG333&gt;AsOfUTC,"INVALID – completion time is in the future",IF(AND(ISNUMBER(S333),AG333&lt;S333),IF(H333="Physical uplift","INVALID – before uplift window (cannot confirm loading)","INVALID – before valid window"),IF(AG333&gt;Flights!$AA$14,"INVALID – completed after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f>
        <v>OPEN</v>
      </c>
      <c r="AI333" s="61" t="n">
        <f aca="false">IF(OR(AH333="N/A – RULE",AH333="N/A – JUSTIFIED"),0,1)</f>
        <v>1</v>
      </c>
      <c r="AJ333" s="61" t="n">
        <f aca="false">IF(LEFT(AH333,8)="COMPLETE",1,0)</f>
        <v>0</v>
      </c>
      <c r="AK333" s="61" t="n">
        <f aca="false">IF(AND(AI333=1,AJ333=0,AsOfUTC&gt;Q333),1,0)</f>
        <v>0</v>
      </c>
      <c r="AL333" s="61" t="n">
        <f aca="false">IF(AND(AI333=1,OR(TRIM(U333)="Fail",AB333="Open",AND(ISNUMBER(AF333),AF333&lt;&gt;0,TRIM(U333)&lt;&gt;"Pass after CA"))),1,0)</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row>
    <row r="334" customFormat="false" ht="39.75" hidden="false" customHeight="true" outlineLevel="0" collapsed="false">
      <c r="A334" s="57" t="s">
        <v>890</v>
      </c>
      <c r="B334" s="57" t="s">
        <v>241</v>
      </c>
      <c r="C334" s="57" t="str">
        <f aca="false">Flights!$F$14</f>
        <v>MH1140</v>
      </c>
      <c r="D334" s="58" t="n">
        <f aca="false">Flights!$D$14</f>
        <v>46307</v>
      </c>
      <c r="E334" s="57" t="str">
        <f aca="false">Flights!$G$14&amp;"-"&amp;Flights!$H$14</f>
        <v>KUL-PEN</v>
      </c>
      <c r="F334" s="57" t="str">
        <f aca="false">Flights!$K$14</f>
        <v>BC</v>
      </c>
      <c r="G334" s="57" t="s">
        <v>383</v>
      </c>
      <c r="H334" s="57" t="s">
        <v>341</v>
      </c>
      <c r="I334" s="57" t="s">
        <v>391</v>
      </c>
      <c r="J334" s="57" t="s">
        <v>392</v>
      </c>
      <c r="K334" s="67"/>
      <c r="L334" s="67" t="s">
        <v>385</v>
      </c>
      <c r="M334" s="67"/>
      <c r="N334" s="67" t="s">
        <v>346</v>
      </c>
      <c r="O334" s="67" t="s">
        <v>386</v>
      </c>
      <c r="P334" s="57" t="s">
        <v>177</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IF(N334="N/A – rule","N/A – RULE",IF(TRIM(U334)="N/A",IF(AT334=0,"INVALID – N/A not permitted for this mandatory check",IF(AND(TRIM(AC334)&lt;&gt;"",TRIM(AE334)&lt;&gt;"",TRIM(T334)&lt;&gt;""),"N/A – JUSTIFIED","INVALID – N/A needs justification, PIC and verifier")),IF(OR(TRIM(U334)="Pass",TRIM(U334)="Pass after CA"),IF(NOT(ISNUMBER(AD334)),"INVALID – completion time missing",IF(TRIM(T334)="","INVALID – PIC missing",IF(TRIM(Z334)="","INVALID – evidence missing",IF(TRIM(AE334)="","INVALID – verifier missing",IF(AND(AQ334=1,TRIM(W334)=""),"INVALID – batch ID missing",IF(AND(AR334=1,OR(NOT(ISNUMBER(X334)),NOT(ISNUMBER(Y334)))),"INVALID – expected/actual qty missing",IF(IF(AND(TRIM(U334)="Pass",ISNUMBER(AF334)),IF(AF334&lt;&gt;0,"INVALID – qty variance: use Fail or Pass after CA",""),"")&amp;IF(AND(TRIM(U334)="Pass",AB334="Open"),"INVALID – corrective action still open: use Fail, then Pass after CA","")&amp;IF(AND(TRIM(U334)="Pass after CA",OR(TRIM(AA334)="",AB334&lt;&gt;"Closed")),"INVALID – corrective action not recorded/closed","")&lt;&gt;"",IF(AND(TRIM(U334)="Pass",ISNUMBER(AF334)),IF(AF334&lt;&gt;0,"INVALID – qty variance: use Fail or Pass after CA",""),"")&amp;IF(AND(TRIM(U334)="Pass",AB334="Open"),"INVALID – corrective action still open: use Fail, then Pass after CA","")&amp;IF(AND(TRIM(U334)="Pass after CA",OR(TRIM(AA334)="",AB334&lt;&gt;"Closed")),"INVALID – corrective action not recorded/closed",""),IF(AND(AS334=1,Documents!$J$14&lt;&gt;"ON FILE"),"INVALID – GLD not on file (Documents sheet)",IF(AND(AS334=2,Documents!$O$14&lt;&gt;"ON FILE"),"INVALID – menu checklist not on file (Documents sheet)",IF(AND(AS334=3,NOT(ISNUMBER(Flights!$AX$14))),"INVALID – enter carrying flight KUL departure (Flights AX)",IF(AG334&gt;AsOfUTC,"INVALID – completion time is in the future",IF(AND(ISNUMBER(S334),AG334&lt;S334),IF(H334="Physical uplift","INVALID – before uplift window (cannot confirm loading)","INVALID – before valid window"),IF(AG334&gt;Flights!$AA$14,"INVALID – completed after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f>
        <v>OPEN</v>
      </c>
      <c r="AI334" s="61" t="n">
        <f aca="false">IF(OR(AH334="N/A – RULE",AH334="N/A – JUSTIFIED"),0,1)</f>
        <v>1</v>
      </c>
      <c r="AJ334" s="61" t="n">
        <f aca="false">IF(LEFT(AH334,8)="COMPLETE",1,0)</f>
        <v>0</v>
      </c>
      <c r="AK334" s="61" t="n">
        <f aca="false">IF(AND(AI334=1,AJ334=0,AsOfUTC&gt;Q334),1,0)</f>
        <v>0</v>
      </c>
      <c r="AL334" s="61" t="n">
        <f aca="false">IF(AND(AI334=1,OR(TRIM(U334)="Fail",AB334="Open",AND(ISNUMBER(AF334),AF334&lt;&gt;0,TRIM(U334)&lt;&gt;"Pass after CA"))),1,0)</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row>
    <row r="335" customFormat="false" ht="39.75" hidden="false" customHeight="true" outlineLevel="0" collapsed="false">
      <c r="A335" s="57" t="s">
        <v>891</v>
      </c>
      <c r="B335" s="57" t="s">
        <v>241</v>
      </c>
      <c r="C335" s="57" t="str">
        <f aca="false">Flights!$F$14</f>
        <v>MH1140</v>
      </c>
      <c r="D335" s="58" t="n">
        <f aca="false">Flights!$D$14</f>
        <v>46307</v>
      </c>
      <c r="E335" s="57" t="str">
        <f aca="false">Flights!$G$14&amp;"-"&amp;Flights!$H$14</f>
        <v>KUL-PEN</v>
      </c>
      <c r="F335" s="57" t="str">
        <f aca="false">Flights!$K$14</f>
        <v>BC</v>
      </c>
      <c r="G335" s="57" t="s">
        <v>383</v>
      </c>
      <c r="H335" s="57" t="s">
        <v>341</v>
      </c>
      <c r="I335" s="57" t="s">
        <v>391</v>
      </c>
      <c r="J335" s="57" t="s">
        <v>394</v>
      </c>
      <c r="K335" s="67"/>
      <c r="L335" s="67" t="s">
        <v>385</v>
      </c>
      <c r="M335" s="67"/>
      <c r="N335" s="67" t="s">
        <v>346</v>
      </c>
      <c r="O335" s="67" t="s">
        <v>386</v>
      </c>
      <c r="P335" s="57" t="s">
        <v>177</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IF(N335="N/A – rule","N/A – RULE",IF(TRIM(U335)="N/A",IF(AT335=0,"INVALID – N/A not permitted for this mandatory check",IF(AND(TRIM(AC335)&lt;&gt;"",TRIM(AE335)&lt;&gt;"",TRIM(T335)&lt;&gt;""),"N/A – JUSTIFIED","INVALID – N/A needs justification, PIC and verifier")),IF(OR(TRIM(U335)="Pass",TRIM(U335)="Pass after CA"),IF(NOT(ISNUMBER(AD335)),"INVALID – completion time missing",IF(TRIM(T335)="","INVALID – PIC missing",IF(TRIM(Z335)="","INVALID – evidence missing",IF(TRIM(AE335)="","INVALID – verifier missing",IF(AND(AQ335=1,TRIM(W335)=""),"INVALID – batch ID missing",IF(AND(AR335=1,OR(NOT(ISNUMBER(X335)),NOT(ISNUMBER(Y335)))),"INVALID – expected/actual qty missing",IF(IF(AND(TRIM(U335)="Pass",ISNUMBER(AF335)),IF(AF335&lt;&gt;0,"INVALID – qty variance: use Fail or Pass after CA",""),"")&amp;IF(AND(TRIM(U335)="Pass",AB335="Open"),"INVALID – corrective action still open: use Fail, then Pass after CA","")&amp;IF(AND(TRIM(U335)="Pass after CA",OR(TRIM(AA335)="",AB335&lt;&gt;"Closed")),"INVALID – corrective action not recorded/closed","")&lt;&gt;"",IF(AND(TRIM(U335)="Pass",ISNUMBER(AF335)),IF(AF335&lt;&gt;0,"INVALID – qty variance: use Fail or Pass after CA",""),"")&amp;IF(AND(TRIM(U335)="Pass",AB335="Open"),"INVALID – corrective action still open: use Fail, then Pass after CA","")&amp;IF(AND(TRIM(U335)="Pass after CA",OR(TRIM(AA335)="",AB335&lt;&gt;"Closed")),"INVALID – corrective action not recorded/closed",""),IF(AND(AS335=1,Documents!$J$14&lt;&gt;"ON FILE"),"INVALID – GLD not on file (Documents sheet)",IF(AND(AS335=2,Documents!$O$14&lt;&gt;"ON FILE"),"INVALID – menu checklist not on file (Documents sheet)",IF(AND(AS335=3,NOT(ISNUMBER(Flights!$AX$14))),"INVALID – enter carrying flight KUL departure (Flights AX)",IF(AG335&gt;AsOfUTC,"INVALID – completion time is in the future",IF(AND(ISNUMBER(S335),AG335&lt;S335),IF(H335="Physical uplift","INVALID – before uplift window (cannot confirm loading)","INVALID – before valid window"),IF(AG335&gt;Flights!$AA$14,"INVALID – completed after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f>
        <v>OPEN</v>
      </c>
      <c r="AI335" s="61" t="n">
        <f aca="false">IF(OR(AH335="N/A – RULE",AH335="N/A – JUSTIFIED"),0,1)</f>
        <v>1</v>
      </c>
      <c r="AJ335" s="61" t="n">
        <f aca="false">IF(LEFT(AH335,8)="COMPLETE",1,0)</f>
        <v>0</v>
      </c>
      <c r="AK335" s="61" t="n">
        <f aca="false">IF(AND(AI335=1,AJ335=0,AsOfUTC&gt;Q335),1,0)</f>
        <v>0</v>
      </c>
      <c r="AL335" s="61" t="n">
        <f aca="false">IF(AND(AI335=1,OR(TRIM(U335)="Fail",AB335="Open",AND(ISNUMBER(AF335),AF335&lt;&gt;0,TRIM(U335)&lt;&gt;"Pass after CA"))),1,0)</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row>
    <row r="336" customFormat="false" ht="39.75" hidden="false" customHeight="true" outlineLevel="0" collapsed="false">
      <c r="A336" s="57" t="s">
        <v>892</v>
      </c>
      <c r="B336" s="57" t="s">
        <v>241</v>
      </c>
      <c r="C336" s="57" t="str">
        <f aca="false">Flights!$F$14</f>
        <v>MH1140</v>
      </c>
      <c r="D336" s="58" t="n">
        <f aca="false">Flights!$D$14</f>
        <v>46307</v>
      </c>
      <c r="E336" s="57" t="str">
        <f aca="false">Flights!$G$14&amp;"-"&amp;Flights!$H$14</f>
        <v>KUL-PEN</v>
      </c>
      <c r="F336" s="57" t="str">
        <f aca="false">Flights!$K$14</f>
        <v>BC</v>
      </c>
      <c r="G336" s="57" t="s">
        <v>383</v>
      </c>
      <c r="H336" s="57" t="s">
        <v>341</v>
      </c>
      <c r="I336" s="57" t="s">
        <v>391</v>
      </c>
      <c r="J336" s="57" t="s">
        <v>396</v>
      </c>
      <c r="K336" s="67"/>
      <c r="L336" s="67" t="s">
        <v>385</v>
      </c>
      <c r="M336" s="67"/>
      <c r="N336" s="67" t="s">
        <v>346</v>
      </c>
      <c r="O336" s="67" t="s">
        <v>386</v>
      </c>
      <c r="P336" s="57" t="s">
        <v>177</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IF(N336="N/A – rule","N/A – RULE",IF(TRIM(U336)="N/A",IF(AT336=0,"INVALID – N/A not permitted for this mandatory check",IF(AND(TRIM(AC336)&lt;&gt;"",TRIM(AE336)&lt;&gt;"",TRIM(T336)&lt;&gt;""),"N/A – JUSTIFIED","INVALID – N/A needs justification, PIC and verifier")),IF(OR(TRIM(U336)="Pass",TRIM(U336)="Pass after CA"),IF(NOT(ISNUMBER(AD336)),"INVALID – completion time missing",IF(TRIM(T336)="","INVALID – PIC missing",IF(TRIM(Z336)="","INVALID – evidence missing",IF(TRIM(AE336)="","INVALID – verifier missing",IF(AND(AQ336=1,TRIM(W336)=""),"INVALID – batch ID missing",IF(AND(AR336=1,OR(NOT(ISNUMBER(X336)),NOT(ISNUMBER(Y336)))),"INVALID – expected/actual qty missing",IF(IF(AND(TRIM(U336)="Pass",ISNUMBER(AF336)),IF(AF336&lt;&gt;0,"INVALID – qty variance: use Fail or Pass after CA",""),"")&amp;IF(AND(TRIM(U336)="Pass",AB336="Open"),"INVALID – corrective action still open: use Fail, then Pass after CA","")&amp;IF(AND(TRIM(U336)="Pass after CA",OR(TRIM(AA336)="",AB336&lt;&gt;"Closed")),"INVALID – corrective action not recorded/closed","")&lt;&gt;"",IF(AND(TRIM(U336)="Pass",ISNUMBER(AF336)),IF(AF336&lt;&gt;0,"INVALID – qty variance: use Fail or Pass after CA",""),"")&amp;IF(AND(TRIM(U336)="Pass",AB336="Open"),"INVALID – corrective action still open: use Fail, then Pass after CA","")&amp;IF(AND(TRIM(U336)="Pass after CA",OR(TRIM(AA336)="",AB336&lt;&gt;"Closed")),"INVALID – corrective action not recorded/closed",""),IF(AND(AS336=1,Documents!$J$14&lt;&gt;"ON FILE"),"INVALID – GLD not on file (Documents sheet)",IF(AND(AS336=2,Documents!$O$14&lt;&gt;"ON FILE"),"INVALID – menu checklist not on file (Documents sheet)",IF(AND(AS336=3,NOT(ISNUMBER(Flights!$AX$14))),"INVALID – enter carrying flight KUL departure (Flights AX)",IF(AG336&gt;AsOfUTC,"INVALID – completion time is in the future",IF(AND(ISNUMBER(S336),AG336&lt;S336),IF(H336="Physical uplift","INVALID – before uplift window (cannot confirm loading)","INVALID – before valid window"),IF(AG336&gt;Flights!$AA$14,"INVALID – completed after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f>
        <v>OPEN</v>
      </c>
      <c r="AI336" s="61" t="n">
        <f aca="false">IF(OR(AH336="N/A – RULE",AH336="N/A – JUSTIFIED"),0,1)</f>
        <v>1</v>
      </c>
      <c r="AJ336" s="61" t="n">
        <f aca="false">IF(LEFT(AH336,8)="COMPLETE",1,0)</f>
        <v>0</v>
      </c>
      <c r="AK336" s="61" t="n">
        <f aca="false">IF(AND(AI336=1,AJ336=0,AsOfUTC&gt;Q336),1,0)</f>
        <v>0</v>
      </c>
      <c r="AL336" s="61" t="n">
        <f aca="false">IF(AND(AI336=1,OR(TRIM(U336)="Fail",AB336="Open",AND(ISNUMBER(AF336),AF336&lt;&gt;0,TRIM(U336)&lt;&gt;"Pass after CA"))),1,0)</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row>
    <row r="337" customFormat="false" ht="78.75" hidden="false" customHeight="true" outlineLevel="0" collapsed="false">
      <c r="A337" s="57" t="s">
        <v>893</v>
      </c>
      <c r="B337" s="57" t="s">
        <v>241</v>
      </c>
      <c r="C337" s="57" t="str">
        <f aca="false">Flights!$F$14</f>
        <v>MH1140</v>
      </c>
      <c r="D337" s="58" t="n">
        <f aca="false">Flights!$D$14</f>
        <v>46307</v>
      </c>
      <c r="E337" s="57" t="str">
        <f aca="false">Flights!$G$14&amp;"-"&amp;Flights!$H$14</f>
        <v>KUL-PEN</v>
      </c>
      <c r="F337" s="57" t="str">
        <f aca="false">Flights!$K$14</f>
        <v>BC</v>
      </c>
      <c r="G337" s="57" t="s">
        <v>383</v>
      </c>
      <c r="H337" s="57" t="s">
        <v>341</v>
      </c>
      <c r="I337" s="57" t="s">
        <v>391</v>
      </c>
      <c r="J337" s="57" t="s">
        <v>398</v>
      </c>
      <c r="K337" s="67" t="s">
        <v>454</v>
      </c>
      <c r="L337" s="67" t="s">
        <v>385</v>
      </c>
      <c r="M337" s="67"/>
      <c r="N337" s="67" t="s">
        <v>346</v>
      </c>
      <c r="O337" s="67" t="s">
        <v>386</v>
      </c>
      <c r="P337" s="57" t="s">
        <v>177</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IF(N337="N/A – rule","N/A – RULE",IF(TRIM(U337)="N/A",IF(AT337=0,"INVALID – N/A not permitted for this mandatory check",IF(AND(TRIM(AC337)&lt;&gt;"",TRIM(AE337)&lt;&gt;"",TRIM(T337)&lt;&gt;""),"N/A – JUSTIFIED","INVALID – N/A needs justification, PIC and verifier")),IF(OR(TRIM(U337)="Pass",TRIM(U337)="Pass after CA"),IF(NOT(ISNUMBER(AD337)),"INVALID – completion time missing",IF(TRIM(T337)="","INVALID – PIC missing",IF(TRIM(Z337)="","INVALID – evidence missing",IF(TRIM(AE337)="","INVALID – verifier missing",IF(AND(AQ337=1,TRIM(W337)=""),"INVALID – batch ID missing",IF(AND(AR337=1,OR(NOT(ISNUMBER(X337)),NOT(ISNUMBER(Y337)))),"INVALID – expected/actual qty missing",IF(IF(AND(TRIM(U337)="Pass",ISNUMBER(AF337)),IF(AF337&lt;&gt;0,"INVALID – qty variance: use Fail or Pass after CA",""),"")&amp;IF(AND(TRIM(U337)="Pass",AB337="Open"),"INVALID – corrective action still open: use Fail, then Pass after CA","")&amp;IF(AND(TRIM(U337)="Pass after CA",OR(TRIM(AA337)="",AB337&lt;&gt;"Closed")),"INVALID – corrective action not recorded/closed","")&lt;&gt;"",IF(AND(TRIM(U337)="Pass",ISNUMBER(AF337)),IF(AF337&lt;&gt;0,"INVALID – qty variance: use Fail or Pass after CA",""),"")&amp;IF(AND(TRIM(U337)="Pass",AB337="Open"),"INVALID – corrective action still open: use Fail, then Pass after CA","")&amp;IF(AND(TRIM(U337)="Pass after CA",OR(TRIM(AA337)="",AB337&lt;&gt;"Closed")),"INVALID – corrective action not recorded/closed",""),IF(AND(AS337=1,Documents!$J$14&lt;&gt;"ON FILE"),"INVALID – GLD not on file (Documents sheet)",IF(AND(AS337=2,Documents!$O$14&lt;&gt;"ON FILE"),"INVALID – menu checklist not on file (Documents sheet)",IF(AND(AS337=3,NOT(ISNUMBER(Flights!$AX$14))),"INVALID – enter carrying flight KUL departure (Flights AX)",IF(AG337&gt;AsOfUTC,"INVALID – completion time is in the future",IF(AND(ISNUMBER(S337),AG337&lt;S337),IF(H337="Physical uplift","INVALID – before uplift window (cannot confirm loading)","INVALID – before valid window"),IF(AG337&gt;Flights!$AA$14,"INVALID – completed after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f>
        <v>OPEN</v>
      </c>
      <c r="AI337" s="61" t="n">
        <f aca="false">IF(OR(AH337="N/A – RULE",AH337="N/A – JUSTIFIED"),0,1)</f>
        <v>1</v>
      </c>
      <c r="AJ337" s="61" t="n">
        <f aca="false">IF(LEFT(AH337,8)="COMPLETE",1,0)</f>
        <v>0</v>
      </c>
      <c r="AK337" s="61" t="n">
        <f aca="false">IF(AND(AI337=1,AJ337=0,AsOfUTC&gt;Q337),1,0)</f>
        <v>0</v>
      </c>
      <c r="AL337" s="61" t="n">
        <f aca="false">IF(AND(AI337=1,OR(TRIM(U337)="Fail",AB337="Open",AND(ISNUMBER(AF337),AF337&lt;&gt;0,TRIM(U337)&lt;&gt;"Pass after CA"))),1,0)</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row>
    <row r="338" customFormat="false" ht="39.75" hidden="false" customHeight="true" outlineLevel="0" collapsed="false">
      <c r="A338" s="57" t="s">
        <v>894</v>
      </c>
      <c r="B338" s="57" t="s">
        <v>241</v>
      </c>
      <c r="C338" s="57" t="str">
        <f aca="false">Flights!$F$14</f>
        <v>MH1140</v>
      </c>
      <c r="D338" s="58" t="n">
        <f aca="false">Flights!$D$14</f>
        <v>46307</v>
      </c>
      <c r="E338" s="57" t="str">
        <f aca="false">Flights!$G$14&amp;"-"&amp;Flights!$H$14</f>
        <v>KUL-PEN</v>
      </c>
      <c r="F338" s="57" t="str">
        <f aca="false">Flights!$K$14</f>
        <v>BC</v>
      </c>
      <c r="G338" s="57" t="s">
        <v>383</v>
      </c>
      <c r="H338" s="57" t="s">
        <v>341</v>
      </c>
      <c r="I338" s="57" t="s">
        <v>391</v>
      </c>
      <c r="J338" s="57" t="s">
        <v>401</v>
      </c>
      <c r="K338" s="67"/>
      <c r="L338" s="67" t="s">
        <v>385</v>
      </c>
      <c r="M338" s="67"/>
      <c r="N338" s="67" t="s">
        <v>346</v>
      </c>
      <c r="O338" s="67" t="s">
        <v>386</v>
      </c>
      <c r="P338" s="57" t="s">
        <v>177</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IF(N338="N/A – rule","N/A – RULE",IF(TRIM(U338)="N/A",IF(AT338=0,"INVALID – N/A not permitted for this mandatory check",IF(AND(TRIM(AC338)&lt;&gt;"",TRIM(AE338)&lt;&gt;"",TRIM(T338)&lt;&gt;""),"N/A – JUSTIFIED","INVALID – N/A needs justification, PIC and verifier")),IF(OR(TRIM(U338)="Pass",TRIM(U338)="Pass after CA"),IF(NOT(ISNUMBER(AD338)),"INVALID – completion time missing",IF(TRIM(T338)="","INVALID – PIC missing",IF(TRIM(Z338)="","INVALID – evidence missing",IF(TRIM(AE338)="","INVALID – verifier missing",IF(AND(AQ338=1,TRIM(W338)=""),"INVALID – batch ID missing",IF(AND(AR338=1,OR(NOT(ISNUMBER(X338)),NOT(ISNUMBER(Y338)))),"INVALID – expected/actual qty missing",IF(IF(AND(TRIM(U338)="Pass",ISNUMBER(AF338)),IF(AF338&lt;&gt;0,"INVALID – qty variance: use Fail or Pass after CA",""),"")&amp;IF(AND(TRIM(U338)="Pass",AB338="Open"),"INVALID – corrective action still open: use Fail, then Pass after CA","")&amp;IF(AND(TRIM(U338)="Pass after CA",OR(TRIM(AA338)="",AB338&lt;&gt;"Closed")),"INVALID – corrective action not recorded/closed","")&lt;&gt;"",IF(AND(TRIM(U338)="Pass",ISNUMBER(AF338)),IF(AF338&lt;&gt;0,"INVALID – qty variance: use Fail or Pass after CA",""),"")&amp;IF(AND(TRIM(U338)="Pass",AB338="Open"),"INVALID – corrective action still open: use Fail, then Pass after CA","")&amp;IF(AND(TRIM(U338)="Pass after CA",OR(TRIM(AA338)="",AB338&lt;&gt;"Closed")),"INVALID – corrective action not recorded/closed",""),IF(AND(AS338=1,Documents!$J$14&lt;&gt;"ON FILE"),"INVALID – GLD not on file (Documents sheet)",IF(AND(AS338=2,Documents!$O$14&lt;&gt;"ON FILE"),"INVALID – menu checklist not on file (Documents sheet)",IF(AND(AS338=3,NOT(ISNUMBER(Flights!$AX$14))),"INVALID – enter carrying flight KUL departure (Flights AX)",IF(AG338&gt;AsOfUTC,"INVALID – completion time is in the future",IF(AND(ISNUMBER(S338),AG338&lt;S338),IF(H338="Physical uplift","INVALID – before uplift window (cannot confirm loading)","INVALID – before valid window"),IF(AG338&gt;Flights!$AA$14,"INVALID – completed after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f>
        <v>OPEN</v>
      </c>
      <c r="AI338" s="61" t="n">
        <f aca="false">IF(OR(AH338="N/A – RULE",AH338="N/A – JUSTIFIED"),0,1)</f>
        <v>1</v>
      </c>
      <c r="AJ338" s="61" t="n">
        <f aca="false">IF(LEFT(AH338,8)="COMPLETE",1,0)</f>
        <v>0</v>
      </c>
      <c r="AK338" s="61" t="n">
        <f aca="false">IF(AND(AI338=1,AJ338=0,AsOfUTC&gt;Q338),1,0)</f>
        <v>0</v>
      </c>
      <c r="AL338" s="61" t="n">
        <f aca="false">IF(AND(AI338=1,OR(TRIM(U338)="Fail",AB338="Open",AND(ISNUMBER(AF338),AF338&lt;&gt;0,TRIM(U338)&lt;&gt;"Pass after CA"))),1,0)</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row>
    <row r="339" customFormat="false" ht="66" hidden="false" customHeight="true" outlineLevel="0" collapsed="false">
      <c r="A339" s="57" t="s">
        <v>895</v>
      </c>
      <c r="B339" s="57" t="s">
        <v>241</v>
      </c>
      <c r="C339" s="57" t="str">
        <f aca="false">Flights!$F$14</f>
        <v>MH1140</v>
      </c>
      <c r="D339" s="58" t="n">
        <f aca="false">Flights!$D$14</f>
        <v>46307</v>
      </c>
      <c r="E339" s="57" t="str">
        <f aca="false">Flights!$G$14&amp;"-"&amp;Flights!$H$14</f>
        <v>KUL-PEN</v>
      </c>
      <c r="F339" s="57" t="str">
        <f aca="false">Flights!$K$14</f>
        <v>BC</v>
      </c>
      <c r="G339" s="57" t="s">
        <v>383</v>
      </c>
      <c r="H339" s="57" t="s">
        <v>341</v>
      </c>
      <c r="I339" s="57" t="s">
        <v>403</v>
      </c>
      <c r="J339" s="57" t="s">
        <v>457</v>
      </c>
      <c r="K339" s="67" t="s">
        <v>458</v>
      </c>
      <c r="L339" s="67" t="s">
        <v>896</v>
      </c>
      <c r="M339" s="67" t="s">
        <v>414</v>
      </c>
      <c r="N339" s="67" t="s">
        <v>346</v>
      </c>
      <c r="O339" s="67" t="s">
        <v>460</v>
      </c>
      <c r="P339" s="57" t="s">
        <v>177</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IF(N339="N/A – rule","N/A – RULE",IF(TRIM(U339)="N/A",IF(AT339=0,"INVALID – N/A not permitted for this mandatory check",IF(AND(TRIM(AC339)&lt;&gt;"",TRIM(AE339)&lt;&gt;"",TRIM(T339)&lt;&gt;""),"N/A – JUSTIFIED","INVALID – N/A needs justification, PIC and verifier")),IF(OR(TRIM(U339)="Pass",TRIM(U339)="Pass after CA"),IF(NOT(ISNUMBER(AD339)),"INVALID – completion time missing",IF(TRIM(T339)="","INVALID – PIC missing",IF(TRIM(Z339)="","INVALID – evidence missing",IF(TRIM(AE339)="","INVALID – verifier missing",IF(AND(AQ339=1,TRIM(W339)=""),"INVALID – batch ID missing",IF(AND(AR339=1,OR(NOT(ISNUMBER(X339)),NOT(ISNUMBER(Y339)))),"INVALID – expected/actual qty missing",IF(IF(AND(TRIM(U339)="Pass",ISNUMBER(AF339)),IF(AF339&lt;&gt;0,"INVALID – qty variance: use Fail or Pass after CA",""),"")&amp;IF(AND(TRIM(U339)="Pass",AB339="Open"),"INVALID – corrective action still open: use Fail, then Pass after CA","")&amp;IF(AND(TRIM(U339)="Pass after CA",OR(TRIM(AA339)="",AB339&lt;&gt;"Closed")),"INVALID – corrective action not recorded/closed","")&lt;&gt;"",IF(AND(TRIM(U339)="Pass",ISNUMBER(AF339)),IF(AF339&lt;&gt;0,"INVALID – qty variance: use Fail or Pass after CA",""),"")&amp;IF(AND(TRIM(U339)="Pass",AB339="Open"),"INVALID – corrective action still open: use Fail, then Pass after CA","")&amp;IF(AND(TRIM(U339)="Pass after CA",OR(TRIM(AA339)="",AB339&lt;&gt;"Closed")),"INVALID – corrective action not recorded/closed",""),IF(AND(AS339=1,Documents!$J$14&lt;&gt;"ON FILE"),"INVALID – GLD not on file (Documents sheet)",IF(AND(AS339=2,Documents!$O$14&lt;&gt;"ON FILE"),"INVALID – menu checklist not on file (Documents sheet)",IF(AND(AS339=3,NOT(ISNUMBER(Flights!$AX$14))),"INVALID – enter carrying flight KUL departure (Flights AX)",IF(AG339&gt;AsOfUTC,"INVALID – completion time is in the future",IF(AND(ISNUMBER(S339),AG339&lt;S339),IF(H339="Physical uplift","INVALID – before uplift window (cannot confirm loading)","INVALID – before valid window"),IF(AG339&gt;Flights!$AA$14,"INVALID – completed after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f>
        <v>OPEN</v>
      </c>
      <c r="AI339" s="61" t="n">
        <f aca="false">IF(OR(AH339="N/A – RULE",AH339="N/A – JUSTIFIED"),0,1)</f>
        <v>1</v>
      </c>
      <c r="AJ339" s="61" t="n">
        <f aca="false">IF(LEFT(AH339,8)="COMPLETE",1,0)</f>
        <v>0</v>
      </c>
      <c r="AK339" s="61" t="n">
        <f aca="false">IF(AND(AI339=1,AJ339=0,AsOfUTC&gt;Q339),1,0)</f>
        <v>0</v>
      </c>
      <c r="AL339" s="61" t="n">
        <f aca="false">IF(AND(AI339=1,OR(TRIM(U339)="Fail",AB339="Open",AND(ISNUMBER(AF339),AF339&lt;&gt;0,TRIM(U339)&lt;&gt;"Pass after CA"))),1,0)</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1</v>
      </c>
    </row>
    <row r="340" customFormat="false" ht="41.25" hidden="false" customHeight="true" outlineLevel="0" collapsed="false">
      <c r="A340" s="57" t="s">
        <v>897</v>
      </c>
      <c r="B340" s="57" t="s">
        <v>241</v>
      </c>
      <c r="C340" s="57" t="str">
        <f aca="false">Flights!$F$14</f>
        <v>MH1140</v>
      </c>
      <c r="D340" s="58" t="n">
        <f aca="false">Flights!$D$14</f>
        <v>46307</v>
      </c>
      <c r="E340" s="57" t="str">
        <f aca="false">Flights!$G$14&amp;"-"&amp;Flights!$H$14</f>
        <v>KUL-PEN</v>
      </c>
      <c r="F340" s="57" t="str">
        <f aca="false">Flights!$K$14</f>
        <v>BC</v>
      </c>
      <c r="G340" s="57" t="s">
        <v>383</v>
      </c>
      <c r="H340" s="57" t="s">
        <v>341</v>
      </c>
      <c r="I340" s="57" t="s">
        <v>462</v>
      </c>
      <c r="J340" s="57" t="s">
        <v>463</v>
      </c>
      <c r="K340" s="67" t="s">
        <v>464</v>
      </c>
      <c r="L340" s="67" t="s">
        <v>898</v>
      </c>
      <c r="M340" s="67" t="s">
        <v>414</v>
      </c>
      <c r="N340" s="67" t="s">
        <v>346</v>
      </c>
      <c r="O340" s="67" t="s">
        <v>466</v>
      </c>
      <c r="P340" s="57" t="s">
        <v>177</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IF(N340="N/A – rule","N/A – RULE",IF(TRIM(U340)="N/A",IF(AT340=0,"INVALID – N/A not permitted for this mandatory check",IF(AND(TRIM(AC340)&lt;&gt;"",TRIM(AE340)&lt;&gt;"",TRIM(T340)&lt;&gt;""),"N/A – JUSTIFIED","INVALID – N/A needs justification, PIC and verifier")),IF(OR(TRIM(U340)="Pass",TRIM(U340)="Pass after CA"),IF(NOT(ISNUMBER(AD340)),"INVALID – completion time missing",IF(TRIM(T340)="","INVALID – PIC missing",IF(TRIM(Z340)="","INVALID – evidence missing",IF(TRIM(AE340)="","INVALID – verifier missing",IF(AND(AQ340=1,TRIM(W340)=""),"INVALID – batch ID missing",IF(AND(AR340=1,OR(NOT(ISNUMBER(X340)),NOT(ISNUMBER(Y340)))),"INVALID – expected/actual qty missing",IF(IF(AND(TRIM(U340)="Pass",ISNUMBER(AF340)),IF(AF340&lt;&gt;0,"INVALID – qty variance: use Fail or Pass after CA",""),"")&amp;IF(AND(TRIM(U340)="Pass",AB340="Open"),"INVALID – corrective action still open: use Fail, then Pass after CA","")&amp;IF(AND(TRIM(U340)="Pass after CA",OR(TRIM(AA340)="",AB340&lt;&gt;"Closed")),"INVALID – corrective action not recorded/closed","")&lt;&gt;"",IF(AND(TRIM(U340)="Pass",ISNUMBER(AF340)),IF(AF340&lt;&gt;0,"INVALID – qty variance: use Fail or Pass after CA",""),"")&amp;IF(AND(TRIM(U340)="Pass",AB340="Open"),"INVALID – corrective action still open: use Fail, then Pass after CA","")&amp;IF(AND(TRIM(U340)="Pass after CA",OR(TRIM(AA340)="",AB340&lt;&gt;"Closed")),"INVALID – corrective action not recorded/closed",""),IF(AND(AS340=1,Documents!$J$14&lt;&gt;"ON FILE"),"INVALID – GLD not on file (Documents sheet)",IF(AND(AS340=2,Documents!$O$14&lt;&gt;"ON FILE"),"INVALID – menu checklist not on file (Documents sheet)",IF(AND(AS340=3,NOT(ISNUMBER(Flights!$AX$14))),"INVALID – enter carrying flight KUL departure (Flights AX)",IF(AG340&gt;AsOfUTC,"INVALID – completion time is in the future",IF(AND(ISNUMBER(S340),AG340&lt;S340),IF(H340="Physical uplift","INVALID – before uplift window (cannot confirm loading)","INVALID – before valid window"),IF(AG340&gt;Flights!$AA$14,"INVALID – completed after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f>
        <v>OPEN</v>
      </c>
      <c r="AI340" s="61" t="n">
        <f aca="false">IF(OR(AH340="N/A – RULE",AH340="N/A – JUSTIFIED"),0,1)</f>
        <v>1</v>
      </c>
      <c r="AJ340" s="61" t="n">
        <f aca="false">IF(LEFT(AH340,8)="COMPLETE",1,0)</f>
        <v>0</v>
      </c>
      <c r="AK340" s="61" t="n">
        <f aca="false">IF(AND(AI340=1,AJ340=0,AsOfUTC&gt;Q340),1,0)</f>
        <v>0</v>
      </c>
      <c r="AL340" s="61" t="n">
        <f aca="false">IF(AND(AI340=1,OR(TRIM(U340)="Fail",AB340="Open",AND(ISNUMBER(AF340),AF340&lt;&gt;0,TRIM(U340)&lt;&gt;"Pass after CA"))),1,0)</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1</v>
      </c>
    </row>
    <row r="341" customFormat="false" ht="41.25" hidden="false" customHeight="true" outlineLevel="0" collapsed="false">
      <c r="A341" s="57" t="s">
        <v>899</v>
      </c>
      <c r="B341" s="57" t="s">
        <v>241</v>
      </c>
      <c r="C341" s="57" t="str">
        <f aca="false">Flights!$F$14</f>
        <v>MH1140</v>
      </c>
      <c r="D341" s="58" t="n">
        <f aca="false">Flights!$D$14</f>
        <v>46307</v>
      </c>
      <c r="E341" s="57" t="str">
        <f aca="false">Flights!$G$14&amp;"-"&amp;Flights!$H$14</f>
        <v>KUL-PEN</v>
      </c>
      <c r="F341" s="57" t="str">
        <f aca="false">Flights!$K$14</f>
        <v>BC</v>
      </c>
      <c r="G341" s="57" t="s">
        <v>383</v>
      </c>
      <c r="H341" s="57" t="s">
        <v>341</v>
      </c>
      <c r="I341" s="57" t="s">
        <v>462</v>
      </c>
      <c r="J341" s="57" t="s">
        <v>468</v>
      </c>
      <c r="K341" s="67" t="s">
        <v>464</v>
      </c>
      <c r="L341" s="67" t="s">
        <v>900</v>
      </c>
      <c r="M341" s="67" t="s">
        <v>414</v>
      </c>
      <c r="N341" s="67" t="s">
        <v>346</v>
      </c>
      <c r="O341" s="67" t="s">
        <v>466</v>
      </c>
      <c r="P341" s="57" t="s">
        <v>177</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IF(N341="N/A – rule","N/A – RULE",IF(TRIM(U341)="N/A",IF(AT341=0,"INVALID – N/A not permitted for this mandatory check",IF(AND(TRIM(AC341)&lt;&gt;"",TRIM(AE341)&lt;&gt;"",TRIM(T341)&lt;&gt;""),"N/A – JUSTIFIED","INVALID – N/A needs justification, PIC and verifier")),IF(OR(TRIM(U341)="Pass",TRIM(U341)="Pass after CA"),IF(NOT(ISNUMBER(AD341)),"INVALID – completion time missing",IF(TRIM(T341)="","INVALID – PIC missing",IF(TRIM(Z341)="","INVALID – evidence missing",IF(TRIM(AE341)="","INVALID – verifier missing",IF(AND(AQ341=1,TRIM(W341)=""),"INVALID – batch ID missing",IF(AND(AR341=1,OR(NOT(ISNUMBER(X341)),NOT(ISNUMBER(Y341)))),"INVALID – expected/actual qty missing",IF(IF(AND(TRIM(U341)="Pass",ISNUMBER(AF341)),IF(AF341&lt;&gt;0,"INVALID – qty variance: use Fail or Pass after CA",""),"")&amp;IF(AND(TRIM(U341)="Pass",AB341="Open"),"INVALID – corrective action still open: use Fail, then Pass after CA","")&amp;IF(AND(TRIM(U341)="Pass after CA",OR(TRIM(AA341)="",AB341&lt;&gt;"Closed")),"INVALID – corrective action not recorded/closed","")&lt;&gt;"",IF(AND(TRIM(U341)="Pass",ISNUMBER(AF341)),IF(AF341&lt;&gt;0,"INVALID – qty variance: use Fail or Pass after CA",""),"")&amp;IF(AND(TRIM(U341)="Pass",AB341="Open"),"INVALID – corrective action still open: use Fail, then Pass after CA","")&amp;IF(AND(TRIM(U341)="Pass after CA",OR(TRIM(AA341)="",AB341&lt;&gt;"Closed")),"INVALID – corrective action not recorded/closed",""),IF(AND(AS341=1,Documents!$J$14&lt;&gt;"ON FILE"),"INVALID – GLD not on file (Documents sheet)",IF(AND(AS341=2,Documents!$O$14&lt;&gt;"ON FILE"),"INVALID – menu checklist not on file (Documents sheet)",IF(AND(AS341=3,NOT(ISNUMBER(Flights!$AX$14))),"INVALID – enter carrying flight KUL departure (Flights AX)",IF(AG341&gt;AsOfUTC,"INVALID – completion time is in the future",IF(AND(ISNUMBER(S341),AG341&lt;S341),IF(H341="Physical uplift","INVALID – before uplift window (cannot confirm loading)","INVALID – before valid window"),IF(AG341&gt;Flights!$AA$14,"INVALID – completed after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f>
        <v>OPEN</v>
      </c>
      <c r="AI341" s="61" t="n">
        <f aca="false">IF(OR(AH341="N/A – RULE",AH341="N/A – JUSTIFIED"),0,1)</f>
        <v>1</v>
      </c>
      <c r="AJ341" s="61" t="n">
        <f aca="false">IF(LEFT(AH341,8)="COMPLETE",1,0)</f>
        <v>0</v>
      </c>
      <c r="AK341" s="61" t="n">
        <f aca="false">IF(AND(AI341=1,AJ341=0,AsOfUTC&gt;Q341),1,0)</f>
        <v>0</v>
      </c>
      <c r="AL341" s="61" t="n">
        <f aca="false">IF(AND(AI341=1,OR(TRIM(U341)="Fail",AB341="Open",AND(ISNUMBER(AF341),AF341&lt;&gt;0,TRIM(U341)&lt;&gt;"Pass after CA"))),1,0)</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1</v>
      </c>
    </row>
    <row r="342" customFormat="false" ht="41.25" hidden="false" customHeight="true" outlineLevel="0" collapsed="false">
      <c r="A342" s="57" t="s">
        <v>901</v>
      </c>
      <c r="B342" s="57" t="s">
        <v>241</v>
      </c>
      <c r="C342" s="57" t="str">
        <f aca="false">Flights!$F$14</f>
        <v>MH1140</v>
      </c>
      <c r="D342" s="58" t="n">
        <f aca="false">Flights!$D$14</f>
        <v>46307</v>
      </c>
      <c r="E342" s="57" t="str">
        <f aca="false">Flights!$G$14&amp;"-"&amp;Flights!$H$14</f>
        <v>KUL-PEN</v>
      </c>
      <c r="F342" s="57" t="str">
        <f aca="false">Flights!$K$14</f>
        <v>BC</v>
      </c>
      <c r="G342" s="57" t="s">
        <v>383</v>
      </c>
      <c r="H342" s="57" t="s">
        <v>341</v>
      </c>
      <c r="I342" s="57" t="s">
        <v>462</v>
      </c>
      <c r="J342" s="57" t="s">
        <v>471</v>
      </c>
      <c r="K342" s="67" t="s">
        <v>464</v>
      </c>
      <c r="L342" s="67" t="s">
        <v>902</v>
      </c>
      <c r="M342" s="67" t="s">
        <v>414</v>
      </c>
      <c r="N342" s="67" t="s">
        <v>346</v>
      </c>
      <c r="O342" s="67" t="s">
        <v>466</v>
      </c>
      <c r="P342" s="57" t="s">
        <v>177</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IF(N342="N/A – rule","N/A – RULE",IF(TRIM(U342)="N/A",IF(AT342=0,"INVALID – N/A not permitted for this mandatory check",IF(AND(TRIM(AC342)&lt;&gt;"",TRIM(AE342)&lt;&gt;"",TRIM(T342)&lt;&gt;""),"N/A – JUSTIFIED","INVALID – N/A needs justification, PIC and verifier")),IF(OR(TRIM(U342)="Pass",TRIM(U342)="Pass after CA"),IF(NOT(ISNUMBER(AD342)),"INVALID – completion time missing",IF(TRIM(T342)="","INVALID – PIC missing",IF(TRIM(Z342)="","INVALID – evidence missing",IF(TRIM(AE342)="","INVALID – verifier missing",IF(AND(AQ342=1,TRIM(W342)=""),"INVALID – batch ID missing",IF(AND(AR342=1,OR(NOT(ISNUMBER(X342)),NOT(ISNUMBER(Y342)))),"INVALID – expected/actual qty missing",IF(IF(AND(TRIM(U342)="Pass",ISNUMBER(AF342)),IF(AF342&lt;&gt;0,"INVALID – qty variance: use Fail or Pass after CA",""),"")&amp;IF(AND(TRIM(U342)="Pass",AB342="Open"),"INVALID – corrective action still open: use Fail, then Pass after CA","")&amp;IF(AND(TRIM(U342)="Pass after CA",OR(TRIM(AA342)="",AB342&lt;&gt;"Closed")),"INVALID – corrective action not recorded/closed","")&lt;&gt;"",IF(AND(TRIM(U342)="Pass",ISNUMBER(AF342)),IF(AF342&lt;&gt;0,"INVALID – qty variance: use Fail or Pass after CA",""),"")&amp;IF(AND(TRIM(U342)="Pass",AB342="Open"),"INVALID – corrective action still open: use Fail, then Pass after CA","")&amp;IF(AND(TRIM(U342)="Pass after CA",OR(TRIM(AA342)="",AB342&lt;&gt;"Closed")),"INVALID – corrective action not recorded/closed",""),IF(AND(AS342=1,Documents!$J$14&lt;&gt;"ON FILE"),"INVALID – GLD not on file (Documents sheet)",IF(AND(AS342=2,Documents!$O$14&lt;&gt;"ON FILE"),"INVALID – menu checklist not on file (Documents sheet)",IF(AND(AS342=3,NOT(ISNUMBER(Flights!$AX$14))),"INVALID – enter carrying flight KUL departure (Flights AX)",IF(AG342&gt;AsOfUTC,"INVALID – completion time is in the future",IF(AND(ISNUMBER(S342),AG342&lt;S342),IF(H342="Physical uplift","INVALID – before uplift window (cannot confirm loading)","INVALID – before valid window"),IF(AG342&gt;Flights!$AA$14,"INVALID – completed after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f>
        <v>OPEN</v>
      </c>
      <c r="AI342" s="61" t="n">
        <f aca="false">IF(OR(AH342="N/A – RULE",AH342="N/A – JUSTIFIED"),0,1)</f>
        <v>1</v>
      </c>
      <c r="AJ342" s="61" t="n">
        <f aca="false">IF(LEFT(AH342,8)="COMPLETE",1,0)</f>
        <v>0</v>
      </c>
      <c r="AK342" s="61" t="n">
        <f aca="false">IF(AND(AI342=1,AJ342=0,AsOfUTC&gt;Q342),1,0)</f>
        <v>0</v>
      </c>
      <c r="AL342" s="61" t="n">
        <f aca="false">IF(AND(AI342=1,OR(TRIM(U342)="Fail",AB342="Open",AND(ISNUMBER(AF342),AF342&lt;&gt;0,TRIM(U342)&lt;&gt;"Pass after CA"))),1,0)</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1</v>
      </c>
    </row>
    <row r="343" customFormat="false" ht="54" hidden="false" customHeight="true" outlineLevel="0" collapsed="false">
      <c r="A343" s="57" t="s">
        <v>903</v>
      </c>
      <c r="B343" s="57" t="s">
        <v>241</v>
      </c>
      <c r="C343" s="57" t="str">
        <f aca="false">Flights!$F$14</f>
        <v>MH1140</v>
      </c>
      <c r="D343" s="58" t="n">
        <f aca="false">Flights!$D$14</f>
        <v>46307</v>
      </c>
      <c r="E343" s="57" t="str">
        <f aca="false">Flights!$G$14&amp;"-"&amp;Flights!$H$14</f>
        <v>KUL-PEN</v>
      </c>
      <c r="F343" s="57" t="str">
        <f aca="false">Flights!$K$14</f>
        <v>BC</v>
      </c>
      <c r="G343" s="57" t="s">
        <v>383</v>
      </c>
      <c r="H343" s="57" t="s">
        <v>341</v>
      </c>
      <c r="I343" s="57" t="s">
        <v>462</v>
      </c>
      <c r="J343" s="57" t="s">
        <v>481</v>
      </c>
      <c r="K343" s="67" t="s">
        <v>482</v>
      </c>
      <c r="L343" s="67" t="s">
        <v>904</v>
      </c>
      <c r="M343" s="67" t="s">
        <v>414</v>
      </c>
      <c r="N343" s="67" t="s">
        <v>346</v>
      </c>
      <c r="O343" s="67" t="s">
        <v>484</v>
      </c>
      <c r="P343" s="57" t="s">
        <v>177</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IF(N343="N/A – rule","N/A – RULE",IF(TRIM(U343)="N/A",IF(AT343=0,"INVALID – N/A not permitted for this mandatory check",IF(AND(TRIM(AC343)&lt;&gt;"",TRIM(AE343)&lt;&gt;"",TRIM(T343)&lt;&gt;""),"N/A – JUSTIFIED","INVALID – N/A needs justification, PIC and verifier")),IF(OR(TRIM(U343)="Pass",TRIM(U343)="Pass after CA"),IF(NOT(ISNUMBER(AD343)),"INVALID – completion time missing",IF(TRIM(T343)="","INVALID – PIC missing",IF(TRIM(Z343)="","INVALID – evidence missing",IF(TRIM(AE343)="","INVALID – verifier missing",IF(AND(AQ343=1,TRIM(W343)=""),"INVALID – batch ID missing",IF(AND(AR343=1,OR(NOT(ISNUMBER(X343)),NOT(ISNUMBER(Y343)))),"INVALID – expected/actual qty missing",IF(IF(AND(TRIM(U343)="Pass",ISNUMBER(AF343)),IF(AF343&lt;&gt;0,"INVALID – qty variance: use Fail or Pass after CA",""),"")&amp;IF(AND(TRIM(U343)="Pass",AB343="Open"),"INVALID – corrective action still open: use Fail, then Pass after CA","")&amp;IF(AND(TRIM(U343)="Pass after CA",OR(TRIM(AA343)="",AB343&lt;&gt;"Closed")),"INVALID – corrective action not recorded/closed","")&lt;&gt;"",IF(AND(TRIM(U343)="Pass",ISNUMBER(AF343)),IF(AF343&lt;&gt;0,"INVALID – qty variance: use Fail or Pass after CA",""),"")&amp;IF(AND(TRIM(U343)="Pass",AB343="Open"),"INVALID – corrective action still open: use Fail, then Pass after CA","")&amp;IF(AND(TRIM(U343)="Pass after CA",OR(TRIM(AA343)="",AB343&lt;&gt;"Closed")),"INVALID – corrective action not recorded/closed",""),IF(AND(AS343=1,Documents!$J$14&lt;&gt;"ON FILE"),"INVALID – GLD not on file (Documents sheet)",IF(AND(AS343=2,Documents!$O$14&lt;&gt;"ON FILE"),"INVALID – menu checklist not on file (Documents sheet)",IF(AND(AS343=3,NOT(ISNUMBER(Flights!$AX$14))),"INVALID – enter carrying flight KUL departure (Flights AX)",IF(AG343&gt;AsOfUTC,"INVALID – completion time is in the future",IF(AND(ISNUMBER(S343),AG343&lt;S343),IF(H343="Physical uplift","INVALID – before uplift window (cannot confirm loading)","INVALID – before valid window"),IF(AG343&gt;Flights!$AA$14,"INVALID – completed after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f>
        <v>OPEN</v>
      </c>
      <c r="AI343" s="61" t="n">
        <f aca="false">IF(OR(AH343="N/A – RULE",AH343="N/A – JUSTIFIED"),0,1)</f>
        <v>1</v>
      </c>
      <c r="AJ343" s="61" t="n">
        <f aca="false">IF(LEFT(AH343,8)="COMPLETE",1,0)</f>
        <v>0</v>
      </c>
      <c r="AK343" s="61" t="n">
        <f aca="false">IF(AND(AI343=1,AJ343=0,AsOfUTC&gt;Q343),1,0)</f>
        <v>0</v>
      </c>
      <c r="AL343" s="61" t="n">
        <f aca="false">IF(AND(AI343=1,OR(TRIM(U343)="Fail",AB343="Open",AND(ISNUMBER(AF343),AF343&lt;&gt;0,TRIM(U343)&lt;&gt;"Pass after CA"))),1,0)</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1</v>
      </c>
    </row>
    <row r="344" customFormat="false" ht="41.25" hidden="false" customHeight="true" outlineLevel="0" collapsed="false">
      <c r="A344" s="57" t="s">
        <v>905</v>
      </c>
      <c r="B344" s="57" t="s">
        <v>241</v>
      </c>
      <c r="C344" s="57" t="str">
        <f aca="false">Flights!$F$14</f>
        <v>MH1140</v>
      </c>
      <c r="D344" s="58" t="n">
        <f aca="false">Flights!$D$14</f>
        <v>46307</v>
      </c>
      <c r="E344" s="57" t="str">
        <f aca="false">Flights!$G$14&amp;"-"&amp;Flights!$H$14</f>
        <v>KUL-PEN</v>
      </c>
      <c r="F344" s="57" t="str">
        <f aca="false">Flights!$K$14</f>
        <v>BC</v>
      </c>
      <c r="G344" s="57" t="s">
        <v>383</v>
      </c>
      <c r="H344" s="57" t="s">
        <v>341</v>
      </c>
      <c r="I344" s="57" t="s">
        <v>462</v>
      </c>
      <c r="J344" s="57" t="s">
        <v>486</v>
      </c>
      <c r="K344" s="67" t="s">
        <v>464</v>
      </c>
      <c r="L344" s="67" t="s">
        <v>906</v>
      </c>
      <c r="M344" s="67" t="s">
        <v>414</v>
      </c>
      <c r="N344" s="67" t="s">
        <v>346</v>
      </c>
      <c r="O344" s="67" t="s">
        <v>466</v>
      </c>
      <c r="P344" s="57" t="s">
        <v>177</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IF(N344="N/A – rule","N/A – RULE",IF(TRIM(U344)="N/A",IF(AT344=0,"INVALID – N/A not permitted for this mandatory check",IF(AND(TRIM(AC344)&lt;&gt;"",TRIM(AE344)&lt;&gt;"",TRIM(T344)&lt;&gt;""),"N/A – JUSTIFIED","INVALID – N/A needs justification, PIC and verifier")),IF(OR(TRIM(U344)="Pass",TRIM(U344)="Pass after CA"),IF(NOT(ISNUMBER(AD344)),"INVALID – completion time missing",IF(TRIM(T344)="","INVALID – PIC missing",IF(TRIM(Z344)="","INVALID – evidence missing",IF(TRIM(AE344)="","INVALID – verifier missing",IF(AND(AQ344=1,TRIM(W344)=""),"INVALID – batch ID missing",IF(AND(AR344=1,OR(NOT(ISNUMBER(X344)),NOT(ISNUMBER(Y344)))),"INVALID – expected/actual qty missing",IF(IF(AND(TRIM(U344)="Pass",ISNUMBER(AF344)),IF(AF344&lt;&gt;0,"INVALID – qty variance: use Fail or Pass after CA",""),"")&amp;IF(AND(TRIM(U344)="Pass",AB344="Open"),"INVALID – corrective action still open: use Fail, then Pass after CA","")&amp;IF(AND(TRIM(U344)="Pass after CA",OR(TRIM(AA344)="",AB344&lt;&gt;"Closed")),"INVALID – corrective action not recorded/closed","")&lt;&gt;"",IF(AND(TRIM(U344)="Pass",ISNUMBER(AF344)),IF(AF344&lt;&gt;0,"INVALID – qty variance: use Fail or Pass after CA",""),"")&amp;IF(AND(TRIM(U344)="Pass",AB344="Open"),"INVALID – corrective action still open: use Fail, then Pass after CA","")&amp;IF(AND(TRIM(U344)="Pass after CA",OR(TRIM(AA344)="",AB344&lt;&gt;"Closed")),"INVALID – corrective action not recorded/closed",""),IF(AND(AS344=1,Documents!$J$14&lt;&gt;"ON FILE"),"INVALID – GLD not on file (Documents sheet)",IF(AND(AS344=2,Documents!$O$14&lt;&gt;"ON FILE"),"INVALID – menu checklist not on file (Documents sheet)",IF(AND(AS344=3,NOT(ISNUMBER(Flights!$AX$14))),"INVALID – enter carrying flight KUL departure (Flights AX)",IF(AG344&gt;AsOfUTC,"INVALID – completion time is in the future",IF(AND(ISNUMBER(S344),AG344&lt;S344),IF(H344="Physical uplift","INVALID – before uplift window (cannot confirm loading)","INVALID – before valid window"),IF(AG344&gt;Flights!$AA$14,"INVALID – completed after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f>
        <v>OPEN</v>
      </c>
      <c r="AI344" s="61" t="n">
        <f aca="false">IF(OR(AH344="N/A – RULE",AH344="N/A – JUSTIFIED"),0,1)</f>
        <v>1</v>
      </c>
      <c r="AJ344" s="61" t="n">
        <f aca="false">IF(LEFT(AH344,8)="COMPLETE",1,0)</f>
        <v>0</v>
      </c>
      <c r="AK344" s="61" t="n">
        <f aca="false">IF(AND(AI344=1,AJ344=0,AsOfUTC&gt;Q344),1,0)</f>
        <v>0</v>
      </c>
      <c r="AL344" s="61" t="n">
        <f aca="false">IF(AND(AI344=1,OR(TRIM(U344)="Fail",AB344="Open",AND(ISNUMBER(AF344),AF344&lt;&gt;0,TRIM(U344)&lt;&gt;"Pass after CA"))),1,0)</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1</v>
      </c>
    </row>
    <row r="345" customFormat="false" ht="41.25" hidden="false" customHeight="true" outlineLevel="0" collapsed="false">
      <c r="A345" s="57" t="s">
        <v>907</v>
      </c>
      <c r="B345" s="57" t="s">
        <v>241</v>
      </c>
      <c r="C345" s="57" t="str">
        <f aca="false">Flights!$F$14</f>
        <v>MH1140</v>
      </c>
      <c r="D345" s="58" t="n">
        <f aca="false">Flights!$D$14</f>
        <v>46307</v>
      </c>
      <c r="E345" s="57" t="str">
        <f aca="false">Flights!$G$14&amp;"-"&amp;Flights!$H$14</f>
        <v>KUL-PEN</v>
      </c>
      <c r="F345" s="57" t="str">
        <f aca="false">Flights!$K$14</f>
        <v>BC</v>
      </c>
      <c r="G345" s="57" t="s">
        <v>383</v>
      </c>
      <c r="H345" s="57" t="s">
        <v>341</v>
      </c>
      <c r="I345" s="57" t="s">
        <v>410</v>
      </c>
      <c r="J345" s="57" t="s">
        <v>489</v>
      </c>
      <c r="K345" s="67" t="s">
        <v>412</v>
      </c>
      <c r="L345" s="67" t="s">
        <v>908</v>
      </c>
      <c r="M345" s="67" t="s">
        <v>414</v>
      </c>
      <c r="N345" s="67" t="s">
        <v>346</v>
      </c>
      <c r="O345" s="67" t="s">
        <v>466</v>
      </c>
      <c r="P345" s="57" t="s">
        <v>177</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IF(N345="N/A – rule","N/A – RULE",IF(TRIM(U345)="N/A",IF(AT345=0,"INVALID – N/A not permitted for this mandatory check",IF(AND(TRIM(AC345)&lt;&gt;"",TRIM(AE345)&lt;&gt;"",TRIM(T345)&lt;&gt;""),"N/A – JUSTIFIED","INVALID – N/A needs justification, PIC and verifier")),IF(OR(TRIM(U345)="Pass",TRIM(U345)="Pass after CA"),IF(NOT(ISNUMBER(AD345)),"INVALID – completion time missing",IF(TRIM(T345)="","INVALID – PIC missing",IF(TRIM(Z345)="","INVALID – evidence missing",IF(TRIM(AE345)="","INVALID – verifier missing",IF(AND(AQ345=1,TRIM(W345)=""),"INVALID – batch ID missing",IF(AND(AR345=1,OR(NOT(ISNUMBER(X345)),NOT(ISNUMBER(Y345)))),"INVALID – expected/actual qty missing",IF(IF(AND(TRIM(U345)="Pass",ISNUMBER(AF345)),IF(AF345&lt;&gt;0,"INVALID – qty variance: use Fail or Pass after CA",""),"")&amp;IF(AND(TRIM(U345)="Pass",AB345="Open"),"INVALID – corrective action still open: use Fail, then Pass after CA","")&amp;IF(AND(TRIM(U345)="Pass after CA",OR(TRIM(AA345)="",AB345&lt;&gt;"Closed")),"INVALID – corrective action not recorded/closed","")&lt;&gt;"",IF(AND(TRIM(U345)="Pass",ISNUMBER(AF345)),IF(AF345&lt;&gt;0,"INVALID – qty variance: use Fail or Pass after CA",""),"")&amp;IF(AND(TRIM(U345)="Pass",AB345="Open"),"INVALID – corrective action still open: use Fail, then Pass after CA","")&amp;IF(AND(TRIM(U345)="Pass after CA",OR(TRIM(AA345)="",AB345&lt;&gt;"Closed")),"INVALID – corrective action not recorded/closed",""),IF(AND(AS345=1,Documents!$J$14&lt;&gt;"ON FILE"),"INVALID – GLD not on file (Documents sheet)",IF(AND(AS345=2,Documents!$O$14&lt;&gt;"ON FILE"),"INVALID – menu checklist not on file (Documents sheet)",IF(AND(AS345=3,NOT(ISNUMBER(Flights!$AX$14))),"INVALID – enter carrying flight KUL departure (Flights AX)",IF(AG345&gt;AsOfUTC,"INVALID – completion time is in the future",IF(AND(ISNUMBER(S345),AG345&lt;S345),IF(H345="Physical uplift","INVALID – before uplift window (cannot confirm loading)","INVALID – before valid window"),IF(AG345&gt;Flights!$AA$14,"INVALID – completed after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f>
        <v>OPEN</v>
      </c>
      <c r="AI345" s="61" t="n">
        <f aca="false">IF(OR(AH345="N/A – RULE",AH345="N/A – JUSTIFIED"),0,1)</f>
        <v>1</v>
      </c>
      <c r="AJ345" s="61" t="n">
        <f aca="false">IF(LEFT(AH345,8)="COMPLETE",1,0)</f>
        <v>0</v>
      </c>
      <c r="AK345" s="61" t="n">
        <f aca="false">IF(AND(AI345=1,AJ345=0,AsOfUTC&gt;Q345),1,0)</f>
        <v>0</v>
      </c>
      <c r="AL345" s="61" t="n">
        <f aca="false">IF(AND(AI345=1,OR(TRIM(U345)="Fail",AB345="Open",AND(ISNUMBER(AF345),AF345&lt;&gt;0,TRIM(U345)&lt;&gt;"Pass after CA"))),1,0)</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1</v>
      </c>
    </row>
    <row r="346" customFormat="false" ht="41.25" hidden="false" customHeight="true" outlineLevel="0" collapsed="false">
      <c r="A346" s="57" t="s">
        <v>909</v>
      </c>
      <c r="B346" s="57" t="s">
        <v>241</v>
      </c>
      <c r="C346" s="57" t="str">
        <f aca="false">Flights!$F$14</f>
        <v>MH1140</v>
      </c>
      <c r="D346" s="58" t="n">
        <f aca="false">Flights!$D$14</f>
        <v>46307</v>
      </c>
      <c r="E346" s="57" t="str">
        <f aca="false">Flights!$G$14&amp;"-"&amp;Flights!$H$14</f>
        <v>KUL-PEN</v>
      </c>
      <c r="F346" s="57" t="str">
        <f aca="false">Flights!$K$14</f>
        <v>BC</v>
      </c>
      <c r="G346" s="57" t="s">
        <v>383</v>
      </c>
      <c r="H346" s="57" t="s">
        <v>341</v>
      </c>
      <c r="I346" s="57" t="s">
        <v>410</v>
      </c>
      <c r="J346" s="57" t="s">
        <v>492</v>
      </c>
      <c r="K346" s="67" t="s">
        <v>412</v>
      </c>
      <c r="L346" s="67" t="s">
        <v>910</v>
      </c>
      <c r="M346" s="67" t="s">
        <v>414</v>
      </c>
      <c r="N346" s="67" t="s">
        <v>346</v>
      </c>
      <c r="O346" s="67" t="s">
        <v>466</v>
      </c>
      <c r="P346" s="57" t="s">
        <v>177</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IF(N346="N/A – rule","N/A – RULE",IF(TRIM(U346)="N/A",IF(AT346=0,"INVALID – N/A not permitted for this mandatory check",IF(AND(TRIM(AC346)&lt;&gt;"",TRIM(AE346)&lt;&gt;"",TRIM(T346)&lt;&gt;""),"N/A – JUSTIFIED","INVALID – N/A needs justification, PIC and verifier")),IF(OR(TRIM(U346)="Pass",TRIM(U346)="Pass after CA"),IF(NOT(ISNUMBER(AD346)),"INVALID – completion time missing",IF(TRIM(T346)="","INVALID – PIC missing",IF(TRIM(Z346)="","INVALID – evidence missing",IF(TRIM(AE346)="","INVALID – verifier missing",IF(AND(AQ346=1,TRIM(W346)=""),"INVALID – batch ID missing",IF(AND(AR346=1,OR(NOT(ISNUMBER(X346)),NOT(ISNUMBER(Y346)))),"INVALID – expected/actual qty missing",IF(IF(AND(TRIM(U346)="Pass",ISNUMBER(AF346)),IF(AF346&lt;&gt;0,"INVALID – qty variance: use Fail or Pass after CA",""),"")&amp;IF(AND(TRIM(U346)="Pass",AB346="Open"),"INVALID – corrective action still open: use Fail, then Pass after CA","")&amp;IF(AND(TRIM(U346)="Pass after CA",OR(TRIM(AA346)="",AB346&lt;&gt;"Closed")),"INVALID – corrective action not recorded/closed","")&lt;&gt;"",IF(AND(TRIM(U346)="Pass",ISNUMBER(AF346)),IF(AF346&lt;&gt;0,"INVALID – qty variance: use Fail or Pass after CA",""),"")&amp;IF(AND(TRIM(U346)="Pass",AB346="Open"),"INVALID – corrective action still open: use Fail, then Pass after CA","")&amp;IF(AND(TRIM(U346)="Pass after CA",OR(TRIM(AA346)="",AB346&lt;&gt;"Closed")),"INVALID – corrective action not recorded/closed",""),IF(AND(AS346=1,Documents!$J$14&lt;&gt;"ON FILE"),"INVALID – GLD not on file (Documents sheet)",IF(AND(AS346=2,Documents!$O$14&lt;&gt;"ON FILE"),"INVALID – menu checklist not on file (Documents sheet)",IF(AND(AS346=3,NOT(ISNUMBER(Flights!$AX$14))),"INVALID – enter carrying flight KUL departure (Flights AX)",IF(AG346&gt;AsOfUTC,"INVALID – completion time is in the future",IF(AND(ISNUMBER(S346),AG346&lt;S346),IF(H346="Physical uplift","INVALID – before uplift window (cannot confirm loading)","INVALID – before valid window"),IF(AG346&gt;Flights!$AA$14,"INVALID – completed after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f>
        <v>OPEN</v>
      </c>
      <c r="AI346" s="61" t="n">
        <f aca="false">IF(OR(AH346="N/A – RULE",AH346="N/A – JUSTIFIED"),0,1)</f>
        <v>1</v>
      </c>
      <c r="AJ346" s="61" t="n">
        <f aca="false">IF(LEFT(AH346,8)="COMPLETE",1,0)</f>
        <v>0</v>
      </c>
      <c r="AK346" s="61" t="n">
        <f aca="false">IF(AND(AI346=1,AJ346=0,AsOfUTC&gt;Q346),1,0)</f>
        <v>0</v>
      </c>
      <c r="AL346" s="61" t="n">
        <f aca="false">IF(AND(AI346=1,OR(TRIM(U346)="Fail",AB346="Open",AND(ISNUMBER(AF346),AF346&lt;&gt;0,TRIM(U346)&lt;&gt;"Pass after CA"))),1,0)</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1</v>
      </c>
    </row>
    <row r="347" customFormat="false" ht="39.75" hidden="false" customHeight="true" outlineLevel="0" collapsed="false">
      <c r="A347" s="57" t="s">
        <v>911</v>
      </c>
      <c r="B347" s="57" t="s">
        <v>241</v>
      </c>
      <c r="C347" s="57" t="str">
        <f aca="false">Flights!$F$14</f>
        <v>MH1140</v>
      </c>
      <c r="D347" s="58" t="n">
        <f aca="false">Flights!$D$14</f>
        <v>46307</v>
      </c>
      <c r="E347" s="57" t="str">
        <f aca="false">Flights!$G$14&amp;"-"&amp;Flights!$H$14</f>
        <v>KUL-PEN</v>
      </c>
      <c r="F347" s="57" t="str">
        <f aca="false">Flights!$K$14</f>
        <v>BC</v>
      </c>
      <c r="G347" s="57" t="s">
        <v>422</v>
      </c>
      <c r="H347" s="57" t="s">
        <v>423</v>
      </c>
      <c r="I347" s="57" t="s">
        <v>342</v>
      </c>
      <c r="J347" s="57" t="s">
        <v>424</v>
      </c>
      <c r="K347" s="67" t="s">
        <v>389</v>
      </c>
      <c r="L347" s="67" t="s">
        <v>425</v>
      </c>
      <c r="M347" s="67"/>
      <c r="N347" s="67" t="s">
        <v>346</v>
      </c>
      <c r="O347" s="67" t="s">
        <v>426</v>
      </c>
      <c r="P347" s="57" t="s">
        <v>177</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IF(N347="N/A – rule","N/A – RULE",IF(TRIM(U347)="N/A",IF(AT347=0,"INVALID – N/A not permitted for this mandatory check",IF(AND(TRIM(AC347)&lt;&gt;"",TRIM(AE347)&lt;&gt;"",TRIM(T347)&lt;&gt;""),"N/A – JUSTIFIED","INVALID – N/A needs justification, PIC and verifier")),IF(OR(TRIM(U347)="Pass",TRIM(U347)="Pass after CA"),IF(NOT(ISNUMBER(AD347)),"INVALID – completion time missing",IF(TRIM(T347)="","INVALID – PIC missing",IF(TRIM(Z347)="","INVALID – evidence missing",IF(TRIM(AE347)="","INVALID – verifier missing",IF(AND(AQ347=1,TRIM(W347)=""),"INVALID – batch ID missing",IF(AND(AR347=1,OR(NOT(ISNUMBER(X347)),NOT(ISNUMBER(Y347)))),"INVALID – expected/actual qty missing",IF(IF(AND(TRIM(U347)="Pass",ISNUMBER(AF347)),IF(AF347&lt;&gt;0,"INVALID – qty variance: use Fail or Pass after CA",""),"")&amp;IF(AND(TRIM(U347)="Pass",AB347="Open"),"INVALID – corrective action still open: use Fail, then Pass after CA","")&amp;IF(AND(TRIM(U347)="Pass after CA",OR(TRIM(AA347)="",AB347&lt;&gt;"Closed")),"INVALID – corrective action not recorded/closed","")&lt;&gt;"",IF(AND(TRIM(U347)="Pass",ISNUMBER(AF347)),IF(AF347&lt;&gt;0,"INVALID – qty variance: use Fail or Pass after CA",""),"")&amp;IF(AND(TRIM(U347)="Pass",AB347="Open"),"INVALID – corrective action still open: use Fail, then Pass after CA","")&amp;IF(AND(TRIM(U347)="Pass after CA",OR(TRIM(AA347)="",AB347&lt;&gt;"Closed")),"INVALID – corrective action not recorded/closed",""),IF(AND(AS347=1,Documents!$J$14&lt;&gt;"ON FILE"),"INVALID – GLD not on file (Documents sheet)",IF(AND(AS347=2,Documents!$O$14&lt;&gt;"ON FILE"),"INVALID – menu checklist not on file (Documents sheet)",IF(AND(AS347=3,NOT(ISNUMBER(Flights!$AX$14))),"INVALID – enter carrying flight KUL departure (Flights AX)",IF(AG347&gt;AsOfUTC,"INVALID – completion time is in the future",IF(AND(ISNUMBER(S347),AG347&lt;S347),IF(H347="Physical uplift","INVALID – before uplift window (cannot confirm loading)","INVALID – before valid window"),IF(AG347&gt;Flights!$AA$14,"INVALID – completed after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f>
        <v>OPEN</v>
      </c>
      <c r="AI347" s="61" t="n">
        <f aca="false">IF(OR(AH347="N/A – RULE",AH347="N/A – JUSTIFIED"),0,1)</f>
        <v>1</v>
      </c>
      <c r="AJ347" s="61" t="n">
        <f aca="false">IF(LEFT(AH347,8)="COMPLETE",1,0)</f>
        <v>0</v>
      </c>
      <c r="AK347" s="61" t="n">
        <f aca="false">IF(AND(AI347=1,AJ347=0,AsOfUTC&gt;Q347),1,0)</f>
        <v>0</v>
      </c>
      <c r="AL347" s="61" t="n">
        <f aca="false">IF(AND(AI347=1,OR(TRIM(U347)="Fail",AB347="Open",AND(ISNUMBER(AF347),AF347&lt;&gt;0,TRIM(U347)&lt;&gt;"Pass after CA"))),1,0)</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row>
    <row r="348" customFormat="false" ht="39.75" hidden="false" customHeight="true" outlineLevel="0" collapsed="false">
      <c r="A348" s="57" t="s">
        <v>912</v>
      </c>
      <c r="B348" s="57" t="s">
        <v>241</v>
      </c>
      <c r="C348" s="57" t="str">
        <f aca="false">Flights!$F$14</f>
        <v>MH1140</v>
      </c>
      <c r="D348" s="58" t="n">
        <f aca="false">Flights!$D$14</f>
        <v>46307</v>
      </c>
      <c r="E348" s="57" t="str">
        <f aca="false">Flights!$G$14&amp;"-"&amp;Flights!$H$14</f>
        <v>KUL-PEN</v>
      </c>
      <c r="F348" s="57" t="str">
        <f aca="false">Flights!$K$14</f>
        <v>BC</v>
      </c>
      <c r="G348" s="57" t="s">
        <v>422</v>
      </c>
      <c r="H348" s="57" t="s">
        <v>423</v>
      </c>
      <c r="I348" s="57" t="s">
        <v>391</v>
      </c>
      <c r="J348" s="57" t="s">
        <v>428</v>
      </c>
      <c r="K348" s="67" t="s">
        <v>389</v>
      </c>
      <c r="L348" s="67" t="s">
        <v>425</v>
      </c>
      <c r="M348" s="67"/>
      <c r="N348" s="67" t="s">
        <v>346</v>
      </c>
      <c r="O348" s="67" t="s">
        <v>426</v>
      </c>
      <c r="P348" s="57" t="s">
        <v>177</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IF(N348="N/A – rule","N/A – RULE",IF(TRIM(U348)="N/A",IF(AT348=0,"INVALID – N/A not permitted for this mandatory check",IF(AND(TRIM(AC348)&lt;&gt;"",TRIM(AE348)&lt;&gt;"",TRIM(T348)&lt;&gt;""),"N/A – JUSTIFIED","INVALID – N/A needs justification, PIC and verifier")),IF(OR(TRIM(U348)="Pass",TRIM(U348)="Pass after CA"),IF(NOT(ISNUMBER(AD348)),"INVALID – completion time missing",IF(TRIM(T348)="","INVALID – PIC missing",IF(TRIM(Z348)="","INVALID – evidence missing",IF(TRIM(AE348)="","INVALID – verifier missing",IF(AND(AQ348=1,TRIM(W348)=""),"INVALID – batch ID missing",IF(AND(AR348=1,OR(NOT(ISNUMBER(X348)),NOT(ISNUMBER(Y348)))),"INVALID – expected/actual qty missing",IF(IF(AND(TRIM(U348)="Pass",ISNUMBER(AF348)),IF(AF348&lt;&gt;0,"INVALID – qty variance: use Fail or Pass after CA",""),"")&amp;IF(AND(TRIM(U348)="Pass",AB348="Open"),"INVALID – corrective action still open: use Fail, then Pass after CA","")&amp;IF(AND(TRIM(U348)="Pass after CA",OR(TRIM(AA348)="",AB348&lt;&gt;"Closed")),"INVALID – corrective action not recorded/closed","")&lt;&gt;"",IF(AND(TRIM(U348)="Pass",ISNUMBER(AF348)),IF(AF348&lt;&gt;0,"INVALID – qty variance: use Fail or Pass after CA",""),"")&amp;IF(AND(TRIM(U348)="Pass",AB348="Open"),"INVALID – corrective action still open: use Fail, then Pass after CA","")&amp;IF(AND(TRIM(U348)="Pass after CA",OR(TRIM(AA348)="",AB348&lt;&gt;"Closed")),"INVALID – corrective action not recorded/closed",""),IF(AND(AS348=1,Documents!$J$14&lt;&gt;"ON FILE"),"INVALID – GLD not on file (Documents sheet)",IF(AND(AS348=2,Documents!$O$14&lt;&gt;"ON FILE"),"INVALID – menu checklist not on file (Documents sheet)",IF(AND(AS348=3,NOT(ISNUMBER(Flights!$AX$14))),"INVALID – enter carrying flight KUL departure (Flights AX)",IF(AG348&gt;AsOfUTC,"INVALID – completion time is in the future",IF(AND(ISNUMBER(S348),AG348&lt;S348),IF(H348="Physical uplift","INVALID – before uplift window (cannot confirm loading)","INVALID – before valid window"),IF(AG348&gt;Flights!$AA$14,"INVALID – completed after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f>
        <v>OPEN</v>
      </c>
      <c r="AI348" s="61" t="n">
        <f aca="false">IF(OR(AH348="N/A – RULE",AH348="N/A – JUSTIFIED"),0,1)</f>
        <v>1</v>
      </c>
      <c r="AJ348" s="61" t="n">
        <f aca="false">IF(LEFT(AH348,8)="COMPLETE",1,0)</f>
        <v>0</v>
      </c>
      <c r="AK348" s="61" t="n">
        <f aca="false">IF(AND(AI348=1,AJ348=0,AsOfUTC&gt;Q348),1,0)</f>
        <v>0</v>
      </c>
      <c r="AL348" s="61" t="n">
        <f aca="false">IF(AND(AI348=1,OR(TRIM(U348)="Fail",AB348="Open",AND(ISNUMBER(AF348),AF348&lt;&gt;0,TRIM(U348)&lt;&gt;"Pass after CA"))),1,0)</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row>
    <row r="349" customFormat="false" ht="41.25" hidden="false" customHeight="true" outlineLevel="0" collapsed="false">
      <c r="A349" s="57" t="s">
        <v>913</v>
      </c>
      <c r="B349" s="57" t="s">
        <v>241</v>
      </c>
      <c r="C349" s="57" t="str">
        <f aca="false">Flights!$F$14</f>
        <v>MH1140</v>
      </c>
      <c r="D349" s="58" t="n">
        <f aca="false">Flights!$D$14</f>
        <v>46307</v>
      </c>
      <c r="E349" s="57" t="str">
        <f aca="false">Flights!$G$14&amp;"-"&amp;Flights!$H$14</f>
        <v>KUL-PEN</v>
      </c>
      <c r="F349" s="57" t="str">
        <f aca="false">Flights!$K$14</f>
        <v>BC</v>
      </c>
      <c r="G349" s="57" t="s">
        <v>422</v>
      </c>
      <c r="H349" s="57" t="s">
        <v>423</v>
      </c>
      <c r="I349" s="57" t="s">
        <v>403</v>
      </c>
      <c r="J349" s="57" t="s">
        <v>497</v>
      </c>
      <c r="K349" s="67" t="s">
        <v>458</v>
      </c>
      <c r="L349" s="67" t="s">
        <v>896</v>
      </c>
      <c r="M349" s="67" t="s">
        <v>414</v>
      </c>
      <c r="N349" s="67" t="s">
        <v>346</v>
      </c>
      <c r="O349" s="67" t="s">
        <v>498</v>
      </c>
      <c r="P349" s="57" t="s">
        <v>177</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IF(N349="N/A – rule","N/A – RULE",IF(TRIM(U349)="N/A",IF(AT349=0,"INVALID – N/A not permitted for this mandatory check",IF(AND(TRIM(AC349)&lt;&gt;"",TRIM(AE349)&lt;&gt;"",TRIM(T349)&lt;&gt;""),"N/A – JUSTIFIED","INVALID – N/A needs justification, PIC and verifier")),IF(OR(TRIM(U349)="Pass",TRIM(U349)="Pass after CA"),IF(NOT(ISNUMBER(AD349)),"INVALID – completion time missing",IF(TRIM(T349)="","INVALID – PIC missing",IF(TRIM(Z349)="","INVALID – evidence missing",IF(TRIM(AE349)="","INVALID – verifier missing",IF(AND(AQ349=1,TRIM(W349)=""),"INVALID – batch ID missing",IF(AND(AR349=1,OR(NOT(ISNUMBER(X349)),NOT(ISNUMBER(Y349)))),"INVALID – expected/actual qty missing",IF(IF(AND(TRIM(U349)="Pass",ISNUMBER(AF349)),IF(AF349&lt;&gt;0,"INVALID – qty variance: use Fail or Pass after CA",""),"")&amp;IF(AND(TRIM(U349)="Pass",AB349="Open"),"INVALID – corrective action still open: use Fail, then Pass after CA","")&amp;IF(AND(TRIM(U349)="Pass after CA",OR(TRIM(AA349)="",AB349&lt;&gt;"Closed")),"INVALID – corrective action not recorded/closed","")&lt;&gt;"",IF(AND(TRIM(U349)="Pass",ISNUMBER(AF349)),IF(AF349&lt;&gt;0,"INVALID – qty variance: use Fail or Pass after CA",""),"")&amp;IF(AND(TRIM(U349)="Pass",AB349="Open"),"INVALID – corrective action still open: use Fail, then Pass after CA","")&amp;IF(AND(TRIM(U349)="Pass after CA",OR(TRIM(AA349)="",AB349&lt;&gt;"Closed")),"INVALID – corrective action not recorded/closed",""),IF(AND(AS349=1,Documents!$J$14&lt;&gt;"ON FILE"),"INVALID – GLD not on file (Documents sheet)",IF(AND(AS349=2,Documents!$O$14&lt;&gt;"ON FILE"),"INVALID – menu checklist not on file (Documents sheet)",IF(AND(AS349=3,NOT(ISNUMBER(Flights!$AX$14))),"INVALID – enter carrying flight KUL departure (Flights AX)",IF(AG349&gt;AsOfUTC,"INVALID – completion time is in the future",IF(AND(ISNUMBER(S349),AG349&lt;S349),IF(H349="Physical uplift","INVALID – before uplift window (cannot confirm loading)","INVALID – before valid window"),IF(AG349&gt;Flights!$AA$14,"INVALID – completed after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f>
        <v>OPEN</v>
      </c>
      <c r="AI349" s="61" t="n">
        <f aca="false">IF(OR(AH349="N/A – RULE",AH349="N/A – JUSTIFIED"),0,1)</f>
        <v>1</v>
      </c>
      <c r="AJ349" s="61" t="n">
        <f aca="false">IF(LEFT(AH349,8)="COMPLETE",1,0)</f>
        <v>0</v>
      </c>
      <c r="AK349" s="61" t="n">
        <f aca="false">IF(AND(AI349=1,AJ349=0,AsOfUTC&gt;Q349),1,0)</f>
        <v>0</v>
      </c>
      <c r="AL349" s="61" t="n">
        <f aca="false">IF(AND(AI349=1,OR(TRIM(U349)="Fail",AB349="Open",AND(ISNUMBER(AF349),AF349&lt;&gt;0,TRIM(U349)&lt;&gt;"Pass after CA"))),1,0)</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1</v>
      </c>
    </row>
    <row r="350" customFormat="false" ht="39.75" hidden="false" customHeight="true" outlineLevel="0" collapsed="false">
      <c r="A350" s="57" t="s">
        <v>914</v>
      </c>
      <c r="B350" s="57" t="s">
        <v>241</v>
      </c>
      <c r="C350" s="57" t="str">
        <f aca="false">Flights!$F$14</f>
        <v>MH1140</v>
      </c>
      <c r="D350" s="58" t="n">
        <f aca="false">Flights!$D$14</f>
        <v>46307</v>
      </c>
      <c r="E350" s="57" t="str">
        <f aca="false">Flights!$G$14&amp;"-"&amp;Flights!$H$14</f>
        <v>KUL-PEN</v>
      </c>
      <c r="F350" s="57" t="str">
        <f aca="false">Flights!$K$14</f>
        <v>BC</v>
      </c>
      <c r="G350" s="57" t="s">
        <v>422</v>
      </c>
      <c r="H350" s="57" t="s">
        <v>423</v>
      </c>
      <c r="I350" s="57" t="s">
        <v>462</v>
      </c>
      <c r="J350" s="57" t="s">
        <v>500</v>
      </c>
      <c r="K350" s="67" t="s">
        <v>464</v>
      </c>
      <c r="L350" s="67" t="s">
        <v>898</v>
      </c>
      <c r="M350" s="67" t="s">
        <v>414</v>
      </c>
      <c r="N350" s="67" t="s">
        <v>346</v>
      </c>
      <c r="O350" s="67"/>
      <c r="P350" s="57" t="s">
        <v>177</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IF(N350="N/A – rule","N/A – RULE",IF(TRIM(U350)="N/A",IF(AT350=0,"INVALID – N/A not permitted for this mandatory check",IF(AND(TRIM(AC350)&lt;&gt;"",TRIM(AE350)&lt;&gt;"",TRIM(T350)&lt;&gt;""),"N/A – JUSTIFIED","INVALID – N/A needs justification, PIC and verifier")),IF(OR(TRIM(U350)="Pass",TRIM(U350)="Pass after CA"),IF(NOT(ISNUMBER(AD350)),"INVALID – completion time missing",IF(TRIM(T350)="","INVALID – PIC missing",IF(TRIM(Z350)="","INVALID – evidence missing",IF(TRIM(AE350)="","INVALID – verifier missing",IF(AND(AQ350=1,TRIM(W350)=""),"INVALID – batch ID missing",IF(AND(AR350=1,OR(NOT(ISNUMBER(X350)),NOT(ISNUMBER(Y350)))),"INVALID – expected/actual qty missing",IF(IF(AND(TRIM(U350)="Pass",ISNUMBER(AF350)),IF(AF350&lt;&gt;0,"INVALID – qty variance: use Fail or Pass after CA",""),"")&amp;IF(AND(TRIM(U350)="Pass",AB350="Open"),"INVALID – corrective action still open: use Fail, then Pass after CA","")&amp;IF(AND(TRIM(U350)="Pass after CA",OR(TRIM(AA350)="",AB350&lt;&gt;"Closed")),"INVALID – corrective action not recorded/closed","")&lt;&gt;"",IF(AND(TRIM(U350)="Pass",ISNUMBER(AF350)),IF(AF350&lt;&gt;0,"INVALID – qty variance: use Fail or Pass after CA",""),"")&amp;IF(AND(TRIM(U350)="Pass",AB350="Open"),"INVALID – corrective action still open: use Fail, then Pass after CA","")&amp;IF(AND(TRIM(U350)="Pass after CA",OR(TRIM(AA350)="",AB350&lt;&gt;"Closed")),"INVALID – corrective action not recorded/closed",""),IF(AND(AS350=1,Documents!$J$14&lt;&gt;"ON FILE"),"INVALID – GLD not on file (Documents sheet)",IF(AND(AS350=2,Documents!$O$14&lt;&gt;"ON FILE"),"INVALID – menu checklist not on file (Documents sheet)",IF(AND(AS350=3,NOT(ISNUMBER(Flights!$AX$14))),"INVALID – enter carrying flight KUL departure (Flights AX)",IF(AG350&gt;AsOfUTC,"INVALID – completion time is in the future",IF(AND(ISNUMBER(S350),AG350&lt;S350),IF(H350="Physical uplift","INVALID – before uplift window (cannot confirm loading)","INVALID – before valid window"),IF(AG350&gt;Flights!$AA$14,"INVALID – completed after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f>
        <v>OPEN</v>
      </c>
      <c r="AI350" s="61" t="n">
        <f aca="false">IF(OR(AH350="N/A – RULE",AH350="N/A – JUSTIFIED"),0,1)</f>
        <v>1</v>
      </c>
      <c r="AJ350" s="61" t="n">
        <f aca="false">IF(LEFT(AH350,8)="COMPLETE",1,0)</f>
        <v>0</v>
      </c>
      <c r="AK350" s="61" t="n">
        <f aca="false">IF(AND(AI350=1,AJ350=0,AsOfUTC&gt;Q350),1,0)</f>
        <v>0</v>
      </c>
      <c r="AL350" s="61" t="n">
        <f aca="false">IF(AND(AI350=1,OR(TRIM(U350)="Fail",AB350="Open",AND(ISNUMBER(AF350),AF350&lt;&gt;0,TRIM(U350)&lt;&gt;"Pass after CA"))),1,0)</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1</v>
      </c>
    </row>
    <row r="351" customFormat="false" ht="39.75" hidden="false" customHeight="true" outlineLevel="0" collapsed="false">
      <c r="A351" s="57" t="s">
        <v>915</v>
      </c>
      <c r="B351" s="57" t="s">
        <v>241</v>
      </c>
      <c r="C351" s="57" t="str">
        <f aca="false">Flights!$F$14</f>
        <v>MH1140</v>
      </c>
      <c r="D351" s="58" t="n">
        <f aca="false">Flights!$D$14</f>
        <v>46307</v>
      </c>
      <c r="E351" s="57" t="str">
        <f aca="false">Flights!$G$14&amp;"-"&amp;Flights!$H$14</f>
        <v>KUL-PEN</v>
      </c>
      <c r="F351" s="57" t="str">
        <f aca="false">Flights!$K$14</f>
        <v>BC</v>
      </c>
      <c r="G351" s="57" t="s">
        <v>422</v>
      </c>
      <c r="H351" s="57" t="s">
        <v>423</v>
      </c>
      <c r="I351" s="57" t="s">
        <v>462</v>
      </c>
      <c r="J351" s="57" t="s">
        <v>502</v>
      </c>
      <c r="K351" s="67" t="s">
        <v>464</v>
      </c>
      <c r="L351" s="67" t="s">
        <v>900</v>
      </c>
      <c r="M351" s="67" t="s">
        <v>414</v>
      </c>
      <c r="N351" s="67" t="s">
        <v>346</v>
      </c>
      <c r="O351" s="67"/>
      <c r="P351" s="57" t="s">
        <v>177</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IF(N351="N/A – rule","N/A – RULE",IF(TRIM(U351)="N/A",IF(AT351=0,"INVALID – N/A not permitted for this mandatory check",IF(AND(TRIM(AC351)&lt;&gt;"",TRIM(AE351)&lt;&gt;"",TRIM(T351)&lt;&gt;""),"N/A – JUSTIFIED","INVALID – N/A needs justification, PIC and verifier")),IF(OR(TRIM(U351)="Pass",TRIM(U351)="Pass after CA"),IF(NOT(ISNUMBER(AD351)),"INVALID – completion time missing",IF(TRIM(T351)="","INVALID – PIC missing",IF(TRIM(Z351)="","INVALID – evidence missing",IF(TRIM(AE351)="","INVALID – verifier missing",IF(AND(AQ351=1,TRIM(W351)=""),"INVALID – batch ID missing",IF(AND(AR351=1,OR(NOT(ISNUMBER(X351)),NOT(ISNUMBER(Y351)))),"INVALID – expected/actual qty missing",IF(IF(AND(TRIM(U351)="Pass",ISNUMBER(AF351)),IF(AF351&lt;&gt;0,"INVALID – qty variance: use Fail or Pass after CA",""),"")&amp;IF(AND(TRIM(U351)="Pass",AB351="Open"),"INVALID – corrective action still open: use Fail, then Pass after CA","")&amp;IF(AND(TRIM(U351)="Pass after CA",OR(TRIM(AA351)="",AB351&lt;&gt;"Closed")),"INVALID – corrective action not recorded/closed","")&lt;&gt;"",IF(AND(TRIM(U351)="Pass",ISNUMBER(AF351)),IF(AF351&lt;&gt;0,"INVALID – qty variance: use Fail or Pass after CA",""),"")&amp;IF(AND(TRIM(U351)="Pass",AB351="Open"),"INVALID – corrective action still open: use Fail, then Pass after CA","")&amp;IF(AND(TRIM(U351)="Pass after CA",OR(TRIM(AA351)="",AB351&lt;&gt;"Closed")),"INVALID – corrective action not recorded/closed",""),IF(AND(AS351=1,Documents!$J$14&lt;&gt;"ON FILE"),"INVALID – GLD not on file (Documents sheet)",IF(AND(AS351=2,Documents!$O$14&lt;&gt;"ON FILE"),"INVALID – menu checklist not on file (Documents sheet)",IF(AND(AS351=3,NOT(ISNUMBER(Flights!$AX$14))),"INVALID – enter carrying flight KUL departure (Flights AX)",IF(AG351&gt;AsOfUTC,"INVALID – completion time is in the future",IF(AND(ISNUMBER(S351),AG351&lt;S351),IF(H351="Physical uplift","INVALID – before uplift window (cannot confirm loading)","INVALID – before valid window"),IF(AG351&gt;Flights!$AA$14,"INVALID – completed after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f>
        <v>OPEN</v>
      </c>
      <c r="AI351" s="61" t="n">
        <f aca="false">IF(OR(AH351="N/A – RULE",AH351="N/A – JUSTIFIED"),0,1)</f>
        <v>1</v>
      </c>
      <c r="AJ351" s="61" t="n">
        <f aca="false">IF(LEFT(AH351,8)="COMPLETE",1,0)</f>
        <v>0</v>
      </c>
      <c r="AK351" s="61" t="n">
        <f aca="false">IF(AND(AI351=1,AJ351=0,AsOfUTC&gt;Q351),1,0)</f>
        <v>0</v>
      </c>
      <c r="AL351" s="61" t="n">
        <f aca="false">IF(AND(AI351=1,OR(TRIM(U351)="Fail",AB351="Open",AND(ISNUMBER(AF351),AF351&lt;&gt;0,TRIM(U351)&lt;&gt;"Pass after CA"))),1,0)</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1</v>
      </c>
    </row>
    <row r="352" customFormat="false" ht="39.75" hidden="false" customHeight="true" outlineLevel="0" collapsed="false">
      <c r="A352" s="57" t="s">
        <v>916</v>
      </c>
      <c r="B352" s="57" t="s">
        <v>241</v>
      </c>
      <c r="C352" s="57" t="str">
        <f aca="false">Flights!$F$14</f>
        <v>MH1140</v>
      </c>
      <c r="D352" s="58" t="n">
        <f aca="false">Flights!$D$14</f>
        <v>46307</v>
      </c>
      <c r="E352" s="57" t="str">
        <f aca="false">Flights!$G$14&amp;"-"&amp;Flights!$H$14</f>
        <v>KUL-PEN</v>
      </c>
      <c r="F352" s="57" t="str">
        <f aca="false">Flights!$K$14</f>
        <v>BC</v>
      </c>
      <c r="G352" s="57" t="s">
        <v>422</v>
      </c>
      <c r="H352" s="57" t="s">
        <v>423</v>
      </c>
      <c r="I352" s="57" t="s">
        <v>462</v>
      </c>
      <c r="J352" s="57" t="s">
        <v>504</v>
      </c>
      <c r="K352" s="67" t="s">
        <v>464</v>
      </c>
      <c r="L352" s="67" t="s">
        <v>902</v>
      </c>
      <c r="M352" s="67" t="s">
        <v>414</v>
      </c>
      <c r="N352" s="67" t="s">
        <v>346</v>
      </c>
      <c r="O352" s="67"/>
      <c r="P352" s="57" t="s">
        <v>177</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IF(N352="N/A – rule","N/A – RULE",IF(TRIM(U352)="N/A",IF(AT352=0,"INVALID – N/A not permitted for this mandatory check",IF(AND(TRIM(AC352)&lt;&gt;"",TRIM(AE352)&lt;&gt;"",TRIM(T352)&lt;&gt;""),"N/A – JUSTIFIED","INVALID – N/A needs justification, PIC and verifier")),IF(OR(TRIM(U352)="Pass",TRIM(U352)="Pass after CA"),IF(NOT(ISNUMBER(AD352)),"INVALID – completion time missing",IF(TRIM(T352)="","INVALID – PIC missing",IF(TRIM(Z352)="","INVALID – evidence missing",IF(TRIM(AE352)="","INVALID – verifier missing",IF(AND(AQ352=1,TRIM(W352)=""),"INVALID – batch ID missing",IF(AND(AR352=1,OR(NOT(ISNUMBER(X352)),NOT(ISNUMBER(Y352)))),"INVALID – expected/actual qty missing",IF(IF(AND(TRIM(U352)="Pass",ISNUMBER(AF352)),IF(AF352&lt;&gt;0,"INVALID – qty variance: use Fail or Pass after CA",""),"")&amp;IF(AND(TRIM(U352)="Pass",AB352="Open"),"INVALID – corrective action still open: use Fail, then Pass after CA","")&amp;IF(AND(TRIM(U352)="Pass after CA",OR(TRIM(AA352)="",AB352&lt;&gt;"Closed")),"INVALID – corrective action not recorded/closed","")&lt;&gt;"",IF(AND(TRIM(U352)="Pass",ISNUMBER(AF352)),IF(AF352&lt;&gt;0,"INVALID – qty variance: use Fail or Pass after CA",""),"")&amp;IF(AND(TRIM(U352)="Pass",AB352="Open"),"INVALID – corrective action still open: use Fail, then Pass after CA","")&amp;IF(AND(TRIM(U352)="Pass after CA",OR(TRIM(AA352)="",AB352&lt;&gt;"Closed")),"INVALID – corrective action not recorded/closed",""),IF(AND(AS352=1,Documents!$J$14&lt;&gt;"ON FILE"),"INVALID – GLD not on file (Documents sheet)",IF(AND(AS352=2,Documents!$O$14&lt;&gt;"ON FILE"),"INVALID – menu checklist not on file (Documents sheet)",IF(AND(AS352=3,NOT(ISNUMBER(Flights!$AX$14))),"INVALID – enter carrying flight KUL departure (Flights AX)",IF(AG352&gt;AsOfUTC,"INVALID – completion time is in the future",IF(AND(ISNUMBER(S352),AG352&lt;S352),IF(H352="Physical uplift","INVALID – before uplift window (cannot confirm loading)","INVALID – before valid window"),IF(AG352&gt;Flights!$AA$14,"INVALID – completed after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f>
        <v>OPEN</v>
      </c>
      <c r="AI352" s="61" t="n">
        <f aca="false">IF(OR(AH352="N/A – RULE",AH352="N/A – JUSTIFIED"),0,1)</f>
        <v>1</v>
      </c>
      <c r="AJ352" s="61" t="n">
        <f aca="false">IF(LEFT(AH352,8)="COMPLETE",1,0)</f>
        <v>0</v>
      </c>
      <c r="AK352" s="61" t="n">
        <f aca="false">IF(AND(AI352=1,AJ352=0,AsOfUTC&gt;Q352),1,0)</f>
        <v>0</v>
      </c>
      <c r="AL352" s="61" t="n">
        <f aca="false">IF(AND(AI352=1,OR(TRIM(U352)="Fail",AB352="Open",AND(ISNUMBER(AF352),AF352&lt;&gt;0,TRIM(U352)&lt;&gt;"Pass after CA"))),1,0)</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1</v>
      </c>
    </row>
    <row r="353" customFormat="false" ht="39.75" hidden="false" customHeight="true" outlineLevel="0" collapsed="false">
      <c r="A353" s="57" t="s">
        <v>917</v>
      </c>
      <c r="B353" s="57" t="s">
        <v>241</v>
      </c>
      <c r="C353" s="57" t="str">
        <f aca="false">Flights!$F$14</f>
        <v>MH1140</v>
      </c>
      <c r="D353" s="58" t="n">
        <f aca="false">Flights!$D$14</f>
        <v>46307</v>
      </c>
      <c r="E353" s="57" t="str">
        <f aca="false">Flights!$G$14&amp;"-"&amp;Flights!$H$14</f>
        <v>KUL-PEN</v>
      </c>
      <c r="F353" s="57" t="str">
        <f aca="false">Flights!$K$14</f>
        <v>BC</v>
      </c>
      <c r="G353" s="57" t="s">
        <v>422</v>
      </c>
      <c r="H353" s="57" t="s">
        <v>423</v>
      </c>
      <c r="I353" s="57" t="s">
        <v>462</v>
      </c>
      <c r="J353" s="57" t="s">
        <v>511</v>
      </c>
      <c r="K353" s="67" t="s">
        <v>482</v>
      </c>
      <c r="L353" s="67" t="s">
        <v>904</v>
      </c>
      <c r="M353" s="67" t="s">
        <v>414</v>
      </c>
      <c r="N353" s="67" t="s">
        <v>346</v>
      </c>
      <c r="O353" s="67" t="s">
        <v>512</v>
      </c>
      <c r="P353" s="57" t="s">
        <v>177</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IF(N353="N/A – rule","N/A – RULE",IF(TRIM(U353)="N/A",IF(AT353=0,"INVALID – N/A not permitted for this mandatory check",IF(AND(TRIM(AC353)&lt;&gt;"",TRIM(AE353)&lt;&gt;"",TRIM(T353)&lt;&gt;""),"N/A – JUSTIFIED","INVALID – N/A needs justification, PIC and verifier")),IF(OR(TRIM(U353)="Pass",TRIM(U353)="Pass after CA"),IF(NOT(ISNUMBER(AD353)),"INVALID – completion time missing",IF(TRIM(T353)="","INVALID – PIC missing",IF(TRIM(Z353)="","INVALID – evidence missing",IF(TRIM(AE353)="","INVALID – verifier missing",IF(AND(AQ353=1,TRIM(W353)=""),"INVALID – batch ID missing",IF(AND(AR353=1,OR(NOT(ISNUMBER(X353)),NOT(ISNUMBER(Y353)))),"INVALID – expected/actual qty missing",IF(IF(AND(TRIM(U353)="Pass",ISNUMBER(AF353)),IF(AF353&lt;&gt;0,"INVALID – qty variance: use Fail or Pass after CA",""),"")&amp;IF(AND(TRIM(U353)="Pass",AB353="Open"),"INVALID – corrective action still open: use Fail, then Pass after CA","")&amp;IF(AND(TRIM(U353)="Pass after CA",OR(TRIM(AA353)="",AB353&lt;&gt;"Closed")),"INVALID – corrective action not recorded/closed","")&lt;&gt;"",IF(AND(TRIM(U353)="Pass",ISNUMBER(AF353)),IF(AF353&lt;&gt;0,"INVALID – qty variance: use Fail or Pass after CA",""),"")&amp;IF(AND(TRIM(U353)="Pass",AB353="Open"),"INVALID – corrective action still open: use Fail, then Pass after CA","")&amp;IF(AND(TRIM(U353)="Pass after CA",OR(TRIM(AA353)="",AB353&lt;&gt;"Closed")),"INVALID – corrective action not recorded/closed",""),IF(AND(AS353=1,Documents!$J$14&lt;&gt;"ON FILE"),"INVALID – GLD not on file (Documents sheet)",IF(AND(AS353=2,Documents!$O$14&lt;&gt;"ON FILE"),"INVALID – menu checklist not on file (Documents sheet)",IF(AND(AS353=3,NOT(ISNUMBER(Flights!$AX$14))),"INVALID – enter carrying flight KUL departure (Flights AX)",IF(AG353&gt;AsOfUTC,"INVALID – completion time is in the future",IF(AND(ISNUMBER(S353),AG353&lt;S353),IF(H353="Physical uplift","INVALID – before uplift window (cannot confirm loading)","INVALID – before valid window"),IF(AG353&gt;Flights!$AA$14,"INVALID – completed after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f>
        <v>OPEN</v>
      </c>
      <c r="AI353" s="61" t="n">
        <f aca="false">IF(OR(AH353="N/A – RULE",AH353="N/A – JUSTIFIED"),0,1)</f>
        <v>1</v>
      </c>
      <c r="AJ353" s="61" t="n">
        <f aca="false">IF(LEFT(AH353,8)="COMPLETE",1,0)</f>
        <v>0</v>
      </c>
      <c r="AK353" s="61" t="n">
        <f aca="false">IF(AND(AI353=1,AJ353=0,AsOfUTC&gt;Q353),1,0)</f>
        <v>0</v>
      </c>
      <c r="AL353" s="61" t="n">
        <f aca="false">IF(AND(AI353=1,OR(TRIM(U353)="Fail",AB353="Open",AND(ISNUMBER(AF353),AF353&lt;&gt;0,TRIM(U353)&lt;&gt;"Pass after CA"))),1,0)</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1</v>
      </c>
    </row>
    <row r="354" customFormat="false" ht="39.75" hidden="false" customHeight="true" outlineLevel="0" collapsed="false">
      <c r="A354" s="57" t="s">
        <v>918</v>
      </c>
      <c r="B354" s="57" t="s">
        <v>241</v>
      </c>
      <c r="C354" s="57" t="str">
        <f aca="false">Flights!$F$14</f>
        <v>MH1140</v>
      </c>
      <c r="D354" s="58" t="n">
        <f aca="false">Flights!$D$14</f>
        <v>46307</v>
      </c>
      <c r="E354" s="57" t="str">
        <f aca="false">Flights!$G$14&amp;"-"&amp;Flights!$H$14</f>
        <v>KUL-PEN</v>
      </c>
      <c r="F354" s="57" t="str">
        <f aca="false">Flights!$K$14</f>
        <v>BC</v>
      </c>
      <c r="G354" s="57" t="s">
        <v>422</v>
      </c>
      <c r="H354" s="57" t="s">
        <v>423</v>
      </c>
      <c r="I354" s="57" t="s">
        <v>462</v>
      </c>
      <c r="J354" s="57" t="s">
        <v>514</v>
      </c>
      <c r="K354" s="67" t="s">
        <v>464</v>
      </c>
      <c r="L354" s="67" t="s">
        <v>906</v>
      </c>
      <c r="M354" s="67" t="s">
        <v>414</v>
      </c>
      <c r="N354" s="67" t="s">
        <v>346</v>
      </c>
      <c r="O354" s="67"/>
      <c r="P354" s="57" t="s">
        <v>177</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IF(N354="N/A – rule","N/A – RULE",IF(TRIM(U354)="N/A",IF(AT354=0,"INVALID – N/A not permitted for this mandatory check",IF(AND(TRIM(AC354)&lt;&gt;"",TRIM(AE354)&lt;&gt;"",TRIM(T354)&lt;&gt;""),"N/A – JUSTIFIED","INVALID – N/A needs justification, PIC and verifier")),IF(OR(TRIM(U354)="Pass",TRIM(U354)="Pass after CA"),IF(NOT(ISNUMBER(AD354)),"INVALID – completion time missing",IF(TRIM(T354)="","INVALID – PIC missing",IF(TRIM(Z354)="","INVALID – evidence missing",IF(TRIM(AE354)="","INVALID – verifier missing",IF(AND(AQ354=1,TRIM(W354)=""),"INVALID – batch ID missing",IF(AND(AR354=1,OR(NOT(ISNUMBER(X354)),NOT(ISNUMBER(Y354)))),"INVALID – expected/actual qty missing",IF(IF(AND(TRIM(U354)="Pass",ISNUMBER(AF354)),IF(AF354&lt;&gt;0,"INVALID – qty variance: use Fail or Pass after CA",""),"")&amp;IF(AND(TRIM(U354)="Pass",AB354="Open"),"INVALID – corrective action still open: use Fail, then Pass after CA","")&amp;IF(AND(TRIM(U354)="Pass after CA",OR(TRIM(AA354)="",AB354&lt;&gt;"Closed")),"INVALID – corrective action not recorded/closed","")&lt;&gt;"",IF(AND(TRIM(U354)="Pass",ISNUMBER(AF354)),IF(AF354&lt;&gt;0,"INVALID – qty variance: use Fail or Pass after CA",""),"")&amp;IF(AND(TRIM(U354)="Pass",AB354="Open"),"INVALID – corrective action still open: use Fail, then Pass after CA","")&amp;IF(AND(TRIM(U354)="Pass after CA",OR(TRIM(AA354)="",AB354&lt;&gt;"Closed")),"INVALID – corrective action not recorded/closed",""),IF(AND(AS354=1,Documents!$J$14&lt;&gt;"ON FILE"),"INVALID – GLD not on file (Documents sheet)",IF(AND(AS354=2,Documents!$O$14&lt;&gt;"ON FILE"),"INVALID – menu checklist not on file (Documents sheet)",IF(AND(AS354=3,NOT(ISNUMBER(Flights!$AX$14))),"INVALID – enter carrying flight KUL departure (Flights AX)",IF(AG354&gt;AsOfUTC,"INVALID – completion time is in the future",IF(AND(ISNUMBER(S354),AG354&lt;S354),IF(H354="Physical uplift","INVALID – before uplift window (cannot confirm loading)","INVALID – before valid window"),IF(AG354&gt;Flights!$AA$14,"INVALID – completed after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f>
        <v>OPEN</v>
      </c>
      <c r="AI354" s="61" t="n">
        <f aca="false">IF(OR(AH354="N/A – RULE",AH354="N/A – JUSTIFIED"),0,1)</f>
        <v>1</v>
      </c>
      <c r="AJ354" s="61" t="n">
        <f aca="false">IF(LEFT(AH354,8)="COMPLETE",1,0)</f>
        <v>0</v>
      </c>
      <c r="AK354" s="61" t="n">
        <f aca="false">IF(AND(AI354=1,AJ354=0,AsOfUTC&gt;Q354),1,0)</f>
        <v>0</v>
      </c>
      <c r="AL354" s="61" t="n">
        <f aca="false">IF(AND(AI354=1,OR(TRIM(U354)="Fail",AB354="Open",AND(ISNUMBER(AF354),AF354&lt;&gt;0,TRIM(U354)&lt;&gt;"Pass after CA"))),1,0)</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1</v>
      </c>
    </row>
    <row r="355" customFormat="false" ht="39.75" hidden="false" customHeight="true" outlineLevel="0" collapsed="false">
      <c r="A355" s="57" t="s">
        <v>919</v>
      </c>
      <c r="B355" s="57" t="s">
        <v>241</v>
      </c>
      <c r="C355" s="57" t="str">
        <f aca="false">Flights!$F$14</f>
        <v>MH1140</v>
      </c>
      <c r="D355" s="58" t="n">
        <f aca="false">Flights!$D$14</f>
        <v>46307</v>
      </c>
      <c r="E355" s="57" t="str">
        <f aca="false">Flights!$G$14&amp;"-"&amp;Flights!$H$14</f>
        <v>KUL-PEN</v>
      </c>
      <c r="F355" s="57" t="str">
        <f aca="false">Flights!$K$14</f>
        <v>BC</v>
      </c>
      <c r="G355" s="57" t="s">
        <v>422</v>
      </c>
      <c r="H355" s="57" t="s">
        <v>423</v>
      </c>
      <c r="I355" s="57" t="s">
        <v>410</v>
      </c>
      <c r="J355" s="57" t="s">
        <v>516</v>
      </c>
      <c r="K355" s="67" t="s">
        <v>412</v>
      </c>
      <c r="L355" s="67" t="s">
        <v>908</v>
      </c>
      <c r="M355" s="67" t="s">
        <v>414</v>
      </c>
      <c r="N355" s="67" t="s">
        <v>346</v>
      </c>
      <c r="O355" s="67"/>
      <c r="P355" s="57" t="s">
        <v>177</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IF(N355="N/A – rule","N/A – RULE",IF(TRIM(U355)="N/A",IF(AT355=0,"INVALID – N/A not permitted for this mandatory check",IF(AND(TRIM(AC355)&lt;&gt;"",TRIM(AE355)&lt;&gt;"",TRIM(T355)&lt;&gt;""),"N/A – JUSTIFIED","INVALID – N/A needs justification, PIC and verifier")),IF(OR(TRIM(U355)="Pass",TRIM(U355)="Pass after CA"),IF(NOT(ISNUMBER(AD355)),"INVALID – completion time missing",IF(TRIM(T355)="","INVALID – PIC missing",IF(TRIM(Z355)="","INVALID – evidence missing",IF(TRIM(AE355)="","INVALID – verifier missing",IF(AND(AQ355=1,TRIM(W355)=""),"INVALID – batch ID missing",IF(AND(AR355=1,OR(NOT(ISNUMBER(X355)),NOT(ISNUMBER(Y355)))),"INVALID – expected/actual qty missing",IF(IF(AND(TRIM(U355)="Pass",ISNUMBER(AF355)),IF(AF355&lt;&gt;0,"INVALID – qty variance: use Fail or Pass after CA",""),"")&amp;IF(AND(TRIM(U355)="Pass",AB355="Open"),"INVALID – corrective action still open: use Fail, then Pass after CA","")&amp;IF(AND(TRIM(U355)="Pass after CA",OR(TRIM(AA355)="",AB355&lt;&gt;"Closed")),"INVALID – corrective action not recorded/closed","")&lt;&gt;"",IF(AND(TRIM(U355)="Pass",ISNUMBER(AF355)),IF(AF355&lt;&gt;0,"INVALID – qty variance: use Fail or Pass after CA",""),"")&amp;IF(AND(TRIM(U355)="Pass",AB355="Open"),"INVALID – corrective action still open: use Fail, then Pass after CA","")&amp;IF(AND(TRIM(U355)="Pass after CA",OR(TRIM(AA355)="",AB355&lt;&gt;"Closed")),"INVALID – corrective action not recorded/closed",""),IF(AND(AS355=1,Documents!$J$14&lt;&gt;"ON FILE"),"INVALID – GLD not on file (Documents sheet)",IF(AND(AS355=2,Documents!$O$14&lt;&gt;"ON FILE"),"INVALID – menu checklist not on file (Documents sheet)",IF(AND(AS355=3,NOT(ISNUMBER(Flights!$AX$14))),"INVALID – enter carrying flight KUL departure (Flights AX)",IF(AG355&gt;AsOfUTC,"INVALID – completion time is in the future",IF(AND(ISNUMBER(S355),AG355&lt;S355),IF(H355="Physical uplift","INVALID – before uplift window (cannot confirm loading)","INVALID – before valid window"),IF(AG355&gt;Flights!$AA$14,"INVALID – completed after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f>
        <v>OPEN</v>
      </c>
      <c r="AI355" s="61" t="n">
        <f aca="false">IF(OR(AH355="N/A – RULE",AH355="N/A – JUSTIFIED"),0,1)</f>
        <v>1</v>
      </c>
      <c r="AJ355" s="61" t="n">
        <f aca="false">IF(LEFT(AH355,8)="COMPLETE",1,0)</f>
        <v>0</v>
      </c>
      <c r="AK355" s="61" t="n">
        <f aca="false">IF(AND(AI355=1,AJ355=0,AsOfUTC&gt;Q355),1,0)</f>
        <v>0</v>
      </c>
      <c r="AL355" s="61" t="n">
        <f aca="false">IF(AND(AI355=1,OR(TRIM(U355)="Fail",AB355="Open",AND(ISNUMBER(AF355),AF355&lt;&gt;0,TRIM(U355)&lt;&gt;"Pass after CA"))),1,0)</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1</v>
      </c>
    </row>
    <row r="356" customFormat="false" ht="39.75" hidden="false" customHeight="true" outlineLevel="0" collapsed="false">
      <c r="A356" s="57" t="s">
        <v>920</v>
      </c>
      <c r="B356" s="57" t="s">
        <v>241</v>
      </c>
      <c r="C356" s="57" t="str">
        <f aca="false">Flights!$F$14</f>
        <v>MH1140</v>
      </c>
      <c r="D356" s="58" t="n">
        <f aca="false">Flights!$D$14</f>
        <v>46307</v>
      </c>
      <c r="E356" s="57" t="str">
        <f aca="false">Flights!$G$14&amp;"-"&amp;Flights!$H$14</f>
        <v>KUL-PEN</v>
      </c>
      <c r="F356" s="57" t="str">
        <f aca="false">Flights!$K$14</f>
        <v>BC</v>
      </c>
      <c r="G356" s="57" t="s">
        <v>422</v>
      </c>
      <c r="H356" s="57" t="s">
        <v>423</v>
      </c>
      <c r="I356" s="57" t="s">
        <v>410</v>
      </c>
      <c r="J356" s="57" t="s">
        <v>518</v>
      </c>
      <c r="K356" s="67" t="s">
        <v>412</v>
      </c>
      <c r="L356" s="67" t="s">
        <v>910</v>
      </c>
      <c r="M356" s="67" t="s">
        <v>414</v>
      </c>
      <c r="N356" s="67" t="s">
        <v>346</v>
      </c>
      <c r="O356" s="67"/>
      <c r="P356" s="57" t="s">
        <v>177</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IF(N356="N/A – rule","N/A – RULE",IF(TRIM(U356)="N/A",IF(AT356=0,"INVALID – N/A not permitted for this mandatory check",IF(AND(TRIM(AC356)&lt;&gt;"",TRIM(AE356)&lt;&gt;"",TRIM(T356)&lt;&gt;""),"N/A – JUSTIFIED","INVALID – N/A needs justification, PIC and verifier")),IF(OR(TRIM(U356)="Pass",TRIM(U356)="Pass after CA"),IF(NOT(ISNUMBER(AD356)),"INVALID – completion time missing",IF(TRIM(T356)="","INVALID – PIC missing",IF(TRIM(Z356)="","INVALID – evidence missing",IF(TRIM(AE356)="","INVALID – verifier missing",IF(AND(AQ356=1,TRIM(W356)=""),"INVALID – batch ID missing",IF(AND(AR356=1,OR(NOT(ISNUMBER(X356)),NOT(ISNUMBER(Y356)))),"INVALID – expected/actual qty missing",IF(IF(AND(TRIM(U356)="Pass",ISNUMBER(AF356)),IF(AF356&lt;&gt;0,"INVALID – qty variance: use Fail or Pass after CA",""),"")&amp;IF(AND(TRIM(U356)="Pass",AB356="Open"),"INVALID – corrective action still open: use Fail, then Pass after CA","")&amp;IF(AND(TRIM(U356)="Pass after CA",OR(TRIM(AA356)="",AB356&lt;&gt;"Closed")),"INVALID – corrective action not recorded/closed","")&lt;&gt;"",IF(AND(TRIM(U356)="Pass",ISNUMBER(AF356)),IF(AF356&lt;&gt;0,"INVALID – qty variance: use Fail or Pass after CA",""),"")&amp;IF(AND(TRIM(U356)="Pass",AB356="Open"),"INVALID – corrective action still open: use Fail, then Pass after CA","")&amp;IF(AND(TRIM(U356)="Pass after CA",OR(TRIM(AA356)="",AB356&lt;&gt;"Closed")),"INVALID – corrective action not recorded/closed",""),IF(AND(AS356=1,Documents!$J$14&lt;&gt;"ON FILE"),"INVALID – GLD not on file (Documents sheet)",IF(AND(AS356=2,Documents!$O$14&lt;&gt;"ON FILE"),"INVALID – menu checklist not on file (Documents sheet)",IF(AND(AS356=3,NOT(ISNUMBER(Flights!$AX$14))),"INVALID – enter carrying flight KUL departure (Flights AX)",IF(AG356&gt;AsOfUTC,"INVALID – completion time is in the future",IF(AND(ISNUMBER(S356),AG356&lt;S356),IF(H356="Physical uplift","INVALID – before uplift window (cannot confirm loading)","INVALID – before valid window"),IF(AG356&gt;Flights!$AA$14,"INVALID – completed after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f>
        <v>OPEN</v>
      </c>
      <c r="AI356" s="61" t="n">
        <f aca="false">IF(OR(AH356="N/A – RULE",AH356="N/A – JUSTIFIED"),0,1)</f>
        <v>1</v>
      </c>
      <c r="AJ356" s="61" t="n">
        <f aca="false">IF(LEFT(AH356,8)="COMPLETE",1,0)</f>
        <v>0</v>
      </c>
      <c r="AK356" s="61" t="n">
        <f aca="false">IF(AND(AI356=1,AJ356=0,AsOfUTC&gt;Q356),1,0)</f>
        <v>0</v>
      </c>
      <c r="AL356" s="61" t="n">
        <f aca="false">IF(AND(AI356=1,OR(TRIM(U356)="Fail",AB356="Open",AND(ISNUMBER(AF356),AF356&lt;&gt;0,TRIM(U356)&lt;&gt;"Pass after CA"))),1,0)</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1</v>
      </c>
    </row>
    <row r="357" customFormat="false" ht="39.75" hidden="false" customHeight="true" outlineLevel="0" collapsed="false">
      <c r="A357" s="57" t="s">
        <v>921</v>
      </c>
      <c r="B357" s="57" t="s">
        <v>248</v>
      </c>
      <c r="C357" s="57" t="str">
        <f aca="false">Flights!$F$15</f>
        <v>MH1149</v>
      </c>
      <c r="D357" s="58" t="n">
        <f aca="false">Flights!$D$15</f>
        <v>46307</v>
      </c>
      <c r="E357" s="57" t="str">
        <f aca="false">Flights!$G$15&amp;"-"&amp;Flights!$H$15</f>
        <v>PEN-KUL</v>
      </c>
      <c r="F357" s="57" t="str">
        <f aca="false">Flights!$K$15</f>
        <v>EY</v>
      </c>
      <c r="G357" s="57" t="s">
        <v>74</v>
      </c>
      <c r="H357" s="57" t="s">
        <v>341</v>
      </c>
      <c r="I357" s="57" t="s">
        <v>342</v>
      </c>
      <c r="J357" s="57" t="s">
        <v>343</v>
      </c>
      <c r="K357" s="67" t="s">
        <v>344</v>
      </c>
      <c r="L357" s="67" t="s">
        <v>345</v>
      </c>
      <c r="M357" s="67"/>
      <c r="N357" s="67" t="s">
        <v>346</v>
      </c>
      <c r="O357" s="67" t="s">
        <v>875</v>
      </c>
      <c r="P357" s="57" t="s">
        <v>177</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IF(N357="N/A – rule","N/A – RULE",IF(TRIM(U357)="N/A",IF(AT357=0,"INVALID – N/A not permitted for this mandatory check",IF(AND(TRIM(AC357)&lt;&gt;"",TRIM(AE357)&lt;&gt;"",TRIM(T357)&lt;&gt;""),"N/A – JUSTIFIED","INVALID – N/A needs justification, PIC and verifier")),IF(OR(TRIM(U357)="Pass",TRIM(U357)="Pass after CA"),IF(NOT(ISNUMBER(AD357)),"INVALID – completion time missing",IF(TRIM(T357)="","INVALID – PIC missing",IF(TRIM(Z357)="","INVALID – evidence missing",IF(TRIM(AE357)="","INVALID – verifier missing",IF(AND(AQ357=1,TRIM(W357)=""),"INVALID – batch ID missing",IF(AND(AR357=1,OR(NOT(ISNUMBER(X357)),NOT(ISNUMBER(Y357)))),"INVALID – expected/actual qty missing",IF(IF(AND(TRIM(U357)="Pass",ISNUMBER(AF357)),IF(AF357&lt;&gt;0,"INVALID – qty variance: use Fail or Pass after CA",""),"")&amp;IF(AND(TRIM(U357)="Pass",AB357="Open"),"INVALID – corrective action still open: use Fail, then Pass after CA","")&amp;IF(AND(TRIM(U357)="Pass after CA",OR(TRIM(AA357)="",AB357&lt;&gt;"Closed")),"INVALID – corrective action not recorded/closed","")&lt;&gt;"",IF(AND(TRIM(U357)="Pass",ISNUMBER(AF357)),IF(AF357&lt;&gt;0,"INVALID – qty variance: use Fail or Pass after CA",""),"")&amp;IF(AND(TRIM(U357)="Pass",AB357="Open"),"INVALID – corrective action still open: use Fail, then Pass after CA","")&amp;IF(AND(TRIM(U357)="Pass after CA",OR(TRIM(AA357)="",AB357&lt;&gt;"Closed")),"INVALID – corrective action not recorded/closed",""),IF(AND(AS357=1,Documents!$J$15&lt;&gt;"ON FILE"),"INVALID – GLD not on file (Documents sheet)",IF(AND(AS357=2,Documents!$O$15&lt;&gt;"ON FILE"),"INVALID – menu checklist not on file (Documents sheet)",IF(AND(AS357=3,NOT(ISNUMBER(Flights!$AX$15))),"INVALID – enter carrying flight KUL departure (Flights AX)",IF(AG357&gt;AsOfUTC,"INVALID – completion time is in the future",IF(AND(ISNUMBER(S357),AG357&lt;S357),IF(H357="Physical uplift","INVALID – before uplift window (cannot confirm loading)","INVALID – before valid window"),IF(AG357&gt;Flights!$AA$15,"INVALID – completed after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f>
        <v>OPEN</v>
      </c>
      <c r="AI357" s="61" t="n">
        <f aca="false">IF(OR(AH357="N/A – RULE",AH357="N/A – JUSTIFIED"),0,1)</f>
        <v>1</v>
      </c>
      <c r="AJ357" s="61" t="n">
        <f aca="false">IF(LEFT(AH357,8)="COMPLETE",1,0)</f>
        <v>0</v>
      </c>
      <c r="AK357" s="61" t="n">
        <f aca="false">IF(AND(AI357=1,AJ357=0,AsOfUTC&gt;Q357),1,0)</f>
        <v>0</v>
      </c>
      <c r="AL357" s="61" t="n">
        <f aca="false">IF(AND(AI357=1,OR(TRIM(U357)="Fail",AB357="Open",AND(ISNUMBER(AF357),AF357&lt;&gt;0,TRIM(U357)&lt;&gt;"Pass after CA"))),1,0)</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row>
    <row r="358" customFormat="false" ht="41.25" hidden="false" customHeight="true" outlineLevel="0" collapsed="false">
      <c r="A358" s="57" t="s">
        <v>922</v>
      </c>
      <c r="B358" s="57" t="s">
        <v>248</v>
      </c>
      <c r="C358" s="57" t="str">
        <f aca="false">Flights!$F$15</f>
        <v>MH1149</v>
      </c>
      <c r="D358" s="58" t="n">
        <f aca="false">Flights!$D$15</f>
        <v>46307</v>
      </c>
      <c r="E358" s="57" t="str">
        <f aca="false">Flights!$G$15&amp;"-"&amp;Flights!$H$15</f>
        <v>PEN-KUL</v>
      </c>
      <c r="F358" s="57" t="str">
        <f aca="false">Flights!$K$15</f>
        <v>EY</v>
      </c>
      <c r="G358" s="57" t="s">
        <v>74</v>
      </c>
      <c r="H358" s="57" t="s">
        <v>341</v>
      </c>
      <c r="I358" s="57" t="s">
        <v>348</v>
      </c>
      <c r="J358" s="57" t="s">
        <v>349</v>
      </c>
      <c r="K358" s="67" t="s">
        <v>350</v>
      </c>
      <c r="L358" s="67" t="s">
        <v>345</v>
      </c>
      <c r="M358" s="67"/>
      <c r="N358" s="67" t="s">
        <v>346</v>
      </c>
      <c r="O358" s="67" t="s">
        <v>877</v>
      </c>
      <c r="P358" s="57" t="s">
        <v>177</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IF(N358="N/A – rule","N/A – RULE",IF(TRIM(U358)="N/A",IF(AT358=0,"INVALID – N/A not permitted for this mandatory check",IF(AND(TRIM(AC358)&lt;&gt;"",TRIM(AE358)&lt;&gt;"",TRIM(T358)&lt;&gt;""),"N/A – JUSTIFIED","INVALID – N/A needs justification, PIC and verifier")),IF(OR(TRIM(U358)="Pass",TRIM(U358)="Pass after CA"),IF(NOT(ISNUMBER(AD358)),"INVALID – completion time missing",IF(TRIM(T358)="","INVALID – PIC missing",IF(TRIM(Z358)="","INVALID – evidence missing",IF(TRIM(AE358)="","INVALID – verifier missing",IF(AND(AQ358=1,TRIM(W358)=""),"INVALID – batch ID missing",IF(AND(AR358=1,OR(NOT(ISNUMBER(X358)),NOT(ISNUMBER(Y358)))),"INVALID – expected/actual qty missing",IF(IF(AND(TRIM(U358)="Pass",ISNUMBER(AF358)),IF(AF358&lt;&gt;0,"INVALID – qty variance: use Fail or Pass after CA",""),"")&amp;IF(AND(TRIM(U358)="Pass",AB358="Open"),"INVALID – corrective action still open: use Fail, then Pass after CA","")&amp;IF(AND(TRIM(U358)="Pass after CA",OR(TRIM(AA358)="",AB358&lt;&gt;"Closed")),"INVALID – corrective action not recorded/closed","")&lt;&gt;"",IF(AND(TRIM(U358)="Pass",ISNUMBER(AF358)),IF(AF358&lt;&gt;0,"INVALID – qty variance: use Fail or Pass after CA",""),"")&amp;IF(AND(TRIM(U358)="Pass",AB358="Open"),"INVALID – corrective action still open: use Fail, then Pass after CA","")&amp;IF(AND(TRIM(U358)="Pass after CA",OR(TRIM(AA358)="",AB358&lt;&gt;"Closed")),"INVALID – corrective action not recorded/closed",""),IF(AND(AS358=1,Documents!$J$15&lt;&gt;"ON FILE"),"INVALID – GLD not on file (Documents sheet)",IF(AND(AS358=2,Documents!$O$15&lt;&gt;"ON FILE"),"INVALID – menu checklist not on file (Documents sheet)",IF(AND(AS358=3,NOT(ISNUMBER(Flights!$AX$15))),"INVALID – enter carrying flight KUL departure (Flights AX)",IF(AG358&gt;AsOfUTC,"INVALID – completion time is in the future",IF(AND(ISNUMBER(S358),AG358&lt;S358),IF(H358="Physical uplift","INVALID – before uplift window (cannot confirm loading)","INVALID – before valid window"),IF(AG358&gt;Flights!$AA$15,"INVALID – completed after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f>
        <v>OPEN</v>
      </c>
      <c r="AI358" s="61" t="n">
        <f aca="false">IF(OR(AH358="N/A – RULE",AH358="N/A – JUSTIFIED"),0,1)</f>
        <v>1</v>
      </c>
      <c r="AJ358" s="61" t="n">
        <f aca="false">IF(LEFT(AH358,8)="COMPLETE",1,0)</f>
        <v>0</v>
      </c>
      <c r="AK358" s="61" t="n">
        <f aca="false">IF(AND(AI358=1,AJ358=0,AsOfUTC&gt;Q358),1,0)</f>
        <v>0</v>
      </c>
      <c r="AL358" s="61" t="n">
        <f aca="false">IF(AND(AI358=1,OR(TRIM(U358)="Fail",AB358="Open",AND(ISNUMBER(AF358),AF358&lt;&gt;0,TRIM(U358)&lt;&gt;"Pass after CA"))),1,0)</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row>
    <row r="359" customFormat="false" ht="41.25" hidden="false" customHeight="true" outlineLevel="0" collapsed="false">
      <c r="A359" s="57" t="s">
        <v>923</v>
      </c>
      <c r="B359" s="57" t="s">
        <v>248</v>
      </c>
      <c r="C359" s="57" t="str">
        <f aca="false">Flights!$F$15</f>
        <v>MH1149</v>
      </c>
      <c r="D359" s="58" t="n">
        <f aca="false">Flights!$D$15</f>
        <v>46307</v>
      </c>
      <c r="E359" s="57" t="str">
        <f aca="false">Flights!$G$15&amp;"-"&amp;Flights!$H$15</f>
        <v>PEN-KUL</v>
      </c>
      <c r="F359" s="57" t="str">
        <f aca="false">Flights!$K$15</f>
        <v>EY</v>
      </c>
      <c r="G359" s="57" t="s">
        <v>74</v>
      </c>
      <c r="H359" s="57" t="s">
        <v>341</v>
      </c>
      <c r="I359" s="57" t="s">
        <v>352</v>
      </c>
      <c r="J359" s="57" t="s">
        <v>353</v>
      </c>
      <c r="K359" s="67" t="s">
        <v>354</v>
      </c>
      <c r="L359" s="67" t="s">
        <v>345</v>
      </c>
      <c r="M359" s="67"/>
      <c r="N359" s="67" t="str">
        <f aca="false">IF(TRIM(Flights!$L$15)="A339","Required","N/A – rule")</f>
        <v>N/A – rule</v>
      </c>
      <c r="O359" s="67" t="s">
        <v>355</v>
      </c>
      <c r="P359" s="57" t="s">
        <v>177</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IF(N359="N/A – rule","N/A – RULE",IF(TRIM(U359)="N/A",IF(AT359=0,"INVALID – N/A not permitted for this mandatory check",IF(AND(TRIM(AC359)&lt;&gt;"",TRIM(AE359)&lt;&gt;"",TRIM(T359)&lt;&gt;""),"N/A – JUSTIFIED","INVALID – N/A needs justification, PIC and verifier")),IF(OR(TRIM(U359)="Pass",TRIM(U359)="Pass after CA"),IF(NOT(ISNUMBER(AD359)),"INVALID – completion time missing",IF(TRIM(T359)="","INVALID – PIC missing",IF(TRIM(Z359)="","INVALID – evidence missing",IF(TRIM(AE359)="","INVALID – verifier missing",IF(AND(AQ359=1,TRIM(W359)=""),"INVALID – batch ID missing",IF(AND(AR359=1,OR(NOT(ISNUMBER(X359)),NOT(ISNUMBER(Y359)))),"INVALID – expected/actual qty missing",IF(IF(AND(TRIM(U359)="Pass",ISNUMBER(AF359)),IF(AF359&lt;&gt;0,"INVALID – qty variance: use Fail or Pass after CA",""),"")&amp;IF(AND(TRIM(U359)="Pass",AB359="Open"),"INVALID – corrective action still open: use Fail, then Pass after CA","")&amp;IF(AND(TRIM(U359)="Pass after CA",OR(TRIM(AA359)="",AB359&lt;&gt;"Closed")),"INVALID – corrective action not recorded/closed","")&lt;&gt;"",IF(AND(TRIM(U359)="Pass",ISNUMBER(AF359)),IF(AF359&lt;&gt;0,"INVALID – qty variance: use Fail or Pass after CA",""),"")&amp;IF(AND(TRIM(U359)="Pass",AB359="Open"),"INVALID – corrective action still open: use Fail, then Pass after CA","")&amp;IF(AND(TRIM(U359)="Pass after CA",OR(TRIM(AA359)="",AB359&lt;&gt;"Closed")),"INVALID – corrective action not recorded/closed",""),IF(AND(AS359=1,Documents!$J$15&lt;&gt;"ON FILE"),"INVALID – GLD not on file (Documents sheet)",IF(AND(AS359=2,Documents!$O$15&lt;&gt;"ON FILE"),"INVALID – menu checklist not on file (Documents sheet)",IF(AND(AS359=3,NOT(ISNUMBER(Flights!$AX$15))),"INVALID – enter carrying flight KUL departure (Flights AX)",IF(AG359&gt;AsOfUTC,"INVALID – completion time is in the future",IF(AND(ISNUMBER(S359),AG359&lt;S359),IF(H359="Physical uplift","INVALID – before uplift window (cannot confirm loading)","INVALID – before valid window"),IF(AG359&gt;Flights!$AA$15,"INVALID – completed after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f>
        <v>N/A – RULE</v>
      </c>
      <c r="AI359" s="61" t="n">
        <f aca="false">IF(OR(AH359="N/A – RULE",AH359="N/A – JUSTIFIED"),0,1)</f>
        <v>0</v>
      </c>
      <c r="AJ359" s="61" t="n">
        <f aca="false">IF(LEFT(AH359,8)="COMPLETE",1,0)</f>
        <v>0</v>
      </c>
      <c r="AK359" s="61" t="n">
        <f aca="false">IF(AND(AI359=1,AJ359=0,AsOfUTC&gt;Q359),1,0)</f>
        <v>0</v>
      </c>
      <c r="AL359" s="61" t="n">
        <f aca="false">IF(AND(AI359=1,OR(TRIM(U359)="Fail",AB359="Open",AND(ISNUMBER(AF359),AF359&lt;&gt;0,TRIM(U359)&lt;&gt;"Pass after CA"))),1,0)</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row>
    <row r="360" customFormat="false" ht="39.75" hidden="false" customHeight="true" outlineLevel="0" collapsed="false">
      <c r="A360" s="57" t="s">
        <v>924</v>
      </c>
      <c r="B360" s="57" t="s">
        <v>248</v>
      </c>
      <c r="C360" s="57" t="str">
        <f aca="false">Flights!$F$15</f>
        <v>MH1149</v>
      </c>
      <c r="D360" s="58" t="n">
        <f aca="false">Flights!$D$15</f>
        <v>46307</v>
      </c>
      <c r="E360" s="57" t="str">
        <f aca="false">Flights!$G$15&amp;"-"&amp;Flights!$H$15</f>
        <v>PEN-KUL</v>
      </c>
      <c r="F360" s="57" t="str">
        <f aca="false">Flights!$K$15</f>
        <v>EY</v>
      </c>
      <c r="G360" s="57" t="s">
        <v>74</v>
      </c>
      <c r="H360" s="57" t="s">
        <v>341</v>
      </c>
      <c r="I360" s="57" t="s">
        <v>357</v>
      </c>
      <c r="J360" s="57" t="s">
        <v>358</v>
      </c>
      <c r="K360" s="67" t="s">
        <v>359</v>
      </c>
      <c r="L360" s="67" t="s">
        <v>345</v>
      </c>
      <c r="M360" s="67"/>
      <c r="N360" s="67" t="s">
        <v>346</v>
      </c>
      <c r="O360" s="67"/>
      <c r="P360" s="57" t="s">
        <v>177</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IF(N360="N/A – rule","N/A – RULE",IF(TRIM(U360)="N/A",IF(AT360=0,"INVALID – N/A not permitted for this mandatory check",IF(AND(TRIM(AC360)&lt;&gt;"",TRIM(AE360)&lt;&gt;"",TRIM(T360)&lt;&gt;""),"N/A – JUSTIFIED","INVALID – N/A needs justification, PIC and verifier")),IF(OR(TRIM(U360)="Pass",TRIM(U360)="Pass after CA"),IF(NOT(ISNUMBER(AD360)),"INVALID – completion time missing",IF(TRIM(T360)="","INVALID – PIC missing",IF(TRIM(Z360)="","INVALID – evidence missing",IF(TRIM(AE360)="","INVALID – verifier missing",IF(AND(AQ360=1,TRIM(W360)=""),"INVALID – batch ID missing",IF(AND(AR360=1,OR(NOT(ISNUMBER(X360)),NOT(ISNUMBER(Y360)))),"INVALID – expected/actual qty missing",IF(IF(AND(TRIM(U360)="Pass",ISNUMBER(AF360)),IF(AF360&lt;&gt;0,"INVALID – qty variance: use Fail or Pass after CA",""),"")&amp;IF(AND(TRIM(U360)="Pass",AB360="Open"),"INVALID – corrective action still open: use Fail, then Pass after CA","")&amp;IF(AND(TRIM(U360)="Pass after CA",OR(TRIM(AA360)="",AB360&lt;&gt;"Closed")),"INVALID – corrective action not recorded/closed","")&lt;&gt;"",IF(AND(TRIM(U360)="Pass",ISNUMBER(AF360)),IF(AF360&lt;&gt;0,"INVALID – qty variance: use Fail or Pass after CA",""),"")&amp;IF(AND(TRIM(U360)="Pass",AB360="Open"),"INVALID – corrective action still open: use Fail, then Pass after CA","")&amp;IF(AND(TRIM(U360)="Pass after CA",OR(TRIM(AA360)="",AB360&lt;&gt;"Closed")),"INVALID – corrective action not recorded/closed",""),IF(AND(AS360=1,Documents!$J$15&lt;&gt;"ON FILE"),"INVALID – GLD not on file (Documents sheet)",IF(AND(AS360=2,Documents!$O$15&lt;&gt;"ON FILE"),"INVALID – menu checklist not on file (Documents sheet)",IF(AND(AS360=3,NOT(ISNUMBER(Flights!$AX$15))),"INVALID – enter carrying flight KUL departure (Flights AX)",IF(AG360&gt;AsOfUTC,"INVALID – completion time is in the future",IF(AND(ISNUMBER(S360),AG360&lt;S360),IF(H360="Physical uplift","INVALID – before uplift window (cannot confirm loading)","INVALID – before valid window"),IF(AG360&gt;Flights!$AA$15,"INVALID – completed after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f>
        <v>OPEN</v>
      </c>
      <c r="AI360" s="61" t="n">
        <f aca="false">IF(OR(AH360="N/A – RULE",AH360="N/A – JUSTIFIED"),0,1)</f>
        <v>1</v>
      </c>
      <c r="AJ360" s="61" t="n">
        <f aca="false">IF(LEFT(AH360,8)="COMPLETE",1,0)</f>
        <v>0</v>
      </c>
      <c r="AK360" s="61" t="n">
        <f aca="false">IF(AND(AI360=1,AJ360=0,AsOfUTC&gt;Q360),1,0)</f>
        <v>0</v>
      </c>
      <c r="AL360" s="61" t="n">
        <f aca="false">IF(AND(AI360=1,OR(TRIM(U360)="Fail",AB360="Open",AND(ISNUMBER(AF360),AF360&lt;&gt;0,TRIM(U360)&lt;&gt;"Pass after CA"))),1,0)</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row>
    <row r="361" customFormat="false" ht="39.75" hidden="false" customHeight="true" outlineLevel="0" collapsed="false">
      <c r="A361" s="57" t="s">
        <v>925</v>
      </c>
      <c r="B361" s="57" t="s">
        <v>248</v>
      </c>
      <c r="C361" s="57" t="str">
        <f aca="false">Flights!$F$15</f>
        <v>MH1149</v>
      </c>
      <c r="D361" s="58" t="n">
        <f aca="false">Flights!$D$15</f>
        <v>46307</v>
      </c>
      <c r="E361" s="57" t="str">
        <f aca="false">Flights!$G$15&amp;"-"&amp;Flights!$H$15</f>
        <v>PEN-KUL</v>
      </c>
      <c r="F361" s="57" t="str">
        <f aca="false">Flights!$K$15</f>
        <v>EY</v>
      </c>
      <c r="G361" s="57" t="s">
        <v>74</v>
      </c>
      <c r="H361" s="57" t="s">
        <v>341</v>
      </c>
      <c r="I361" s="57" t="s">
        <v>361</v>
      </c>
      <c r="J361" s="57" t="s">
        <v>362</v>
      </c>
      <c r="K361" s="67" t="s">
        <v>363</v>
      </c>
      <c r="L361" s="67" t="s">
        <v>345</v>
      </c>
      <c r="M361" s="67"/>
      <c r="N361" s="67" t="s">
        <v>346</v>
      </c>
      <c r="O361" s="67"/>
      <c r="P361" s="57" t="s">
        <v>177</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IF(N361="N/A – rule","N/A – RULE",IF(TRIM(U361)="N/A",IF(AT361=0,"INVALID – N/A not permitted for this mandatory check",IF(AND(TRIM(AC361)&lt;&gt;"",TRIM(AE361)&lt;&gt;"",TRIM(T361)&lt;&gt;""),"N/A – JUSTIFIED","INVALID – N/A needs justification, PIC and verifier")),IF(OR(TRIM(U361)="Pass",TRIM(U361)="Pass after CA"),IF(NOT(ISNUMBER(AD361)),"INVALID – completion time missing",IF(TRIM(T361)="","INVALID – PIC missing",IF(TRIM(Z361)="","INVALID – evidence missing",IF(TRIM(AE361)="","INVALID – verifier missing",IF(AND(AQ361=1,TRIM(W361)=""),"INVALID – batch ID missing",IF(AND(AR361=1,OR(NOT(ISNUMBER(X361)),NOT(ISNUMBER(Y361)))),"INVALID – expected/actual qty missing",IF(IF(AND(TRIM(U361)="Pass",ISNUMBER(AF361)),IF(AF361&lt;&gt;0,"INVALID – qty variance: use Fail or Pass after CA",""),"")&amp;IF(AND(TRIM(U361)="Pass",AB361="Open"),"INVALID – corrective action still open: use Fail, then Pass after CA","")&amp;IF(AND(TRIM(U361)="Pass after CA",OR(TRIM(AA361)="",AB361&lt;&gt;"Closed")),"INVALID – corrective action not recorded/closed","")&lt;&gt;"",IF(AND(TRIM(U361)="Pass",ISNUMBER(AF361)),IF(AF361&lt;&gt;0,"INVALID – qty variance: use Fail or Pass after CA",""),"")&amp;IF(AND(TRIM(U361)="Pass",AB361="Open"),"INVALID – corrective action still open: use Fail, then Pass after CA","")&amp;IF(AND(TRIM(U361)="Pass after CA",OR(TRIM(AA361)="",AB361&lt;&gt;"Closed")),"INVALID – corrective action not recorded/closed",""),IF(AND(AS361=1,Documents!$J$15&lt;&gt;"ON FILE"),"INVALID – GLD not on file (Documents sheet)",IF(AND(AS361=2,Documents!$O$15&lt;&gt;"ON FILE"),"INVALID – menu checklist not on file (Documents sheet)",IF(AND(AS361=3,NOT(ISNUMBER(Flights!$AX$15))),"INVALID – enter carrying flight KUL departure (Flights AX)",IF(AG361&gt;AsOfUTC,"INVALID – completion time is in the future",IF(AND(ISNUMBER(S361),AG361&lt;S361),IF(H361="Physical uplift","INVALID – before uplift window (cannot confirm loading)","INVALID – before valid window"),IF(AG361&gt;Flights!$AA$15,"INVALID – completed after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f>
        <v>OPEN</v>
      </c>
      <c r="AI361" s="61" t="n">
        <f aca="false">IF(OR(AH361="N/A – RULE",AH361="N/A – JUSTIFIED"),0,1)</f>
        <v>1</v>
      </c>
      <c r="AJ361" s="61" t="n">
        <f aca="false">IF(LEFT(AH361,8)="COMPLETE",1,0)</f>
        <v>0</v>
      </c>
      <c r="AK361" s="61" t="n">
        <f aca="false">IF(AND(AI361=1,AJ361=0,AsOfUTC&gt;Q361),1,0)</f>
        <v>0</v>
      </c>
      <c r="AL361" s="61" t="n">
        <f aca="false">IF(AND(AI361=1,OR(TRIM(U361)="Fail",AB361="Open",AND(ISNUMBER(AF361),AF361&lt;&gt;0,TRIM(U361)&lt;&gt;"Pass after CA"))),1,0)</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row>
    <row r="362" customFormat="false" ht="39.75" hidden="false" customHeight="true" outlineLevel="0" collapsed="false">
      <c r="A362" s="57" t="s">
        <v>926</v>
      </c>
      <c r="B362" s="57" t="s">
        <v>248</v>
      </c>
      <c r="C362" s="57" t="str">
        <f aca="false">Flights!$F$15</f>
        <v>MH1149</v>
      </c>
      <c r="D362" s="58" t="n">
        <f aca="false">Flights!$D$15</f>
        <v>46307</v>
      </c>
      <c r="E362" s="57" t="str">
        <f aca="false">Flights!$G$15&amp;"-"&amp;Flights!$H$15</f>
        <v>PEN-KUL</v>
      </c>
      <c r="F362" s="57" t="str">
        <f aca="false">Flights!$K$15</f>
        <v>EY</v>
      </c>
      <c r="G362" s="57" t="s">
        <v>74</v>
      </c>
      <c r="H362" s="57" t="s">
        <v>341</v>
      </c>
      <c r="I362" s="57" t="s">
        <v>361</v>
      </c>
      <c r="J362" s="57" t="s">
        <v>365</v>
      </c>
      <c r="K362" s="67" t="s">
        <v>366</v>
      </c>
      <c r="L362" s="67" t="s">
        <v>345</v>
      </c>
      <c r="M362" s="67"/>
      <c r="N362" s="67" t="s">
        <v>346</v>
      </c>
      <c r="O362" s="67"/>
      <c r="P362" s="57" t="s">
        <v>177</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IF(N362="N/A – rule","N/A – RULE",IF(TRIM(U362)="N/A",IF(AT362=0,"INVALID – N/A not permitted for this mandatory check",IF(AND(TRIM(AC362)&lt;&gt;"",TRIM(AE362)&lt;&gt;"",TRIM(T362)&lt;&gt;""),"N/A – JUSTIFIED","INVALID – N/A needs justification, PIC and verifier")),IF(OR(TRIM(U362)="Pass",TRIM(U362)="Pass after CA"),IF(NOT(ISNUMBER(AD362)),"INVALID – completion time missing",IF(TRIM(T362)="","INVALID – PIC missing",IF(TRIM(Z362)="","INVALID – evidence missing",IF(TRIM(AE362)="","INVALID – verifier missing",IF(AND(AQ362=1,TRIM(W362)=""),"INVALID – batch ID missing",IF(AND(AR362=1,OR(NOT(ISNUMBER(X362)),NOT(ISNUMBER(Y362)))),"INVALID – expected/actual qty missing",IF(IF(AND(TRIM(U362)="Pass",ISNUMBER(AF362)),IF(AF362&lt;&gt;0,"INVALID – qty variance: use Fail or Pass after CA",""),"")&amp;IF(AND(TRIM(U362)="Pass",AB362="Open"),"INVALID – corrective action still open: use Fail, then Pass after CA","")&amp;IF(AND(TRIM(U362)="Pass after CA",OR(TRIM(AA362)="",AB362&lt;&gt;"Closed")),"INVALID – corrective action not recorded/closed","")&lt;&gt;"",IF(AND(TRIM(U362)="Pass",ISNUMBER(AF362)),IF(AF362&lt;&gt;0,"INVALID – qty variance: use Fail or Pass after CA",""),"")&amp;IF(AND(TRIM(U362)="Pass",AB362="Open"),"INVALID – corrective action still open: use Fail, then Pass after CA","")&amp;IF(AND(TRIM(U362)="Pass after CA",OR(TRIM(AA362)="",AB362&lt;&gt;"Closed")),"INVALID – corrective action not recorded/closed",""),IF(AND(AS362=1,Documents!$J$15&lt;&gt;"ON FILE"),"INVALID – GLD not on file (Documents sheet)",IF(AND(AS362=2,Documents!$O$15&lt;&gt;"ON FILE"),"INVALID – menu checklist not on file (Documents sheet)",IF(AND(AS362=3,NOT(ISNUMBER(Flights!$AX$15))),"INVALID – enter carrying flight KUL departure (Flights AX)",IF(AG362&gt;AsOfUTC,"INVALID – completion time is in the future",IF(AND(ISNUMBER(S362),AG362&lt;S362),IF(H362="Physical uplift","INVALID – before uplift window (cannot confirm loading)","INVALID – before valid window"),IF(AG362&gt;Flights!$AA$15,"INVALID – completed after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f>
        <v>OPEN</v>
      </c>
      <c r="AI362" s="61" t="n">
        <f aca="false">IF(OR(AH362="N/A – RULE",AH362="N/A – JUSTIFIED"),0,1)</f>
        <v>1</v>
      </c>
      <c r="AJ362" s="61" t="n">
        <f aca="false">IF(LEFT(AH362,8)="COMPLETE",1,0)</f>
        <v>0</v>
      </c>
      <c r="AK362" s="61" t="n">
        <f aca="false">IF(AND(AI362=1,AJ362=0,AsOfUTC&gt;Q362),1,0)</f>
        <v>0</v>
      </c>
      <c r="AL362" s="61" t="n">
        <f aca="false">IF(AND(AI362=1,OR(TRIM(U362)="Fail",AB362="Open",AND(ISNUMBER(AF362),AF362&lt;&gt;0,TRIM(U362)&lt;&gt;"Pass after CA"))),1,0)</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row>
    <row r="363" customFormat="false" ht="39.75" hidden="false" customHeight="true" outlineLevel="0" collapsed="false">
      <c r="A363" s="57" t="s">
        <v>927</v>
      </c>
      <c r="B363" s="57" t="s">
        <v>248</v>
      </c>
      <c r="C363" s="57" t="str">
        <f aca="false">Flights!$F$15</f>
        <v>MH1149</v>
      </c>
      <c r="D363" s="58" t="n">
        <f aca="false">Flights!$D$15</f>
        <v>46307</v>
      </c>
      <c r="E363" s="57" t="str">
        <f aca="false">Flights!$G$15&amp;"-"&amp;Flights!$H$15</f>
        <v>PEN-KUL</v>
      </c>
      <c r="F363" s="57" t="str">
        <f aca="false">Flights!$K$15</f>
        <v>EY</v>
      </c>
      <c r="G363" s="57" t="s">
        <v>74</v>
      </c>
      <c r="H363" s="57" t="s">
        <v>341</v>
      </c>
      <c r="I363" s="57" t="s">
        <v>368</v>
      </c>
      <c r="J363" s="57" t="s">
        <v>369</v>
      </c>
      <c r="K363" s="67" t="s">
        <v>370</v>
      </c>
      <c r="L363" s="67" t="s">
        <v>345</v>
      </c>
      <c r="M363" s="67"/>
      <c r="N363" s="67" t="s">
        <v>346</v>
      </c>
      <c r="O363" s="67"/>
      <c r="P363" s="57" t="s">
        <v>177</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IF(N363="N/A – rule","N/A – RULE",IF(TRIM(U363)="N/A",IF(AT363=0,"INVALID – N/A not permitted for this mandatory check",IF(AND(TRIM(AC363)&lt;&gt;"",TRIM(AE363)&lt;&gt;"",TRIM(T363)&lt;&gt;""),"N/A – JUSTIFIED","INVALID – N/A needs justification, PIC and verifier")),IF(OR(TRIM(U363)="Pass",TRIM(U363)="Pass after CA"),IF(NOT(ISNUMBER(AD363)),"INVALID – completion time missing",IF(TRIM(T363)="","INVALID – PIC missing",IF(TRIM(Z363)="","INVALID – evidence missing",IF(TRIM(AE363)="","INVALID – verifier missing",IF(AND(AQ363=1,TRIM(W363)=""),"INVALID – batch ID missing",IF(AND(AR363=1,OR(NOT(ISNUMBER(X363)),NOT(ISNUMBER(Y363)))),"INVALID – expected/actual qty missing",IF(IF(AND(TRIM(U363)="Pass",ISNUMBER(AF363)),IF(AF363&lt;&gt;0,"INVALID – qty variance: use Fail or Pass after CA",""),"")&amp;IF(AND(TRIM(U363)="Pass",AB363="Open"),"INVALID – corrective action still open: use Fail, then Pass after CA","")&amp;IF(AND(TRIM(U363)="Pass after CA",OR(TRIM(AA363)="",AB363&lt;&gt;"Closed")),"INVALID – corrective action not recorded/closed","")&lt;&gt;"",IF(AND(TRIM(U363)="Pass",ISNUMBER(AF363)),IF(AF363&lt;&gt;0,"INVALID – qty variance: use Fail or Pass after CA",""),"")&amp;IF(AND(TRIM(U363)="Pass",AB363="Open"),"INVALID – corrective action still open: use Fail, then Pass after CA","")&amp;IF(AND(TRIM(U363)="Pass after CA",OR(TRIM(AA363)="",AB363&lt;&gt;"Closed")),"INVALID – corrective action not recorded/closed",""),IF(AND(AS363=1,Documents!$J$15&lt;&gt;"ON FILE"),"INVALID – GLD not on file (Documents sheet)",IF(AND(AS363=2,Documents!$O$15&lt;&gt;"ON FILE"),"INVALID – menu checklist not on file (Documents sheet)",IF(AND(AS363=3,NOT(ISNUMBER(Flights!$AX$15))),"INVALID – enter carrying flight KUL departure (Flights AX)",IF(AG363&gt;AsOfUTC,"INVALID – completion time is in the future",IF(AND(ISNUMBER(S363),AG363&lt;S363),IF(H363="Physical uplift","INVALID – before uplift window (cannot confirm loading)","INVALID – before valid window"),IF(AG363&gt;Flights!$AA$15,"INVALID – completed after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f>
        <v>OPEN</v>
      </c>
      <c r="AI363" s="61" t="n">
        <f aca="false">IF(OR(AH363="N/A – RULE",AH363="N/A – JUSTIFIED"),0,1)</f>
        <v>1</v>
      </c>
      <c r="AJ363" s="61" t="n">
        <f aca="false">IF(LEFT(AH363,8)="COMPLETE",1,0)</f>
        <v>0</v>
      </c>
      <c r="AK363" s="61" t="n">
        <f aca="false">IF(AND(AI363=1,AJ363=0,AsOfUTC&gt;Q363),1,0)</f>
        <v>0</v>
      </c>
      <c r="AL363" s="61" t="n">
        <f aca="false">IF(AND(AI363=1,OR(TRIM(U363)="Fail",AB363="Open",AND(ISNUMBER(AF363),AF363&lt;&gt;0,TRIM(U363)&lt;&gt;"Pass after CA"))),1,0)</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row>
    <row r="364" customFormat="false" ht="39.75" hidden="false" customHeight="true" outlineLevel="0" collapsed="false">
      <c r="A364" s="57" t="s">
        <v>928</v>
      </c>
      <c r="B364" s="57" t="s">
        <v>248</v>
      </c>
      <c r="C364" s="57" t="str">
        <f aca="false">Flights!$F$15</f>
        <v>MH1149</v>
      </c>
      <c r="D364" s="58" t="n">
        <f aca="false">Flights!$D$15</f>
        <v>46307</v>
      </c>
      <c r="E364" s="57" t="str">
        <f aca="false">Flights!$G$15&amp;"-"&amp;Flights!$H$15</f>
        <v>PEN-KUL</v>
      </c>
      <c r="F364" s="57" t="str">
        <f aca="false">Flights!$K$15</f>
        <v>EY</v>
      </c>
      <c r="G364" s="57" t="s">
        <v>74</v>
      </c>
      <c r="H364" s="57" t="s">
        <v>341</v>
      </c>
      <c r="I364" s="57" t="s">
        <v>368</v>
      </c>
      <c r="J364" s="57" t="s">
        <v>372</v>
      </c>
      <c r="K364" s="67" t="s">
        <v>370</v>
      </c>
      <c r="L364" s="67" t="s">
        <v>345</v>
      </c>
      <c r="M364" s="67"/>
      <c r="N364" s="67" t="s">
        <v>346</v>
      </c>
      <c r="O364" s="67"/>
      <c r="P364" s="57" t="s">
        <v>177</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IF(N364="N/A – rule","N/A – RULE",IF(TRIM(U364)="N/A",IF(AT364=0,"INVALID – N/A not permitted for this mandatory check",IF(AND(TRIM(AC364)&lt;&gt;"",TRIM(AE364)&lt;&gt;"",TRIM(T364)&lt;&gt;""),"N/A – JUSTIFIED","INVALID – N/A needs justification, PIC and verifier")),IF(OR(TRIM(U364)="Pass",TRIM(U364)="Pass after CA"),IF(NOT(ISNUMBER(AD364)),"INVALID – completion time missing",IF(TRIM(T364)="","INVALID – PIC missing",IF(TRIM(Z364)="","INVALID – evidence missing",IF(TRIM(AE364)="","INVALID – verifier missing",IF(AND(AQ364=1,TRIM(W364)=""),"INVALID – batch ID missing",IF(AND(AR364=1,OR(NOT(ISNUMBER(X364)),NOT(ISNUMBER(Y364)))),"INVALID – expected/actual qty missing",IF(IF(AND(TRIM(U364)="Pass",ISNUMBER(AF364)),IF(AF364&lt;&gt;0,"INVALID – qty variance: use Fail or Pass after CA",""),"")&amp;IF(AND(TRIM(U364)="Pass",AB364="Open"),"INVALID – corrective action still open: use Fail, then Pass after CA","")&amp;IF(AND(TRIM(U364)="Pass after CA",OR(TRIM(AA364)="",AB364&lt;&gt;"Closed")),"INVALID – corrective action not recorded/closed","")&lt;&gt;"",IF(AND(TRIM(U364)="Pass",ISNUMBER(AF364)),IF(AF364&lt;&gt;0,"INVALID – qty variance: use Fail or Pass after CA",""),"")&amp;IF(AND(TRIM(U364)="Pass",AB364="Open"),"INVALID – corrective action still open: use Fail, then Pass after CA","")&amp;IF(AND(TRIM(U364)="Pass after CA",OR(TRIM(AA364)="",AB364&lt;&gt;"Closed")),"INVALID – corrective action not recorded/closed",""),IF(AND(AS364=1,Documents!$J$15&lt;&gt;"ON FILE"),"INVALID – GLD not on file (Documents sheet)",IF(AND(AS364=2,Documents!$O$15&lt;&gt;"ON FILE"),"INVALID – menu checklist not on file (Documents sheet)",IF(AND(AS364=3,NOT(ISNUMBER(Flights!$AX$15))),"INVALID – enter carrying flight KUL departure (Flights AX)",IF(AG364&gt;AsOfUTC,"INVALID – completion time is in the future",IF(AND(ISNUMBER(S364),AG364&lt;S364),IF(H364="Physical uplift","INVALID – before uplift window (cannot confirm loading)","INVALID – before valid window"),IF(AG364&gt;Flights!$AA$15,"INVALID – completed after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f>
        <v>OPEN</v>
      </c>
      <c r="AI364" s="61" t="n">
        <f aca="false">IF(OR(AH364="N/A – RULE",AH364="N/A – JUSTIFIED"),0,1)</f>
        <v>1</v>
      </c>
      <c r="AJ364" s="61" t="n">
        <f aca="false">IF(LEFT(AH364,8)="COMPLETE",1,0)</f>
        <v>0</v>
      </c>
      <c r="AK364" s="61" t="n">
        <f aca="false">IF(AND(AI364=1,AJ364=0,AsOfUTC&gt;Q364),1,0)</f>
        <v>0</v>
      </c>
      <c r="AL364" s="61" t="n">
        <f aca="false">IF(AND(AI364=1,OR(TRIM(U364)="Fail",AB364="Open",AND(ISNUMBER(AF364),AF364&lt;&gt;0,TRIM(U364)&lt;&gt;"Pass after CA"))),1,0)</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row>
    <row r="365" customFormat="false" ht="41.25" hidden="false" customHeight="true" outlineLevel="0" collapsed="false">
      <c r="A365" s="57" t="s">
        <v>929</v>
      </c>
      <c r="B365" s="57" t="s">
        <v>248</v>
      </c>
      <c r="C365" s="57" t="str">
        <f aca="false">Flights!$F$15</f>
        <v>MH1149</v>
      </c>
      <c r="D365" s="58" t="n">
        <f aca="false">Flights!$D$15</f>
        <v>46307</v>
      </c>
      <c r="E365" s="57" t="str">
        <f aca="false">Flights!$G$15&amp;"-"&amp;Flights!$H$15</f>
        <v>PEN-KUL</v>
      </c>
      <c r="F365" s="57" t="str">
        <f aca="false">Flights!$K$15</f>
        <v>EY</v>
      </c>
      <c r="G365" s="57" t="s">
        <v>74</v>
      </c>
      <c r="H365" s="57" t="s">
        <v>341</v>
      </c>
      <c r="I365" s="57" t="s">
        <v>374</v>
      </c>
      <c r="J365" s="57" t="s">
        <v>375</v>
      </c>
      <c r="K365" s="67" t="s">
        <v>885</v>
      </c>
      <c r="L365" s="67" t="s">
        <v>886</v>
      </c>
      <c r="M365" s="67"/>
      <c r="N365" s="67" t="s">
        <v>346</v>
      </c>
      <c r="O365" s="67" t="s">
        <v>930</v>
      </c>
      <c r="P365" s="57" t="s">
        <v>177</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IF(N365="N/A – rule","N/A – RULE",IF(TRIM(U365)="N/A",IF(AT365=0,"INVALID – N/A not permitted for this mandatory check",IF(AND(TRIM(AC365)&lt;&gt;"",TRIM(AE365)&lt;&gt;"",TRIM(T365)&lt;&gt;""),"N/A – JUSTIFIED","INVALID – N/A needs justification, PIC and verifier")),IF(OR(TRIM(U365)="Pass",TRIM(U365)="Pass after CA"),IF(NOT(ISNUMBER(AD365)),"INVALID – completion time missing",IF(TRIM(T365)="","INVALID – PIC missing",IF(TRIM(Z365)="","INVALID – evidence missing",IF(TRIM(AE365)="","INVALID – verifier missing",IF(AND(AQ365=1,TRIM(W365)=""),"INVALID – batch ID missing",IF(AND(AR365=1,OR(NOT(ISNUMBER(X365)),NOT(ISNUMBER(Y365)))),"INVALID – expected/actual qty missing",IF(IF(AND(TRIM(U365)="Pass",ISNUMBER(AF365)),IF(AF365&lt;&gt;0,"INVALID – qty variance: use Fail or Pass after CA",""),"")&amp;IF(AND(TRIM(U365)="Pass",AB365="Open"),"INVALID – corrective action still open: use Fail, then Pass after CA","")&amp;IF(AND(TRIM(U365)="Pass after CA",OR(TRIM(AA365)="",AB365&lt;&gt;"Closed")),"INVALID – corrective action not recorded/closed","")&lt;&gt;"",IF(AND(TRIM(U365)="Pass",ISNUMBER(AF365)),IF(AF365&lt;&gt;0,"INVALID – qty variance: use Fail or Pass after CA",""),"")&amp;IF(AND(TRIM(U365)="Pass",AB365="Open"),"INVALID – corrective action still open: use Fail, then Pass after CA","")&amp;IF(AND(TRIM(U365)="Pass after CA",OR(TRIM(AA365)="",AB365&lt;&gt;"Closed")),"INVALID – corrective action not recorded/closed",""),IF(AND(AS365=1,Documents!$J$15&lt;&gt;"ON FILE"),"INVALID – GLD not on file (Documents sheet)",IF(AND(AS365=2,Documents!$O$15&lt;&gt;"ON FILE"),"INVALID – menu checklist not on file (Documents sheet)",IF(AND(AS365=3,NOT(ISNUMBER(Flights!$AX$15))),"INVALID – enter carrying flight KUL departure (Flights AX)",IF(AG365&gt;AsOfUTC,"INVALID – completion time is in the future",IF(AND(ISNUMBER(S365),AG365&lt;S365),IF(H365="Physical uplift","INVALID – before uplift window (cannot confirm loading)","INVALID – before valid window"),IF(AG365&gt;Flights!$AA$15,"INVALID – completed after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f>
        <v>OPEN</v>
      </c>
      <c r="AI365" s="61" t="n">
        <f aca="false">IF(OR(AH365="N/A – RULE",AH365="N/A – JUSTIFIED"),0,1)</f>
        <v>1</v>
      </c>
      <c r="AJ365" s="61" t="n">
        <f aca="false">IF(LEFT(AH365,8)="COMPLETE",1,0)</f>
        <v>0</v>
      </c>
      <c r="AK365" s="61" t="n">
        <f aca="false">IF(AND(AI365=1,AJ365=0,AsOfUTC&gt;Q365),1,0)</f>
        <v>0</v>
      </c>
      <c r="AL365" s="61" t="n">
        <f aca="false">IF(AND(AI365=1,OR(TRIM(U365)="Fail",AB365="Open",AND(ISNUMBER(AF365),AF365&lt;&gt;0,TRIM(U365)&lt;&gt;"Pass after CA"))),1,0)</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row>
    <row r="366" customFormat="false" ht="78.75" hidden="false" customHeight="true" outlineLevel="0" collapsed="false">
      <c r="A366" s="57" t="s">
        <v>931</v>
      </c>
      <c r="B366" s="57" t="s">
        <v>248</v>
      </c>
      <c r="C366" s="57" t="str">
        <f aca="false">Flights!$F$15</f>
        <v>MH1149</v>
      </c>
      <c r="D366" s="58" t="n">
        <f aca="false">Flights!$D$15</f>
        <v>46307</v>
      </c>
      <c r="E366" s="57" t="str">
        <f aca="false">Flights!$G$15&amp;"-"&amp;Flights!$H$15</f>
        <v>PEN-KUL</v>
      </c>
      <c r="F366" s="57" t="str">
        <f aca="false">Flights!$K$15</f>
        <v>EY</v>
      </c>
      <c r="G366" s="57" t="s">
        <v>74</v>
      </c>
      <c r="H366" s="57" t="s">
        <v>341</v>
      </c>
      <c r="I366" s="57" t="s">
        <v>374</v>
      </c>
      <c r="J366" s="57" t="s">
        <v>932</v>
      </c>
      <c r="K366" s="67" t="s">
        <v>933</v>
      </c>
      <c r="L366" s="67" t="s">
        <v>886</v>
      </c>
      <c r="M366" s="67"/>
      <c r="N366" s="67" t="s">
        <v>407</v>
      </c>
      <c r="O366" s="67" t="s">
        <v>934</v>
      </c>
      <c r="P366" s="57" t="s">
        <v>177</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IF(N366="N/A – rule","N/A – RULE",IF(TRIM(U366)="N/A",IF(AT366=0,"INVALID – N/A not permitted for this mandatory check",IF(AND(TRIM(AC366)&lt;&gt;"",TRIM(AE366)&lt;&gt;"",TRIM(T366)&lt;&gt;""),"N/A – JUSTIFIED","INVALID – N/A needs justification, PIC and verifier")),IF(OR(TRIM(U366)="Pass",TRIM(U366)="Pass after CA"),IF(NOT(ISNUMBER(AD366)),"INVALID – completion time missing",IF(TRIM(T366)="","INVALID – PIC missing",IF(TRIM(Z366)="","INVALID – evidence missing",IF(TRIM(AE366)="","INVALID – verifier missing",IF(AND(AQ366=1,TRIM(W366)=""),"INVALID – batch ID missing",IF(AND(AR366=1,OR(NOT(ISNUMBER(X366)),NOT(ISNUMBER(Y366)))),"INVALID – expected/actual qty missing",IF(IF(AND(TRIM(U366)="Pass",ISNUMBER(AF366)),IF(AF366&lt;&gt;0,"INVALID – qty variance: use Fail or Pass after CA",""),"")&amp;IF(AND(TRIM(U366)="Pass",AB366="Open"),"INVALID – corrective action still open: use Fail, then Pass after CA","")&amp;IF(AND(TRIM(U366)="Pass after CA",OR(TRIM(AA366)="",AB366&lt;&gt;"Closed")),"INVALID – corrective action not recorded/closed","")&lt;&gt;"",IF(AND(TRIM(U366)="Pass",ISNUMBER(AF366)),IF(AF366&lt;&gt;0,"INVALID – qty variance: use Fail or Pass after CA",""),"")&amp;IF(AND(TRIM(U366)="Pass",AB366="Open"),"INVALID – corrective action still open: use Fail, then Pass after CA","")&amp;IF(AND(TRIM(U366)="Pass after CA",OR(TRIM(AA366)="",AB366&lt;&gt;"Closed")),"INVALID – corrective action not recorded/closed",""),IF(AND(AS366=1,Documents!$J$15&lt;&gt;"ON FILE"),"INVALID – GLD not on file (Documents sheet)",IF(AND(AS366=2,Documents!$O$15&lt;&gt;"ON FILE"),"INVALID – menu checklist not on file (Documents sheet)",IF(AND(AS366=3,NOT(ISNUMBER(Flights!$AX$15))),"INVALID – enter carrying flight KUL departure (Flights AX)",IF(AG366&gt;AsOfUTC,"INVALID – completion time is in the future",IF(AND(ISNUMBER(S366),AG366&lt;S366),IF(H366="Physical uplift","INVALID – before uplift window (cannot confirm loading)","INVALID – before valid window"),IF(AG366&gt;Flights!$AA$15,"INVALID – completed after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f>
        <v>OPEN – CLARIFICATION</v>
      </c>
      <c r="AI366" s="61" t="n">
        <f aca="false">IF(OR(AH366="N/A – RULE",AH366="N/A – JUSTIFIED"),0,1)</f>
        <v>1</v>
      </c>
      <c r="AJ366" s="61" t="n">
        <f aca="false">IF(LEFT(AH366,8)="COMPLETE",1,0)</f>
        <v>0</v>
      </c>
      <c r="AK366" s="61" t="n">
        <f aca="false">IF(AND(AI366=1,AJ366=0,AsOfUTC&gt;Q366),1,0)</f>
        <v>0</v>
      </c>
      <c r="AL366" s="61" t="n">
        <f aca="false">IF(AND(AI366=1,OR(TRIM(U366)="Fail",AB366="Open",AND(ISNUMBER(AF366),AF366&lt;&gt;0,TRIM(U366)&lt;&gt;"Pass after CA"))),1,0)</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1</v>
      </c>
    </row>
    <row r="367" customFormat="false" ht="39.75" hidden="false" customHeight="true" outlineLevel="0" collapsed="false">
      <c r="A367" s="57" t="s">
        <v>935</v>
      </c>
      <c r="B367" s="57" t="s">
        <v>248</v>
      </c>
      <c r="C367" s="57" t="str">
        <f aca="false">Flights!$F$15</f>
        <v>MH1149</v>
      </c>
      <c r="D367" s="58" t="n">
        <f aca="false">Flights!$D$15</f>
        <v>46307</v>
      </c>
      <c r="E367" s="57" t="str">
        <f aca="false">Flights!$G$15&amp;"-"&amp;Flights!$H$15</f>
        <v>PEN-KUL</v>
      </c>
      <c r="F367" s="57" t="str">
        <f aca="false">Flights!$K$15</f>
        <v>EY</v>
      </c>
      <c r="G367" s="57" t="s">
        <v>76</v>
      </c>
      <c r="H367" s="57" t="s">
        <v>341</v>
      </c>
      <c r="I367" s="57" t="s">
        <v>342</v>
      </c>
      <c r="J367" s="57" t="s">
        <v>379</v>
      </c>
      <c r="K367" s="67" t="s">
        <v>380</v>
      </c>
      <c r="L367" s="67" t="s">
        <v>381</v>
      </c>
      <c r="M367" s="67"/>
      <c r="N367" s="67" t="s">
        <v>346</v>
      </c>
      <c r="O367" s="67" t="s">
        <v>936</v>
      </c>
      <c r="P367" s="57" t="s">
        <v>177</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IF(N367="N/A – rule","N/A – RULE",IF(TRIM(U367)="N/A",IF(AT367=0,"INVALID – N/A not permitted for this mandatory check",IF(AND(TRIM(AC367)&lt;&gt;"",TRIM(AE367)&lt;&gt;"",TRIM(T367)&lt;&gt;""),"N/A – JUSTIFIED","INVALID – N/A needs justification, PIC and verifier")),IF(OR(TRIM(U367)="Pass",TRIM(U367)="Pass after CA"),IF(NOT(ISNUMBER(AD367)),"INVALID – completion time missing",IF(TRIM(T367)="","INVALID – PIC missing",IF(TRIM(Z367)="","INVALID – evidence missing",IF(TRIM(AE367)="","INVALID – verifier missing",IF(AND(AQ367=1,TRIM(W367)=""),"INVALID – batch ID missing",IF(AND(AR367=1,OR(NOT(ISNUMBER(X367)),NOT(ISNUMBER(Y367)))),"INVALID – expected/actual qty missing",IF(IF(AND(TRIM(U367)="Pass",ISNUMBER(AF367)),IF(AF367&lt;&gt;0,"INVALID – qty variance: use Fail or Pass after CA",""),"")&amp;IF(AND(TRIM(U367)="Pass",AB367="Open"),"INVALID – corrective action still open: use Fail, then Pass after CA","")&amp;IF(AND(TRIM(U367)="Pass after CA",OR(TRIM(AA367)="",AB367&lt;&gt;"Closed")),"INVALID – corrective action not recorded/closed","")&lt;&gt;"",IF(AND(TRIM(U367)="Pass",ISNUMBER(AF367)),IF(AF367&lt;&gt;0,"INVALID – qty variance: use Fail or Pass after CA",""),"")&amp;IF(AND(TRIM(U367)="Pass",AB367="Open"),"INVALID – corrective action still open: use Fail, then Pass after CA","")&amp;IF(AND(TRIM(U367)="Pass after CA",OR(TRIM(AA367)="",AB367&lt;&gt;"Closed")),"INVALID – corrective action not recorded/closed",""),IF(AND(AS367=1,Documents!$J$15&lt;&gt;"ON FILE"),"INVALID – GLD not on file (Documents sheet)",IF(AND(AS367=2,Documents!$O$15&lt;&gt;"ON FILE"),"INVALID – menu checklist not on file (Documents sheet)",IF(AND(AS367=3,NOT(ISNUMBER(Flights!$AX$15))),"INVALID – enter carrying flight KUL departure (Flights AX)",IF(AG367&gt;AsOfUTC,"INVALID – completion time is in the future",IF(AND(ISNUMBER(S367),AG367&lt;S367),IF(H367="Physical uplift","INVALID – before uplift window (cannot confirm loading)","INVALID – before valid window"),IF(AG367&gt;Flights!$AA$15,"INVALID – completed after departure (cannot establish readiness)",IF(AND(H367="Physical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f>
        <v>OPEN</v>
      </c>
      <c r="AI367" s="61" t="n">
        <f aca="false">IF(OR(AH367="N/A – RULE",AH367="N/A – JUSTIFIED"),0,1)</f>
        <v>1</v>
      </c>
      <c r="AJ367" s="61" t="n">
        <f aca="false">IF(LEFT(AH367,8)="COMPLETE",1,0)</f>
        <v>0</v>
      </c>
      <c r="AK367" s="61" t="n">
        <f aca="false">IF(AND(AI367=1,AJ367=0,AsOfUTC&gt;Q367),1,0)</f>
        <v>0</v>
      </c>
      <c r="AL367" s="61" t="n">
        <f aca="false">IF(AND(AI367=1,OR(TRIM(U367)="Fail",AB367="Open",AND(ISNUMBER(AF367),AF367&lt;&gt;0,TRIM(U367)&lt;&gt;"Pass after CA"))),1,0)</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row>
    <row r="368" customFormat="false" ht="41.25" hidden="false" customHeight="true" outlineLevel="0" collapsed="false">
      <c r="A368" s="57" t="s">
        <v>937</v>
      </c>
      <c r="B368" s="57" t="s">
        <v>248</v>
      </c>
      <c r="C368" s="57" t="str">
        <f aca="false">Flights!$F$15</f>
        <v>MH1149</v>
      </c>
      <c r="D368" s="58" t="n">
        <f aca="false">Flights!$D$15</f>
        <v>46307</v>
      </c>
      <c r="E368" s="57" t="str">
        <f aca="false">Flights!$G$15&amp;"-"&amp;Flights!$H$15</f>
        <v>PEN-KUL</v>
      </c>
      <c r="F368" s="57" t="str">
        <f aca="false">Flights!$K$15</f>
        <v>EY</v>
      </c>
      <c r="G368" s="57" t="s">
        <v>383</v>
      </c>
      <c r="H368" s="57" t="s">
        <v>341</v>
      </c>
      <c r="I368" s="57" t="s">
        <v>342</v>
      </c>
      <c r="J368" s="57" t="s">
        <v>384</v>
      </c>
      <c r="K368" s="67"/>
      <c r="L368" s="67" t="s">
        <v>385</v>
      </c>
      <c r="M368" s="67"/>
      <c r="N368" s="67" t="s">
        <v>346</v>
      </c>
      <c r="O368" s="67" t="s">
        <v>938</v>
      </c>
      <c r="P368" s="57" t="s">
        <v>177</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IF(N368="N/A – rule","N/A – RULE",IF(TRIM(U368)="N/A",IF(AT368=0,"INVALID – N/A not permitted for this mandatory check",IF(AND(TRIM(AC368)&lt;&gt;"",TRIM(AE368)&lt;&gt;"",TRIM(T368)&lt;&gt;""),"N/A – JUSTIFIED","INVALID – N/A needs justification, PIC and verifier")),IF(OR(TRIM(U368)="Pass",TRIM(U368)="Pass after CA"),IF(NOT(ISNUMBER(AD368)),"INVALID – completion time missing",IF(TRIM(T368)="","INVALID – PIC missing",IF(TRIM(Z368)="","INVALID – evidence missing",IF(TRIM(AE368)="","INVALID – verifier missing",IF(AND(AQ368=1,TRIM(W368)=""),"INVALID – batch ID missing",IF(AND(AR368=1,OR(NOT(ISNUMBER(X368)),NOT(ISNUMBER(Y368)))),"INVALID – expected/actual qty missing",IF(IF(AND(TRIM(U368)="Pass",ISNUMBER(AF368)),IF(AF368&lt;&gt;0,"INVALID – qty variance: use Fail or Pass after CA",""),"")&amp;IF(AND(TRIM(U368)="Pass",AB368="Open"),"INVALID – corrective action still open: use Fail, then Pass after CA","")&amp;IF(AND(TRIM(U368)="Pass after CA",OR(TRIM(AA368)="",AB368&lt;&gt;"Closed")),"INVALID – corrective action not recorded/closed","")&lt;&gt;"",IF(AND(TRIM(U368)="Pass",ISNUMBER(AF368)),IF(AF368&lt;&gt;0,"INVALID – qty variance: use Fail or Pass after CA",""),"")&amp;IF(AND(TRIM(U368)="Pass",AB368="Open"),"INVALID – corrective action still open: use Fail, then Pass after CA","")&amp;IF(AND(TRIM(U368)="Pass after CA",OR(TRIM(AA368)="",AB368&lt;&gt;"Closed")),"INVALID – corrective action not recorded/closed",""),IF(AND(AS368=1,Documents!$J$15&lt;&gt;"ON FILE"),"INVALID – GLD not on file (Documents sheet)",IF(AND(AS368=2,Documents!$O$15&lt;&gt;"ON FILE"),"INVALID – menu checklist not on file (Documents sheet)",IF(AND(AS368=3,NOT(ISNUMBER(Flights!$AX$15))),"INVALID – enter carrying flight KUL departure (Flights AX)",IF(AG368&gt;AsOfUTC,"INVALID – completion time is in the future",IF(AND(ISNUMBER(S368),AG368&lt;S368),IF(H368="Physical uplift","INVALID – before uplift window (cannot confirm loading)","INVALID – before valid window"),IF(AG368&gt;Flights!$AA$15,"INVALID – completed after departure (cannot establish readiness)",IF(AND(H368="Physical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f>
        <v>OPEN</v>
      </c>
      <c r="AI368" s="61" t="n">
        <f aca="false">IF(OR(AH368="N/A – RULE",AH368="N/A – JUSTIFIED"),0,1)</f>
        <v>1</v>
      </c>
      <c r="AJ368" s="61" t="n">
        <f aca="false">IF(LEFT(AH368,8)="COMPLETE",1,0)</f>
        <v>0</v>
      </c>
      <c r="AK368" s="61" t="n">
        <f aca="false">IF(AND(AI368=1,AJ368=0,AsOfUTC&gt;Q368),1,0)</f>
        <v>0</v>
      </c>
      <c r="AL368" s="61" t="n">
        <f aca="false">IF(AND(AI368=1,OR(TRIM(U368)="Fail",AB368="Open",AND(ISNUMBER(AF368),AF368&lt;&gt;0,TRIM(U368)&lt;&gt;"Pass after CA"))),1,0)</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row>
    <row r="369" customFormat="false" ht="41.25" hidden="false" customHeight="true" outlineLevel="0" collapsed="false">
      <c r="A369" s="57" t="s">
        <v>939</v>
      </c>
      <c r="B369" s="57" t="s">
        <v>248</v>
      </c>
      <c r="C369" s="57" t="str">
        <f aca="false">Flights!$F$15</f>
        <v>MH1149</v>
      </c>
      <c r="D369" s="58" t="n">
        <f aca="false">Flights!$D$15</f>
        <v>46307</v>
      </c>
      <c r="E369" s="57" t="str">
        <f aca="false">Flights!$G$15&amp;"-"&amp;Flights!$H$15</f>
        <v>PEN-KUL</v>
      </c>
      <c r="F369" s="57" t="str">
        <f aca="false">Flights!$K$15</f>
        <v>EY</v>
      </c>
      <c r="G369" s="57" t="s">
        <v>383</v>
      </c>
      <c r="H369" s="57" t="s">
        <v>341</v>
      </c>
      <c r="I369" s="57" t="s">
        <v>342</v>
      </c>
      <c r="J369" s="57" t="s">
        <v>388</v>
      </c>
      <c r="K369" s="67" t="s">
        <v>389</v>
      </c>
      <c r="L369" s="67" t="s">
        <v>385</v>
      </c>
      <c r="M369" s="67"/>
      <c r="N369" s="67" t="s">
        <v>346</v>
      </c>
      <c r="O369" s="67" t="s">
        <v>938</v>
      </c>
      <c r="P369" s="57" t="s">
        <v>177</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IF(N369="N/A – rule","N/A – RULE",IF(TRIM(U369)="N/A",IF(AT369=0,"INVALID – N/A not permitted for this mandatory check",IF(AND(TRIM(AC369)&lt;&gt;"",TRIM(AE369)&lt;&gt;"",TRIM(T369)&lt;&gt;""),"N/A – JUSTIFIED","INVALID – N/A needs justification, PIC and verifier")),IF(OR(TRIM(U369)="Pass",TRIM(U369)="Pass after CA"),IF(NOT(ISNUMBER(AD369)),"INVALID – completion time missing",IF(TRIM(T369)="","INVALID – PIC missing",IF(TRIM(Z369)="","INVALID – evidence missing",IF(TRIM(AE369)="","INVALID – verifier missing",IF(AND(AQ369=1,TRIM(W369)=""),"INVALID – batch ID missing",IF(AND(AR369=1,OR(NOT(ISNUMBER(X369)),NOT(ISNUMBER(Y369)))),"INVALID – expected/actual qty missing",IF(IF(AND(TRIM(U369)="Pass",ISNUMBER(AF369)),IF(AF369&lt;&gt;0,"INVALID – qty variance: use Fail or Pass after CA",""),"")&amp;IF(AND(TRIM(U369)="Pass",AB369="Open"),"INVALID – corrective action still open: use Fail, then Pass after CA","")&amp;IF(AND(TRIM(U369)="Pass after CA",OR(TRIM(AA369)="",AB369&lt;&gt;"Closed")),"INVALID – corrective action not recorded/closed","")&lt;&gt;"",IF(AND(TRIM(U369)="Pass",ISNUMBER(AF369)),IF(AF369&lt;&gt;0,"INVALID – qty variance: use Fail or Pass after CA",""),"")&amp;IF(AND(TRIM(U369)="Pass",AB369="Open"),"INVALID – corrective action still open: use Fail, then Pass after CA","")&amp;IF(AND(TRIM(U369)="Pass after CA",OR(TRIM(AA369)="",AB369&lt;&gt;"Closed")),"INVALID – corrective action not recorded/closed",""),IF(AND(AS369=1,Documents!$J$15&lt;&gt;"ON FILE"),"INVALID – GLD not on file (Documents sheet)",IF(AND(AS369=2,Documents!$O$15&lt;&gt;"ON FILE"),"INVALID – menu checklist not on file (Documents sheet)",IF(AND(AS369=3,NOT(ISNUMBER(Flights!$AX$15))),"INVALID – enter carrying flight KUL departure (Flights AX)",IF(AG369&gt;AsOfUTC,"INVALID – completion time is in the future",IF(AND(ISNUMBER(S369),AG369&lt;S369),IF(H369="Physical uplift","INVALID – before uplift window (cannot confirm loading)","INVALID – before valid window"),IF(AG369&gt;Flights!$AA$15,"INVALID – completed after departure (cannot establish readiness)",IF(AND(H369="Physical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f>
        <v>OPEN</v>
      </c>
      <c r="AI369" s="61" t="n">
        <f aca="false">IF(OR(AH369="N/A – RULE",AH369="N/A – JUSTIFIED"),0,1)</f>
        <v>1</v>
      </c>
      <c r="AJ369" s="61" t="n">
        <f aca="false">IF(LEFT(AH369,8)="COMPLETE",1,0)</f>
        <v>0</v>
      </c>
      <c r="AK369" s="61" t="n">
        <f aca="false">IF(AND(AI369=1,AJ369=0,AsOfUTC&gt;Q369),1,0)</f>
        <v>0</v>
      </c>
      <c r="AL369" s="61" t="n">
        <f aca="false">IF(AND(AI369=1,OR(TRIM(U369)="Fail",AB369="Open",AND(ISNUMBER(AF369),AF369&lt;&gt;0,TRIM(U369)&lt;&gt;"Pass after CA"))),1,0)</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row>
    <row r="370" customFormat="false" ht="41.25" hidden="false" customHeight="true" outlineLevel="0" collapsed="false">
      <c r="A370" s="57" t="s">
        <v>940</v>
      </c>
      <c r="B370" s="57" t="s">
        <v>248</v>
      </c>
      <c r="C370" s="57" t="str">
        <f aca="false">Flights!$F$15</f>
        <v>MH1149</v>
      </c>
      <c r="D370" s="58" t="n">
        <f aca="false">Flights!$D$15</f>
        <v>46307</v>
      </c>
      <c r="E370" s="57" t="str">
        <f aca="false">Flights!$G$15&amp;"-"&amp;Flights!$H$15</f>
        <v>PEN-KUL</v>
      </c>
      <c r="F370" s="57" t="str">
        <f aca="false">Flights!$K$15</f>
        <v>EY</v>
      </c>
      <c r="G370" s="57" t="s">
        <v>383</v>
      </c>
      <c r="H370" s="57" t="s">
        <v>341</v>
      </c>
      <c r="I370" s="57" t="s">
        <v>391</v>
      </c>
      <c r="J370" s="57" t="s">
        <v>392</v>
      </c>
      <c r="K370" s="67"/>
      <c r="L370" s="67" t="s">
        <v>385</v>
      </c>
      <c r="M370" s="67"/>
      <c r="N370" s="67" t="s">
        <v>346</v>
      </c>
      <c r="O370" s="67" t="s">
        <v>938</v>
      </c>
      <c r="P370" s="57" t="s">
        <v>177</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IF(N370="N/A – rule","N/A – RULE",IF(TRIM(U370)="N/A",IF(AT370=0,"INVALID – N/A not permitted for this mandatory check",IF(AND(TRIM(AC370)&lt;&gt;"",TRIM(AE370)&lt;&gt;"",TRIM(T370)&lt;&gt;""),"N/A – JUSTIFIED","INVALID – N/A needs justification, PIC and verifier")),IF(OR(TRIM(U370)="Pass",TRIM(U370)="Pass after CA"),IF(NOT(ISNUMBER(AD370)),"INVALID – completion time missing",IF(TRIM(T370)="","INVALID – PIC missing",IF(TRIM(Z370)="","INVALID – evidence missing",IF(TRIM(AE370)="","INVALID – verifier missing",IF(AND(AQ370=1,TRIM(W370)=""),"INVALID – batch ID missing",IF(AND(AR370=1,OR(NOT(ISNUMBER(X370)),NOT(ISNUMBER(Y370)))),"INVALID – expected/actual qty missing",IF(IF(AND(TRIM(U370)="Pass",ISNUMBER(AF370)),IF(AF370&lt;&gt;0,"INVALID – qty variance: use Fail or Pass after CA",""),"")&amp;IF(AND(TRIM(U370)="Pass",AB370="Open"),"INVALID – corrective action still open: use Fail, then Pass after CA","")&amp;IF(AND(TRIM(U370)="Pass after CA",OR(TRIM(AA370)="",AB370&lt;&gt;"Closed")),"INVALID – corrective action not recorded/closed","")&lt;&gt;"",IF(AND(TRIM(U370)="Pass",ISNUMBER(AF370)),IF(AF370&lt;&gt;0,"INVALID – qty variance: use Fail or Pass after CA",""),"")&amp;IF(AND(TRIM(U370)="Pass",AB370="Open"),"INVALID – corrective action still open: use Fail, then Pass after CA","")&amp;IF(AND(TRIM(U370)="Pass after CA",OR(TRIM(AA370)="",AB370&lt;&gt;"Closed")),"INVALID – corrective action not recorded/closed",""),IF(AND(AS370=1,Documents!$J$15&lt;&gt;"ON FILE"),"INVALID – GLD not on file (Documents sheet)",IF(AND(AS370=2,Documents!$O$15&lt;&gt;"ON FILE"),"INVALID – menu checklist not on file (Documents sheet)",IF(AND(AS370=3,NOT(ISNUMBER(Flights!$AX$15))),"INVALID – enter carrying flight KUL departure (Flights AX)",IF(AG370&gt;AsOfUTC,"INVALID – completion time is in the future",IF(AND(ISNUMBER(S370),AG370&lt;S370),IF(H370="Physical uplift","INVALID – before uplift window (cannot confirm loading)","INVALID – before valid window"),IF(AG370&gt;Flights!$AA$15,"INVALID – completed after departure (cannot establish readiness)",IF(AND(H370="Physical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f>
        <v>OPEN</v>
      </c>
      <c r="AI370" s="61" t="n">
        <f aca="false">IF(OR(AH370="N/A – RULE",AH370="N/A – JUSTIFIED"),0,1)</f>
        <v>1</v>
      </c>
      <c r="AJ370" s="61" t="n">
        <f aca="false">IF(LEFT(AH370,8)="COMPLETE",1,0)</f>
        <v>0</v>
      </c>
      <c r="AK370" s="61" t="n">
        <f aca="false">IF(AND(AI370=1,AJ370=0,AsOfUTC&gt;Q370),1,0)</f>
        <v>0</v>
      </c>
      <c r="AL370" s="61" t="n">
        <f aca="false">IF(AND(AI370=1,OR(TRIM(U370)="Fail",AB370="Open",AND(ISNUMBER(AF370),AF370&lt;&gt;0,TRIM(U370)&lt;&gt;"Pass after CA"))),1,0)</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row>
    <row r="371" customFormat="false" ht="41.25" hidden="false" customHeight="true" outlineLevel="0" collapsed="false">
      <c r="A371" s="57" t="s">
        <v>941</v>
      </c>
      <c r="B371" s="57" t="s">
        <v>248</v>
      </c>
      <c r="C371" s="57" t="str">
        <f aca="false">Flights!$F$15</f>
        <v>MH1149</v>
      </c>
      <c r="D371" s="58" t="n">
        <f aca="false">Flights!$D$15</f>
        <v>46307</v>
      </c>
      <c r="E371" s="57" t="str">
        <f aca="false">Flights!$G$15&amp;"-"&amp;Flights!$H$15</f>
        <v>PEN-KUL</v>
      </c>
      <c r="F371" s="57" t="str">
        <f aca="false">Flights!$K$15</f>
        <v>EY</v>
      </c>
      <c r="G371" s="57" t="s">
        <v>383</v>
      </c>
      <c r="H371" s="57" t="s">
        <v>341</v>
      </c>
      <c r="I371" s="57" t="s">
        <v>391</v>
      </c>
      <c r="J371" s="57" t="s">
        <v>394</v>
      </c>
      <c r="K371" s="67"/>
      <c r="L371" s="67" t="s">
        <v>385</v>
      </c>
      <c r="M371" s="67"/>
      <c r="N371" s="67" t="s">
        <v>346</v>
      </c>
      <c r="O371" s="67" t="s">
        <v>938</v>
      </c>
      <c r="P371" s="57" t="s">
        <v>177</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IF(N371="N/A – rule","N/A – RULE",IF(TRIM(U371)="N/A",IF(AT371=0,"INVALID – N/A not permitted for this mandatory check",IF(AND(TRIM(AC371)&lt;&gt;"",TRIM(AE371)&lt;&gt;"",TRIM(T371)&lt;&gt;""),"N/A – JUSTIFIED","INVALID – N/A needs justification, PIC and verifier")),IF(OR(TRIM(U371)="Pass",TRIM(U371)="Pass after CA"),IF(NOT(ISNUMBER(AD371)),"INVALID – completion time missing",IF(TRIM(T371)="","INVALID – PIC missing",IF(TRIM(Z371)="","INVALID – evidence missing",IF(TRIM(AE371)="","INVALID – verifier missing",IF(AND(AQ371=1,TRIM(W371)=""),"INVALID – batch ID missing",IF(AND(AR371=1,OR(NOT(ISNUMBER(X371)),NOT(ISNUMBER(Y371)))),"INVALID – expected/actual qty missing",IF(IF(AND(TRIM(U371)="Pass",ISNUMBER(AF371)),IF(AF371&lt;&gt;0,"INVALID – qty variance: use Fail or Pass after CA",""),"")&amp;IF(AND(TRIM(U371)="Pass",AB371="Open"),"INVALID – corrective action still open: use Fail, then Pass after CA","")&amp;IF(AND(TRIM(U371)="Pass after CA",OR(TRIM(AA371)="",AB371&lt;&gt;"Closed")),"INVALID – corrective action not recorded/closed","")&lt;&gt;"",IF(AND(TRIM(U371)="Pass",ISNUMBER(AF371)),IF(AF371&lt;&gt;0,"INVALID – qty variance: use Fail or Pass after CA",""),"")&amp;IF(AND(TRIM(U371)="Pass",AB371="Open"),"INVALID – corrective action still open: use Fail, then Pass after CA","")&amp;IF(AND(TRIM(U371)="Pass after CA",OR(TRIM(AA371)="",AB371&lt;&gt;"Closed")),"INVALID – corrective action not recorded/closed",""),IF(AND(AS371=1,Documents!$J$15&lt;&gt;"ON FILE"),"INVALID – GLD not on file (Documents sheet)",IF(AND(AS371=2,Documents!$O$15&lt;&gt;"ON FILE"),"INVALID – menu checklist not on file (Documents sheet)",IF(AND(AS371=3,NOT(ISNUMBER(Flights!$AX$15))),"INVALID – enter carrying flight KUL departure (Flights AX)",IF(AG371&gt;AsOfUTC,"INVALID – completion time is in the future",IF(AND(ISNUMBER(S371),AG371&lt;S371),IF(H371="Physical uplift","INVALID – before uplift window (cannot confirm loading)","INVALID – before valid window"),IF(AG371&gt;Flights!$AA$15,"INVALID – completed after departure (cannot establish readiness)",IF(AND(H371="Physical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f>
        <v>OPEN</v>
      </c>
      <c r="AI371" s="61" t="n">
        <f aca="false">IF(OR(AH371="N/A – RULE",AH371="N/A – JUSTIFIED"),0,1)</f>
        <v>1</v>
      </c>
      <c r="AJ371" s="61" t="n">
        <f aca="false">IF(LEFT(AH371,8)="COMPLETE",1,0)</f>
        <v>0</v>
      </c>
      <c r="AK371" s="61" t="n">
        <f aca="false">IF(AND(AI371=1,AJ371=0,AsOfUTC&gt;Q371),1,0)</f>
        <v>0</v>
      </c>
      <c r="AL371" s="61" t="n">
        <f aca="false">IF(AND(AI371=1,OR(TRIM(U371)="Fail",AB371="Open",AND(ISNUMBER(AF371),AF371&lt;&gt;0,TRIM(U371)&lt;&gt;"Pass after CA"))),1,0)</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row>
    <row r="372" customFormat="false" ht="41.25" hidden="false" customHeight="true" outlineLevel="0" collapsed="false">
      <c r="A372" s="57" t="s">
        <v>942</v>
      </c>
      <c r="B372" s="57" t="s">
        <v>248</v>
      </c>
      <c r="C372" s="57" t="str">
        <f aca="false">Flights!$F$15</f>
        <v>MH1149</v>
      </c>
      <c r="D372" s="58" t="n">
        <f aca="false">Flights!$D$15</f>
        <v>46307</v>
      </c>
      <c r="E372" s="57" t="str">
        <f aca="false">Flights!$G$15&amp;"-"&amp;Flights!$H$15</f>
        <v>PEN-KUL</v>
      </c>
      <c r="F372" s="57" t="str">
        <f aca="false">Flights!$K$15</f>
        <v>EY</v>
      </c>
      <c r="G372" s="57" t="s">
        <v>383</v>
      </c>
      <c r="H372" s="57" t="s">
        <v>341</v>
      </c>
      <c r="I372" s="57" t="s">
        <v>391</v>
      </c>
      <c r="J372" s="57" t="s">
        <v>396</v>
      </c>
      <c r="K372" s="67"/>
      <c r="L372" s="67" t="s">
        <v>385</v>
      </c>
      <c r="M372" s="67"/>
      <c r="N372" s="67" t="s">
        <v>346</v>
      </c>
      <c r="O372" s="67" t="s">
        <v>938</v>
      </c>
      <c r="P372" s="57" t="s">
        <v>177</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IF(N372="N/A – rule","N/A – RULE",IF(TRIM(U372)="N/A",IF(AT372=0,"INVALID – N/A not permitted for this mandatory check",IF(AND(TRIM(AC372)&lt;&gt;"",TRIM(AE372)&lt;&gt;"",TRIM(T372)&lt;&gt;""),"N/A – JUSTIFIED","INVALID – N/A needs justification, PIC and verifier")),IF(OR(TRIM(U372)="Pass",TRIM(U372)="Pass after CA"),IF(NOT(ISNUMBER(AD372)),"INVALID – completion time missing",IF(TRIM(T372)="","INVALID – PIC missing",IF(TRIM(Z372)="","INVALID – evidence missing",IF(TRIM(AE372)="","INVALID – verifier missing",IF(AND(AQ372=1,TRIM(W372)=""),"INVALID – batch ID missing",IF(AND(AR372=1,OR(NOT(ISNUMBER(X372)),NOT(ISNUMBER(Y372)))),"INVALID – expected/actual qty missing",IF(IF(AND(TRIM(U372)="Pass",ISNUMBER(AF372)),IF(AF372&lt;&gt;0,"INVALID – qty variance: use Fail or Pass after CA",""),"")&amp;IF(AND(TRIM(U372)="Pass",AB372="Open"),"INVALID – corrective action still open: use Fail, then Pass after CA","")&amp;IF(AND(TRIM(U372)="Pass after CA",OR(TRIM(AA372)="",AB372&lt;&gt;"Closed")),"INVALID – corrective action not recorded/closed","")&lt;&gt;"",IF(AND(TRIM(U372)="Pass",ISNUMBER(AF372)),IF(AF372&lt;&gt;0,"INVALID – qty variance: use Fail or Pass after CA",""),"")&amp;IF(AND(TRIM(U372)="Pass",AB372="Open"),"INVALID – corrective action still open: use Fail, then Pass after CA","")&amp;IF(AND(TRIM(U372)="Pass after CA",OR(TRIM(AA372)="",AB372&lt;&gt;"Closed")),"INVALID – corrective action not recorded/closed",""),IF(AND(AS372=1,Documents!$J$15&lt;&gt;"ON FILE"),"INVALID – GLD not on file (Documents sheet)",IF(AND(AS372=2,Documents!$O$15&lt;&gt;"ON FILE"),"INVALID – menu checklist not on file (Documents sheet)",IF(AND(AS372=3,NOT(ISNUMBER(Flights!$AX$15))),"INVALID – enter carrying flight KUL departure (Flights AX)",IF(AG372&gt;AsOfUTC,"INVALID – completion time is in the future",IF(AND(ISNUMBER(S372),AG372&lt;S372),IF(H372="Physical uplift","INVALID – before uplift window (cannot confirm loading)","INVALID – before valid window"),IF(AG372&gt;Flights!$AA$15,"INVALID – completed after departure (cannot establish readiness)",IF(AND(H372="Physical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f>
        <v>OPEN</v>
      </c>
      <c r="AI372" s="61" t="n">
        <f aca="false">IF(OR(AH372="N/A – RULE",AH372="N/A – JUSTIFIED"),0,1)</f>
        <v>1</v>
      </c>
      <c r="AJ372" s="61" t="n">
        <f aca="false">IF(LEFT(AH372,8)="COMPLETE",1,0)</f>
        <v>0</v>
      </c>
      <c r="AK372" s="61" t="n">
        <f aca="false">IF(AND(AI372=1,AJ372=0,AsOfUTC&gt;Q372),1,0)</f>
        <v>0</v>
      </c>
      <c r="AL372" s="61" t="n">
        <f aca="false">IF(AND(AI372=1,OR(TRIM(U372)="Fail",AB372="Open",AND(ISNUMBER(AF372),AF372&lt;&gt;0,TRIM(U372)&lt;&gt;"Pass after CA"))),1,0)</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row>
    <row r="373" customFormat="false" ht="78.75" hidden="false" customHeight="true" outlineLevel="0" collapsed="false">
      <c r="A373" s="57" t="s">
        <v>943</v>
      </c>
      <c r="B373" s="57" t="s">
        <v>248</v>
      </c>
      <c r="C373" s="57" t="str">
        <f aca="false">Flights!$F$15</f>
        <v>MH1149</v>
      </c>
      <c r="D373" s="58" t="n">
        <f aca="false">Flights!$D$15</f>
        <v>46307</v>
      </c>
      <c r="E373" s="57" t="str">
        <f aca="false">Flights!$G$15&amp;"-"&amp;Flights!$H$15</f>
        <v>PEN-KUL</v>
      </c>
      <c r="F373" s="57" t="str">
        <f aca="false">Flights!$K$15</f>
        <v>EY</v>
      </c>
      <c r="G373" s="57" t="s">
        <v>383</v>
      </c>
      <c r="H373" s="57" t="s">
        <v>341</v>
      </c>
      <c r="I373" s="57" t="s">
        <v>391</v>
      </c>
      <c r="J373" s="57" t="s">
        <v>398</v>
      </c>
      <c r="K373" s="67" t="s">
        <v>454</v>
      </c>
      <c r="L373" s="67" t="s">
        <v>385</v>
      </c>
      <c r="M373" s="67"/>
      <c r="N373" s="67" t="s">
        <v>346</v>
      </c>
      <c r="O373" s="67" t="s">
        <v>938</v>
      </c>
      <c r="P373" s="57" t="s">
        <v>177</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IF(N373="N/A – rule","N/A – RULE",IF(TRIM(U373)="N/A",IF(AT373=0,"INVALID – N/A not permitted for this mandatory check",IF(AND(TRIM(AC373)&lt;&gt;"",TRIM(AE373)&lt;&gt;"",TRIM(T373)&lt;&gt;""),"N/A – JUSTIFIED","INVALID – N/A needs justification, PIC and verifier")),IF(OR(TRIM(U373)="Pass",TRIM(U373)="Pass after CA"),IF(NOT(ISNUMBER(AD373)),"INVALID – completion time missing",IF(TRIM(T373)="","INVALID – PIC missing",IF(TRIM(Z373)="","INVALID – evidence missing",IF(TRIM(AE373)="","INVALID – verifier missing",IF(AND(AQ373=1,TRIM(W373)=""),"INVALID – batch ID missing",IF(AND(AR373=1,OR(NOT(ISNUMBER(X373)),NOT(ISNUMBER(Y373)))),"INVALID – expected/actual qty missing",IF(IF(AND(TRIM(U373)="Pass",ISNUMBER(AF373)),IF(AF373&lt;&gt;0,"INVALID – qty variance: use Fail or Pass after CA",""),"")&amp;IF(AND(TRIM(U373)="Pass",AB373="Open"),"INVALID – corrective action still open: use Fail, then Pass after CA","")&amp;IF(AND(TRIM(U373)="Pass after CA",OR(TRIM(AA373)="",AB373&lt;&gt;"Closed")),"INVALID – corrective action not recorded/closed","")&lt;&gt;"",IF(AND(TRIM(U373)="Pass",ISNUMBER(AF373)),IF(AF373&lt;&gt;0,"INVALID – qty variance: use Fail or Pass after CA",""),"")&amp;IF(AND(TRIM(U373)="Pass",AB373="Open"),"INVALID – corrective action still open: use Fail, then Pass after CA","")&amp;IF(AND(TRIM(U373)="Pass after CA",OR(TRIM(AA373)="",AB373&lt;&gt;"Closed")),"INVALID – corrective action not recorded/closed",""),IF(AND(AS373=1,Documents!$J$15&lt;&gt;"ON FILE"),"INVALID – GLD not on file (Documents sheet)",IF(AND(AS373=2,Documents!$O$15&lt;&gt;"ON FILE"),"INVALID – menu checklist not on file (Documents sheet)",IF(AND(AS373=3,NOT(ISNUMBER(Flights!$AX$15))),"INVALID – enter carrying flight KUL departure (Flights AX)",IF(AG373&gt;AsOfUTC,"INVALID – completion time is in the future",IF(AND(ISNUMBER(S373),AG373&lt;S373),IF(H373="Physical uplift","INVALID – before uplift window (cannot confirm loading)","INVALID – before valid window"),IF(AG373&gt;Flights!$AA$15,"INVALID – completed after departure (cannot establish readiness)",IF(AND(H373="Physical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f>
        <v>OPEN</v>
      </c>
      <c r="AI373" s="61" t="n">
        <f aca="false">IF(OR(AH373="N/A – RULE",AH373="N/A – JUSTIFIED"),0,1)</f>
        <v>1</v>
      </c>
      <c r="AJ373" s="61" t="n">
        <f aca="false">IF(LEFT(AH373,8)="COMPLETE",1,0)</f>
        <v>0</v>
      </c>
      <c r="AK373" s="61" t="n">
        <f aca="false">IF(AND(AI373=1,AJ373=0,AsOfUTC&gt;Q373),1,0)</f>
        <v>0</v>
      </c>
      <c r="AL373" s="61" t="n">
        <f aca="false">IF(AND(AI373=1,OR(TRIM(U373)="Fail",AB373="Open",AND(ISNUMBER(AF373),AF373&lt;&gt;0,TRIM(U373)&lt;&gt;"Pass after CA"))),1,0)</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row>
    <row r="374" customFormat="false" ht="41.25" hidden="false" customHeight="true" outlineLevel="0" collapsed="false">
      <c r="A374" s="57" t="s">
        <v>944</v>
      </c>
      <c r="B374" s="57" t="s">
        <v>248</v>
      </c>
      <c r="C374" s="57" t="str">
        <f aca="false">Flights!$F$15</f>
        <v>MH1149</v>
      </c>
      <c r="D374" s="58" t="n">
        <f aca="false">Flights!$D$15</f>
        <v>46307</v>
      </c>
      <c r="E374" s="57" t="str">
        <f aca="false">Flights!$G$15&amp;"-"&amp;Flights!$H$15</f>
        <v>PEN-KUL</v>
      </c>
      <c r="F374" s="57" t="str">
        <f aca="false">Flights!$K$15</f>
        <v>EY</v>
      </c>
      <c r="G374" s="57" t="s">
        <v>383</v>
      </c>
      <c r="H374" s="57" t="s">
        <v>341</v>
      </c>
      <c r="I374" s="57" t="s">
        <v>391</v>
      </c>
      <c r="J374" s="57" t="s">
        <v>401</v>
      </c>
      <c r="K374" s="67"/>
      <c r="L374" s="67" t="s">
        <v>385</v>
      </c>
      <c r="M374" s="67"/>
      <c r="N374" s="67" t="s">
        <v>346</v>
      </c>
      <c r="O374" s="67" t="s">
        <v>938</v>
      </c>
      <c r="P374" s="57" t="s">
        <v>177</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IF(N374="N/A – rule","N/A – RULE",IF(TRIM(U374)="N/A",IF(AT374=0,"INVALID – N/A not permitted for this mandatory check",IF(AND(TRIM(AC374)&lt;&gt;"",TRIM(AE374)&lt;&gt;"",TRIM(T374)&lt;&gt;""),"N/A – JUSTIFIED","INVALID – N/A needs justification, PIC and verifier")),IF(OR(TRIM(U374)="Pass",TRIM(U374)="Pass after CA"),IF(NOT(ISNUMBER(AD374)),"INVALID – completion time missing",IF(TRIM(T374)="","INVALID – PIC missing",IF(TRIM(Z374)="","INVALID – evidence missing",IF(TRIM(AE374)="","INVALID – verifier missing",IF(AND(AQ374=1,TRIM(W374)=""),"INVALID – batch ID missing",IF(AND(AR374=1,OR(NOT(ISNUMBER(X374)),NOT(ISNUMBER(Y374)))),"INVALID – expected/actual qty missing",IF(IF(AND(TRIM(U374)="Pass",ISNUMBER(AF374)),IF(AF374&lt;&gt;0,"INVALID – qty variance: use Fail or Pass after CA",""),"")&amp;IF(AND(TRIM(U374)="Pass",AB374="Open"),"INVALID – corrective action still open: use Fail, then Pass after CA","")&amp;IF(AND(TRIM(U374)="Pass after CA",OR(TRIM(AA374)="",AB374&lt;&gt;"Closed")),"INVALID – corrective action not recorded/closed","")&lt;&gt;"",IF(AND(TRIM(U374)="Pass",ISNUMBER(AF374)),IF(AF374&lt;&gt;0,"INVALID – qty variance: use Fail or Pass after CA",""),"")&amp;IF(AND(TRIM(U374)="Pass",AB374="Open"),"INVALID – corrective action still open: use Fail, then Pass after CA","")&amp;IF(AND(TRIM(U374)="Pass after CA",OR(TRIM(AA374)="",AB374&lt;&gt;"Closed")),"INVALID – corrective action not recorded/closed",""),IF(AND(AS374=1,Documents!$J$15&lt;&gt;"ON FILE"),"INVALID – GLD not on file (Documents sheet)",IF(AND(AS374=2,Documents!$O$15&lt;&gt;"ON FILE"),"INVALID – menu checklist not on file (Documents sheet)",IF(AND(AS374=3,NOT(ISNUMBER(Flights!$AX$15))),"INVALID – enter carrying flight KUL departure (Flights AX)",IF(AG374&gt;AsOfUTC,"INVALID – completion time is in the future",IF(AND(ISNUMBER(S374),AG374&lt;S374),IF(H374="Physical uplift","INVALID – before uplift window (cannot confirm loading)","INVALID – before valid window"),IF(AG374&gt;Flights!$AA$15,"INVALID – completed after departure (cannot establish readiness)",IF(AND(H374="Physical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f>
        <v>OPEN</v>
      </c>
      <c r="AI374" s="61" t="n">
        <f aca="false">IF(OR(AH374="N/A – RULE",AH374="N/A – JUSTIFIED"),0,1)</f>
        <v>1</v>
      </c>
      <c r="AJ374" s="61" t="n">
        <f aca="false">IF(LEFT(AH374,8)="COMPLETE",1,0)</f>
        <v>0</v>
      </c>
      <c r="AK374" s="61" t="n">
        <f aca="false">IF(AND(AI374=1,AJ374=0,AsOfUTC&gt;Q374),1,0)</f>
        <v>0</v>
      </c>
      <c r="AL374" s="61" t="n">
        <f aca="false">IF(AND(AI374=1,OR(TRIM(U374)="Fail",AB374="Open",AND(ISNUMBER(AF374),AF374&lt;&gt;0,TRIM(U374)&lt;&gt;"Pass after CA"))),1,0)</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row>
    <row r="375" customFormat="false" ht="66" hidden="false" customHeight="true" outlineLevel="0" collapsed="false">
      <c r="A375" s="57" t="s">
        <v>945</v>
      </c>
      <c r="B375" s="57" t="s">
        <v>248</v>
      </c>
      <c r="C375" s="57" t="str">
        <f aca="false">Flights!$F$15</f>
        <v>MH1149</v>
      </c>
      <c r="D375" s="58" t="n">
        <f aca="false">Flights!$D$15</f>
        <v>46307</v>
      </c>
      <c r="E375" s="57" t="str">
        <f aca="false">Flights!$G$15&amp;"-"&amp;Flights!$H$15</f>
        <v>PEN-KUL</v>
      </c>
      <c r="F375" s="57" t="str">
        <f aca="false">Flights!$K$15</f>
        <v>EY</v>
      </c>
      <c r="G375" s="57" t="s">
        <v>383</v>
      </c>
      <c r="H375" s="57" t="s">
        <v>341</v>
      </c>
      <c r="I375" s="57" t="s">
        <v>410</v>
      </c>
      <c r="J375" s="57" t="s">
        <v>411</v>
      </c>
      <c r="K375" s="67" t="s">
        <v>412</v>
      </c>
      <c r="L375" s="67" t="s">
        <v>946</v>
      </c>
      <c r="M375" s="67" t="s">
        <v>414</v>
      </c>
      <c r="N375" s="67" t="s">
        <v>346</v>
      </c>
      <c r="O375" s="67" t="s">
        <v>947</v>
      </c>
      <c r="P375" s="57" t="s">
        <v>177</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IF(N375="N/A – rule","N/A – RULE",IF(TRIM(U375)="N/A",IF(AT375=0,"INVALID – N/A not permitted for this mandatory check",IF(AND(TRIM(AC375)&lt;&gt;"",TRIM(AE375)&lt;&gt;"",TRIM(T375)&lt;&gt;""),"N/A – JUSTIFIED","INVALID – N/A needs justification, PIC and verifier")),IF(OR(TRIM(U375)="Pass",TRIM(U375)="Pass after CA"),IF(NOT(ISNUMBER(AD375)),"INVALID – completion time missing",IF(TRIM(T375)="","INVALID – PIC missing",IF(TRIM(Z375)="","INVALID – evidence missing",IF(TRIM(AE375)="","INVALID – verifier missing",IF(AND(AQ375=1,TRIM(W375)=""),"INVALID – batch ID missing",IF(AND(AR375=1,OR(NOT(ISNUMBER(X375)),NOT(ISNUMBER(Y375)))),"INVALID – expected/actual qty missing",IF(IF(AND(TRIM(U375)="Pass",ISNUMBER(AF375)),IF(AF375&lt;&gt;0,"INVALID – qty variance: use Fail or Pass after CA",""),"")&amp;IF(AND(TRIM(U375)="Pass",AB375="Open"),"INVALID – corrective action still open: use Fail, then Pass after CA","")&amp;IF(AND(TRIM(U375)="Pass after CA",OR(TRIM(AA375)="",AB375&lt;&gt;"Closed")),"INVALID – corrective action not recorded/closed","")&lt;&gt;"",IF(AND(TRIM(U375)="Pass",ISNUMBER(AF375)),IF(AF375&lt;&gt;0,"INVALID – qty variance: use Fail or Pass after CA",""),"")&amp;IF(AND(TRIM(U375)="Pass",AB375="Open"),"INVALID – corrective action still open: use Fail, then Pass after CA","")&amp;IF(AND(TRIM(U375)="Pass after CA",OR(TRIM(AA375)="",AB375&lt;&gt;"Closed")),"INVALID – corrective action not recorded/closed",""),IF(AND(AS375=1,Documents!$J$15&lt;&gt;"ON FILE"),"INVALID – GLD not on file (Documents sheet)",IF(AND(AS375=2,Documents!$O$15&lt;&gt;"ON FILE"),"INVALID – menu checklist not on file (Documents sheet)",IF(AND(AS375=3,NOT(ISNUMBER(Flights!$AX$15))),"INVALID – enter carrying flight KUL departure (Flights AX)",IF(AG375&gt;AsOfUTC,"INVALID – completion time is in the future",IF(AND(ISNUMBER(S375),AG375&lt;S375),IF(H375="Physical uplift","INVALID – before uplift window (cannot confirm loading)","INVALID – before valid window"),IF(AG375&gt;Flights!$AA$15,"INVALID – completed after departure (cannot establish readiness)",IF(AND(H375="Physical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f>
        <v>OPEN</v>
      </c>
      <c r="AI375" s="61" t="n">
        <f aca="false">IF(OR(AH375="N/A – RULE",AH375="N/A – JUSTIFIED"),0,1)</f>
        <v>1</v>
      </c>
      <c r="AJ375" s="61" t="n">
        <f aca="false">IF(LEFT(AH375,8)="COMPLETE",1,0)</f>
        <v>0</v>
      </c>
      <c r="AK375" s="61" t="n">
        <f aca="false">IF(AND(AI375=1,AJ375=0,AsOfUTC&gt;Q375),1,0)</f>
        <v>0</v>
      </c>
      <c r="AL375" s="61" t="n">
        <f aca="false">IF(AND(AI375=1,OR(TRIM(U375)="Fail",AB375="Open",AND(ISNUMBER(AF375),AF375&lt;&gt;0,TRIM(U375)&lt;&gt;"Pass after CA"))),1,0)</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1</v>
      </c>
    </row>
    <row r="376" customFormat="false" ht="39.75" hidden="false" customHeight="true" outlineLevel="0" collapsed="false">
      <c r="A376" s="57" t="s">
        <v>948</v>
      </c>
      <c r="B376" s="57" t="s">
        <v>248</v>
      </c>
      <c r="C376" s="57" t="str">
        <f aca="false">Flights!$F$15</f>
        <v>MH1149</v>
      </c>
      <c r="D376" s="58" t="n">
        <f aca="false">Flights!$D$15</f>
        <v>46307</v>
      </c>
      <c r="E376" s="57" t="str">
        <f aca="false">Flights!$G$15&amp;"-"&amp;Flights!$H$15</f>
        <v>PEN-KUL</v>
      </c>
      <c r="F376" s="57" t="str">
        <f aca="false">Flights!$K$15</f>
        <v>EY</v>
      </c>
      <c r="G376" s="57" t="s">
        <v>422</v>
      </c>
      <c r="H376" s="57" t="s">
        <v>423</v>
      </c>
      <c r="I376" s="57" t="s">
        <v>342</v>
      </c>
      <c r="J376" s="57" t="s">
        <v>424</v>
      </c>
      <c r="K376" s="67" t="s">
        <v>389</v>
      </c>
      <c r="L376" s="67" t="s">
        <v>425</v>
      </c>
      <c r="M376" s="67"/>
      <c r="N376" s="67" t="s">
        <v>346</v>
      </c>
      <c r="O376" s="67" t="s">
        <v>426</v>
      </c>
      <c r="P376" s="57" t="s">
        <v>244</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Q376-UpliftWindowH/24</f>
        <v>46307.0763888889</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IF(N376="N/A – rule","N/A – RULE",IF(TRIM(U376)="N/A",IF(AT376=0,"INVALID – N/A not permitted for this mandatory check",IF(AND(TRIM(AC376)&lt;&gt;"",TRIM(AE376)&lt;&gt;"",TRIM(T376)&lt;&gt;""),"N/A – JUSTIFIED","INVALID – N/A needs justification, PIC and verifier")),IF(OR(TRIM(U376)="Pass",TRIM(U376)="Pass after CA"),IF(NOT(ISNUMBER(AD376)),"INVALID – completion time missing",IF(TRIM(T376)="","INVALID – PIC missing",IF(TRIM(Z376)="","INVALID – evidence missing",IF(TRIM(AE376)="","INVALID – verifier missing",IF(AND(AQ376=1,TRIM(W376)=""),"INVALID – batch ID missing",IF(AND(AR376=1,OR(NOT(ISNUMBER(X376)),NOT(ISNUMBER(Y376)))),"INVALID – expected/actual qty missing",IF(IF(AND(TRIM(U376)="Pass",ISNUMBER(AF376)),IF(AF376&lt;&gt;0,"INVALID – qty variance: use Fail or Pass after CA",""),"")&amp;IF(AND(TRIM(U376)="Pass",AB376="Open"),"INVALID – corrective action still open: use Fail, then Pass after CA","")&amp;IF(AND(TRIM(U376)="Pass after CA",OR(TRIM(AA376)="",AB376&lt;&gt;"Closed")),"INVALID – corrective action not recorded/closed","")&lt;&gt;"",IF(AND(TRIM(U376)="Pass",ISNUMBER(AF376)),IF(AF376&lt;&gt;0,"INVALID – qty variance: use Fail or Pass after CA",""),"")&amp;IF(AND(TRIM(U376)="Pass",AB376="Open"),"INVALID – corrective action still open: use Fail, then Pass after CA","")&amp;IF(AND(TRIM(U376)="Pass after CA",OR(TRIM(AA376)="",AB376&lt;&gt;"Closed")),"INVALID – corrective action not recorded/closed",""),IF(AND(AS376=1,Documents!$J$15&lt;&gt;"ON FILE"),"INVALID – GLD not on file (Documents sheet)",IF(AND(AS376=2,Documents!$O$15&lt;&gt;"ON FILE"),"INVALID – menu checklist not on file (Documents sheet)",IF(AND(AS376=3,NOT(ISNUMBER(Flights!$AX$15))),"INVALID – enter carrying flight KUL departure (Flights AX)",IF(AG376&gt;AsOfUTC,"INVALID – completion time is in the future",IF(AND(ISNUMBER(S376),AG376&lt;S376),IF(H376="Physical uplift","INVALID – before uplift window (cannot confirm loading)","INVALID – before valid window"),IF(AG376&gt;Flights!$AA$15,"INVALID – completed after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f>
        <v>OPEN</v>
      </c>
      <c r="AI376" s="61" t="n">
        <f aca="false">IF(OR(AH376="N/A – RULE",AH376="N/A – JUSTIFIED"),0,1)</f>
        <v>1</v>
      </c>
      <c r="AJ376" s="61" t="n">
        <f aca="false">IF(LEFT(AH376,8)="COMPLETE",1,0)</f>
        <v>0</v>
      </c>
      <c r="AK376" s="61" t="n">
        <f aca="false">IF(AND(AI376=1,AJ376=0,AsOfUTC&gt;Q376),1,0)</f>
        <v>0</v>
      </c>
      <c r="AL376" s="61" t="n">
        <f aca="false">IF(AND(AI376=1,OR(TRIM(U376)="Fail",AB376="Open",AND(ISNUMBER(AF376),AF376&lt;&gt;0,TRIM(U376)&lt;&gt;"Pass after CA"))),1,0)</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row>
    <row r="377" customFormat="false" ht="39.75" hidden="false" customHeight="true" outlineLevel="0" collapsed="false">
      <c r="A377" s="57" t="s">
        <v>949</v>
      </c>
      <c r="B377" s="57" t="s">
        <v>248</v>
      </c>
      <c r="C377" s="57" t="str">
        <f aca="false">Flights!$F$15</f>
        <v>MH1149</v>
      </c>
      <c r="D377" s="58" t="n">
        <f aca="false">Flights!$D$15</f>
        <v>46307</v>
      </c>
      <c r="E377" s="57" t="str">
        <f aca="false">Flights!$G$15&amp;"-"&amp;Flights!$H$15</f>
        <v>PEN-KUL</v>
      </c>
      <c r="F377" s="57" t="str">
        <f aca="false">Flights!$K$15</f>
        <v>EY</v>
      </c>
      <c r="G377" s="57" t="s">
        <v>422</v>
      </c>
      <c r="H377" s="57" t="s">
        <v>423</v>
      </c>
      <c r="I377" s="57" t="s">
        <v>391</v>
      </c>
      <c r="J377" s="57" t="s">
        <v>428</v>
      </c>
      <c r="K377" s="67" t="s">
        <v>389</v>
      </c>
      <c r="L377" s="67" t="s">
        <v>425</v>
      </c>
      <c r="M377" s="67"/>
      <c r="N377" s="67" t="s">
        <v>346</v>
      </c>
      <c r="O377" s="67" t="s">
        <v>426</v>
      </c>
      <c r="P377" s="57" t="s">
        <v>244</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Q377-UpliftWindowH/24</f>
        <v>46307.0763888889</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IF(N377="N/A – rule","N/A – RULE",IF(TRIM(U377)="N/A",IF(AT377=0,"INVALID – N/A not permitted for this mandatory check",IF(AND(TRIM(AC377)&lt;&gt;"",TRIM(AE377)&lt;&gt;"",TRIM(T377)&lt;&gt;""),"N/A – JUSTIFIED","INVALID – N/A needs justification, PIC and verifier")),IF(OR(TRIM(U377)="Pass",TRIM(U377)="Pass after CA"),IF(NOT(ISNUMBER(AD377)),"INVALID – completion time missing",IF(TRIM(T377)="","INVALID – PIC missing",IF(TRIM(Z377)="","INVALID – evidence missing",IF(TRIM(AE377)="","INVALID – verifier missing",IF(AND(AQ377=1,TRIM(W377)=""),"INVALID – batch ID missing",IF(AND(AR377=1,OR(NOT(ISNUMBER(X377)),NOT(ISNUMBER(Y377)))),"INVALID – expected/actual qty missing",IF(IF(AND(TRIM(U377)="Pass",ISNUMBER(AF377)),IF(AF377&lt;&gt;0,"INVALID – qty variance: use Fail or Pass after CA",""),"")&amp;IF(AND(TRIM(U377)="Pass",AB377="Open"),"INVALID – corrective action still open: use Fail, then Pass after CA","")&amp;IF(AND(TRIM(U377)="Pass after CA",OR(TRIM(AA377)="",AB377&lt;&gt;"Closed")),"INVALID – corrective action not recorded/closed","")&lt;&gt;"",IF(AND(TRIM(U377)="Pass",ISNUMBER(AF377)),IF(AF377&lt;&gt;0,"INVALID – qty variance: use Fail or Pass after CA",""),"")&amp;IF(AND(TRIM(U377)="Pass",AB377="Open"),"INVALID – corrective action still open: use Fail, then Pass after CA","")&amp;IF(AND(TRIM(U377)="Pass after CA",OR(TRIM(AA377)="",AB377&lt;&gt;"Closed")),"INVALID – corrective action not recorded/closed",""),IF(AND(AS377=1,Documents!$J$15&lt;&gt;"ON FILE"),"INVALID – GLD not on file (Documents sheet)",IF(AND(AS377=2,Documents!$O$15&lt;&gt;"ON FILE"),"INVALID – menu checklist not on file (Documents sheet)",IF(AND(AS377=3,NOT(ISNUMBER(Flights!$AX$15))),"INVALID – enter carrying flight KUL departure (Flights AX)",IF(AG377&gt;AsOfUTC,"INVALID – completion time is in the future",IF(AND(ISNUMBER(S377),AG377&lt;S377),IF(H377="Physical uplift","INVALID – before uplift window (cannot confirm loading)","INVALID – before valid window"),IF(AG377&gt;Flights!$AA$15,"INVALID – completed after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f>
        <v>OPEN</v>
      </c>
      <c r="AI377" s="61" t="n">
        <f aca="false">IF(OR(AH377="N/A – RULE",AH377="N/A – JUSTIFIED"),0,1)</f>
        <v>1</v>
      </c>
      <c r="AJ377" s="61" t="n">
        <f aca="false">IF(LEFT(AH377,8)="COMPLETE",1,0)</f>
        <v>0</v>
      </c>
      <c r="AK377" s="61" t="n">
        <f aca="false">IF(AND(AI377=1,AJ377=0,AsOfUTC&gt;Q377),1,0)</f>
        <v>0</v>
      </c>
      <c r="AL377" s="61" t="n">
        <f aca="false">IF(AND(AI377=1,OR(TRIM(U377)="Fail",AB377="Open",AND(ISNUMBER(AF377),AF377&lt;&gt;0,TRIM(U377)&lt;&gt;"Pass after CA"))),1,0)</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row>
    <row r="378" customFormat="false" ht="66" hidden="false" customHeight="true" outlineLevel="0" collapsed="false">
      <c r="A378" s="57" t="s">
        <v>950</v>
      </c>
      <c r="B378" s="57" t="s">
        <v>248</v>
      </c>
      <c r="C378" s="57" t="str">
        <f aca="false">Flights!$F$15</f>
        <v>MH1149</v>
      </c>
      <c r="D378" s="58" t="n">
        <f aca="false">Flights!$D$15</f>
        <v>46307</v>
      </c>
      <c r="E378" s="57" t="str">
        <f aca="false">Flights!$G$15&amp;"-"&amp;Flights!$H$15</f>
        <v>PEN-KUL</v>
      </c>
      <c r="F378" s="57" t="str">
        <f aca="false">Flights!$K$15</f>
        <v>EY</v>
      </c>
      <c r="G378" s="57" t="s">
        <v>422</v>
      </c>
      <c r="H378" s="57" t="s">
        <v>423</v>
      </c>
      <c r="I378" s="57" t="s">
        <v>374</v>
      </c>
      <c r="J378" s="57" t="s">
        <v>951</v>
      </c>
      <c r="K378" s="67" t="s">
        <v>952</v>
      </c>
      <c r="L378" s="67" t="s">
        <v>953</v>
      </c>
      <c r="M378" s="67"/>
      <c r="N378" s="67" t="s">
        <v>346</v>
      </c>
      <c r="O378" s="67" t="s">
        <v>954</v>
      </c>
      <c r="P378" s="57" t="s">
        <v>177</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IF(N378="N/A – rule","N/A – RULE",IF(TRIM(U378)="N/A",IF(AT378=0,"INVALID – N/A not permitted for this mandatory check",IF(AND(TRIM(AC378)&lt;&gt;"",TRIM(AE378)&lt;&gt;"",TRIM(T378)&lt;&gt;""),"N/A – JUSTIFIED","INVALID – N/A needs justification, PIC and verifier")),IF(OR(TRIM(U378)="Pass",TRIM(U378)="Pass after CA"),IF(NOT(ISNUMBER(AD378)),"INVALID – completion time missing",IF(TRIM(T378)="","INVALID – PIC missing",IF(TRIM(Z378)="","INVALID – evidence missing",IF(TRIM(AE378)="","INVALID – verifier missing",IF(AND(AQ378=1,TRIM(W378)=""),"INVALID – batch ID missing",IF(AND(AR378=1,OR(NOT(ISNUMBER(X378)),NOT(ISNUMBER(Y378)))),"INVALID – expected/actual qty missing",IF(IF(AND(TRIM(U378)="Pass",ISNUMBER(AF378)),IF(AF378&lt;&gt;0,"INVALID – qty variance: use Fail or Pass after CA",""),"")&amp;IF(AND(TRIM(U378)="Pass",AB378="Open"),"INVALID – corrective action still open: use Fail, then Pass after CA","")&amp;IF(AND(TRIM(U378)="Pass after CA",OR(TRIM(AA378)="",AB378&lt;&gt;"Closed")),"INVALID – corrective action not recorded/closed","")&lt;&gt;"",IF(AND(TRIM(U378)="Pass",ISNUMBER(AF378)),IF(AF378&lt;&gt;0,"INVALID – qty variance: use Fail or Pass after CA",""),"")&amp;IF(AND(TRIM(U378)="Pass",AB378="Open"),"INVALID – corrective action still open: use Fail, then Pass after CA","")&amp;IF(AND(TRIM(U378)="Pass after CA",OR(TRIM(AA378)="",AB378&lt;&gt;"Closed")),"INVALID – corrective action not recorded/closed",""),IF(AND(AS378=1,Documents!$J$15&lt;&gt;"ON FILE"),"INVALID – GLD not on file (Documents sheet)",IF(AND(AS378=2,Documents!$O$15&lt;&gt;"ON FILE"),"INVALID – menu checklist not on file (Documents sheet)",IF(AND(AS378=3,NOT(ISNUMBER(Flights!$AX$15))),"INVALID – enter carrying flight KUL departure (Flights AX)",IF(AG378&gt;AsOfUTC,"INVALID – completion time is in the future",IF(AND(ISNUMBER(S378),AG378&lt;S378),IF(H378="Physical uplift","INVALID – before uplift window (cannot confirm loading)","INVALID – before valid window"),IF(AG378&gt;Flights!$AA$15,"INVALID – completed after departure (cannot establish readiness)",IF(AND(H378="Physical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f>
        <v>OPEN</v>
      </c>
      <c r="AI378" s="61" t="n">
        <f aca="false">IF(OR(AH378="N/A – RULE",AH378="N/A – JUSTIFIED"),0,1)</f>
        <v>1</v>
      </c>
      <c r="AJ378" s="61" t="n">
        <f aca="false">IF(LEFT(AH378,8)="COMPLETE",1,0)</f>
        <v>0</v>
      </c>
      <c r="AK378" s="61" t="n">
        <f aca="false">IF(AND(AI378=1,AJ378=0,AsOfUTC&gt;Q378),1,0)</f>
        <v>0</v>
      </c>
      <c r="AL378" s="61" t="n">
        <f aca="false">IF(AND(AI378=1,OR(TRIM(U378)="Fail",AB378="Open",AND(ISNUMBER(AF378),AF378&lt;&gt;0,TRIM(U378)&lt;&gt;"Pass after CA"))),1,0)</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row>
    <row r="379" customFormat="false" ht="39.75" hidden="false" customHeight="true" outlineLevel="0" collapsed="false">
      <c r="A379" s="57" t="s">
        <v>955</v>
      </c>
      <c r="B379" s="57" t="s">
        <v>248</v>
      </c>
      <c r="C379" s="57" t="str">
        <f aca="false">Flights!$F$15</f>
        <v>MH1149</v>
      </c>
      <c r="D379" s="58" t="n">
        <f aca="false">Flights!$D$15</f>
        <v>46307</v>
      </c>
      <c r="E379" s="57" t="str">
        <f aca="false">Flights!$G$15&amp;"-"&amp;Flights!$H$15</f>
        <v>PEN-KUL</v>
      </c>
      <c r="F379" s="57" t="str">
        <f aca="false">Flights!$K$15</f>
        <v>EY</v>
      </c>
      <c r="G379" s="57" t="s">
        <v>422</v>
      </c>
      <c r="H379" s="57" t="s">
        <v>423</v>
      </c>
      <c r="I379" s="57" t="s">
        <v>410</v>
      </c>
      <c r="J379" s="57" t="s">
        <v>432</v>
      </c>
      <c r="K379" s="67" t="s">
        <v>412</v>
      </c>
      <c r="L379" s="67" t="s">
        <v>946</v>
      </c>
      <c r="M379" s="67" t="s">
        <v>414</v>
      </c>
      <c r="N379" s="67" t="s">
        <v>346</v>
      </c>
      <c r="O379" s="67"/>
      <c r="P379" s="57" t="s">
        <v>244</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Q379-UpliftWindowH/24</f>
        <v>46307.0763888889</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IF(N379="N/A – rule","N/A – RULE",IF(TRIM(U379)="N/A",IF(AT379=0,"INVALID – N/A not permitted for this mandatory check",IF(AND(TRIM(AC379)&lt;&gt;"",TRIM(AE379)&lt;&gt;"",TRIM(T379)&lt;&gt;""),"N/A – JUSTIFIED","INVALID – N/A needs justification, PIC and verifier")),IF(OR(TRIM(U379)="Pass",TRIM(U379)="Pass after CA"),IF(NOT(ISNUMBER(AD379)),"INVALID – completion time missing",IF(TRIM(T379)="","INVALID – PIC missing",IF(TRIM(Z379)="","INVALID – evidence missing",IF(TRIM(AE379)="","INVALID – verifier missing",IF(AND(AQ379=1,TRIM(W379)=""),"INVALID – batch ID missing",IF(AND(AR379=1,OR(NOT(ISNUMBER(X379)),NOT(ISNUMBER(Y379)))),"INVALID – expected/actual qty missing",IF(IF(AND(TRIM(U379)="Pass",ISNUMBER(AF379)),IF(AF379&lt;&gt;0,"INVALID – qty variance: use Fail or Pass after CA",""),"")&amp;IF(AND(TRIM(U379)="Pass",AB379="Open"),"INVALID – corrective action still open: use Fail, then Pass after CA","")&amp;IF(AND(TRIM(U379)="Pass after CA",OR(TRIM(AA379)="",AB379&lt;&gt;"Closed")),"INVALID – corrective action not recorded/closed","")&lt;&gt;"",IF(AND(TRIM(U379)="Pass",ISNUMBER(AF379)),IF(AF379&lt;&gt;0,"INVALID – qty variance: use Fail or Pass after CA",""),"")&amp;IF(AND(TRIM(U379)="Pass",AB379="Open"),"INVALID – corrective action still open: use Fail, then Pass after CA","")&amp;IF(AND(TRIM(U379)="Pass after CA",OR(TRIM(AA379)="",AB379&lt;&gt;"Closed")),"INVALID – corrective action not recorded/closed",""),IF(AND(AS379=1,Documents!$J$15&lt;&gt;"ON FILE"),"INVALID – GLD not on file (Documents sheet)",IF(AND(AS379=2,Documents!$O$15&lt;&gt;"ON FILE"),"INVALID – menu checklist not on file (Documents sheet)",IF(AND(AS379=3,NOT(ISNUMBER(Flights!$AX$15))),"INVALID – enter carrying flight KUL departure (Flights AX)",IF(AG379&gt;AsOfUTC,"INVALID – completion time is in the future",IF(AND(ISNUMBER(S379),AG379&lt;S379),IF(H379="Physical uplift","INVALID – before uplift window (cannot confirm loading)","INVALID – before valid window"),IF(AG379&gt;Flights!$AA$15,"INVALID – completed after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f>
        <v>OPEN</v>
      </c>
      <c r="AI379" s="61" t="n">
        <f aca="false">IF(OR(AH379="N/A – RULE",AH379="N/A – JUSTIFIED"),0,1)</f>
        <v>1</v>
      </c>
      <c r="AJ379" s="61" t="n">
        <f aca="false">IF(LEFT(AH379,8)="COMPLETE",1,0)</f>
        <v>0</v>
      </c>
      <c r="AK379" s="61" t="n">
        <f aca="false">IF(AND(AI379=1,AJ379=0,AsOfUTC&gt;Q379),1,0)</f>
        <v>0</v>
      </c>
      <c r="AL379" s="61" t="n">
        <f aca="false">IF(AND(AI379=1,OR(TRIM(U379)="Fail",AB379="Open",AND(ISNUMBER(AF379),AF379&lt;&gt;0,TRIM(U379)&lt;&gt;"Pass after CA"))),1,0)</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1</v>
      </c>
    </row>
    <row r="380" customFormat="false" ht="39.75" hidden="false" customHeight="true" outlineLevel="0" collapsed="false">
      <c r="A380" s="57" t="s">
        <v>956</v>
      </c>
      <c r="B380" s="57" t="s">
        <v>251</v>
      </c>
      <c r="C380" s="57" t="str">
        <f aca="false">Flights!$F$16</f>
        <v>MH0139</v>
      </c>
      <c r="D380" s="58" t="n">
        <f aca="false">Flights!$D$16</f>
        <v>46307</v>
      </c>
      <c r="E380" s="57" t="str">
        <f aca="false">Flights!$G$16&amp;"-"&amp;Flights!$H$16</f>
        <v>KUL-ADL</v>
      </c>
      <c r="F380" s="57" t="str">
        <f aca="false">Flights!$K$16</f>
        <v>BC</v>
      </c>
      <c r="G380" s="57" t="s">
        <v>74</v>
      </c>
      <c r="H380" s="57" t="s">
        <v>341</v>
      </c>
      <c r="I380" s="57" t="s">
        <v>342</v>
      </c>
      <c r="J380" s="57" t="s">
        <v>343</v>
      </c>
      <c r="K380" s="67" t="s">
        <v>344</v>
      </c>
      <c r="L380" s="67" t="s">
        <v>345</v>
      </c>
      <c r="M380" s="67"/>
      <c r="N380" s="67" t="s">
        <v>346</v>
      </c>
      <c r="O380" s="67"/>
      <c r="P380" s="57" t="s">
        <v>177</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IF(N380="N/A – rule","N/A – RULE",IF(TRIM(U380)="N/A",IF(AT380=0,"INVALID – N/A not permitted for this mandatory check",IF(AND(TRIM(AC380)&lt;&gt;"",TRIM(AE380)&lt;&gt;"",TRIM(T380)&lt;&gt;""),"N/A – JUSTIFIED","INVALID – N/A needs justification, PIC and verifier")),IF(OR(TRIM(U380)="Pass",TRIM(U380)="Pass after CA"),IF(NOT(ISNUMBER(AD380)),"INVALID – completion time missing",IF(TRIM(T380)="","INVALID – PIC missing",IF(TRIM(Z380)="","INVALID – evidence missing",IF(TRIM(AE380)="","INVALID – verifier missing",IF(AND(AQ380=1,TRIM(W380)=""),"INVALID – batch ID missing",IF(AND(AR380=1,OR(NOT(ISNUMBER(X380)),NOT(ISNUMBER(Y380)))),"INVALID – expected/actual qty missing",IF(IF(AND(TRIM(U380)="Pass",ISNUMBER(AF380)),IF(AF380&lt;&gt;0,"INVALID – qty variance: use Fail or Pass after CA",""),"")&amp;IF(AND(TRIM(U380)="Pass",AB380="Open"),"INVALID – corrective action still open: use Fail, then Pass after CA","")&amp;IF(AND(TRIM(U380)="Pass after CA",OR(TRIM(AA380)="",AB380&lt;&gt;"Closed")),"INVALID – corrective action not recorded/closed","")&lt;&gt;"",IF(AND(TRIM(U380)="Pass",ISNUMBER(AF380)),IF(AF380&lt;&gt;0,"INVALID – qty variance: use Fail or Pass after CA",""),"")&amp;IF(AND(TRIM(U380)="Pass",AB380="Open"),"INVALID – corrective action still open: use Fail, then Pass after CA","")&amp;IF(AND(TRIM(U380)="Pass after CA",OR(TRIM(AA380)="",AB380&lt;&gt;"Closed")),"INVALID – corrective action not recorded/closed",""),IF(AND(AS380=1,Documents!$J$16&lt;&gt;"ON FILE"),"INVALID – GLD not on file (Documents sheet)",IF(AND(AS380=2,Documents!$O$16&lt;&gt;"ON FILE"),"INVALID – menu checklist not on file (Documents sheet)",IF(AND(AS380=3,NOT(ISNUMBER(Flights!$AX$16))),"INVALID – enter carrying flight KUL departure (Flights AX)",IF(AG380&gt;AsOfUTC,"INVALID – completion time is in the future",IF(AND(ISNUMBER(S380),AG380&lt;S380),IF(H380="Physical uplift","INVALID – before uplift window (cannot confirm loading)","INVALID – before valid window"),IF(AG380&gt;Flights!$AA$16,"INVALID – completed after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f>
        <v>OPEN</v>
      </c>
      <c r="AI380" s="61" t="n">
        <f aca="false">IF(OR(AH380="N/A – RULE",AH380="N/A – JUSTIFIED"),0,1)</f>
        <v>1</v>
      </c>
      <c r="AJ380" s="61" t="n">
        <f aca="false">IF(LEFT(AH380,8)="COMPLETE",1,0)</f>
        <v>0</v>
      </c>
      <c r="AK380" s="61" t="n">
        <f aca="false">IF(AND(AI380=1,AJ380=0,AsOfUTC&gt;Q380),1,0)</f>
        <v>0</v>
      </c>
      <c r="AL380" s="61" t="n">
        <f aca="false">IF(AND(AI380=1,OR(TRIM(U380)="Fail",AB380="Open",AND(ISNUMBER(AF380),AF380&lt;&gt;0,TRIM(U380)&lt;&gt;"Pass after CA"))),1,0)</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row>
    <row r="381" customFormat="false" ht="39.75" hidden="false" customHeight="true" outlineLevel="0" collapsed="false">
      <c r="A381" s="57" t="s">
        <v>957</v>
      </c>
      <c r="B381" s="57" t="s">
        <v>251</v>
      </c>
      <c r="C381" s="57" t="str">
        <f aca="false">Flights!$F$16</f>
        <v>MH0139</v>
      </c>
      <c r="D381" s="58" t="n">
        <f aca="false">Flights!$D$16</f>
        <v>46307</v>
      </c>
      <c r="E381" s="57" t="str">
        <f aca="false">Flights!$G$16&amp;"-"&amp;Flights!$H$16</f>
        <v>KUL-ADL</v>
      </c>
      <c r="F381" s="57" t="str">
        <f aca="false">Flights!$K$16</f>
        <v>BC</v>
      </c>
      <c r="G381" s="57" t="s">
        <v>74</v>
      </c>
      <c r="H381" s="57" t="s">
        <v>341</v>
      </c>
      <c r="I381" s="57" t="s">
        <v>348</v>
      </c>
      <c r="J381" s="57" t="s">
        <v>349</v>
      </c>
      <c r="K381" s="67" t="s">
        <v>350</v>
      </c>
      <c r="L381" s="67" t="s">
        <v>345</v>
      </c>
      <c r="M381" s="67"/>
      <c r="N381" s="67" t="s">
        <v>346</v>
      </c>
      <c r="O381" s="67"/>
      <c r="P381" s="57" t="s">
        <v>177</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IF(N381="N/A – rule","N/A – RULE",IF(TRIM(U381)="N/A",IF(AT381=0,"INVALID – N/A not permitted for this mandatory check",IF(AND(TRIM(AC381)&lt;&gt;"",TRIM(AE381)&lt;&gt;"",TRIM(T381)&lt;&gt;""),"N/A – JUSTIFIED","INVALID – N/A needs justification, PIC and verifier")),IF(OR(TRIM(U381)="Pass",TRIM(U381)="Pass after CA"),IF(NOT(ISNUMBER(AD381)),"INVALID – completion time missing",IF(TRIM(T381)="","INVALID – PIC missing",IF(TRIM(Z381)="","INVALID – evidence missing",IF(TRIM(AE381)="","INVALID – verifier missing",IF(AND(AQ381=1,TRIM(W381)=""),"INVALID – batch ID missing",IF(AND(AR381=1,OR(NOT(ISNUMBER(X381)),NOT(ISNUMBER(Y381)))),"INVALID – expected/actual qty missing",IF(IF(AND(TRIM(U381)="Pass",ISNUMBER(AF381)),IF(AF381&lt;&gt;0,"INVALID – qty variance: use Fail or Pass after CA",""),"")&amp;IF(AND(TRIM(U381)="Pass",AB381="Open"),"INVALID – corrective action still open: use Fail, then Pass after CA","")&amp;IF(AND(TRIM(U381)="Pass after CA",OR(TRIM(AA381)="",AB381&lt;&gt;"Closed")),"INVALID – corrective action not recorded/closed","")&lt;&gt;"",IF(AND(TRIM(U381)="Pass",ISNUMBER(AF381)),IF(AF381&lt;&gt;0,"INVALID – qty variance: use Fail or Pass after CA",""),"")&amp;IF(AND(TRIM(U381)="Pass",AB381="Open"),"INVALID – corrective action still open: use Fail, then Pass after CA","")&amp;IF(AND(TRIM(U381)="Pass after CA",OR(TRIM(AA381)="",AB381&lt;&gt;"Closed")),"INVALID – corrective action not recorded/closed",""),IF(AND(AS381=1,Documents!$J$16&lt;&gt;"ON FILE"),"INVALID – GLD not on file (Documents sheet)",IF(AND(AS381=2,Documents!$O$16&lt;&gt;"ON FILE"),"INVALID – menu checklist not on file (Documents sheet)",IF(AND(AS381=3,NOT(ISNUMBER(Flights!$AX$16))),"INVALID – enter carrying flight KUL departure (Flights AX)",IF(AG381&gt;AsOfUTC,"INVALID – completion time is in the future",IF(AND(ISNUMBER(S381),AG381&lt;S381),IF(H381="Physical uplift","INVALID – before uplift window (cannot confirm loading)","INVALID – before valid window"),IF(AG381&gt;Flights!$AA$16,"INVALID – completed after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f>
        <v>OPEN</v>
      </c>
      <c r="AI381" s="61" t="n">
        <f aca="false">IF(OR(AH381="N/A – RULE",AH381="N/A – JUSTIFIED"),0,1)</f>
        <v>1</v>
      </c>
      <c r="AJ381" s="61" t="n">
        <f aca="false">IF(LEFT(AH381,8)="COMPLETE",1,0)</f>
        <v>0</v>
      </c>
      <c r="AK381" s="61" t="n">
        <f aca="false">IF(AND(AI381=1,AJ381=0,AsOfUTC&gt;Q381),1,0)</f>
        <v>0</v>
      </c>
      <c r="AL381" s="61" t="n">
        <f aca="false">IF(AND(AI381=1,OR(TRIM(U381)="Fail",AB381="Open",AND(ISNUMBER(AF381),AF381&lt;&gt;0,TRIM(U381)&lt;&gt;"Pass after CA"))),1,0)</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1</v>
      </c>
    </row>
    <row r="382" customFormat="false" ht="41.25" hidden="false" customHeight="true" outlineLevel="0" collapsed="false">
      <c r="A382" s="57" t="s">
        <v>958</v>
      </c>
      <c r="B382" s="57" t="s">
        <v>251</v>
      </c>
      <c r="C382" s="57" t="str">
        <f aca="false">Flights!$F$16</f>
        <v>MH0139</v>
      </c>
      <c r="D382" s="58" t="n">
        <f aca="false">Flights!$D$16</f>
        <v>46307</v>
      </c>
      <c r="E382" s="57" t="str">
        <f aca="false">Flights!$G$16&amp;"-"&amp;Flights!$H$16</f>
        <v>KUL-ADL</v>
      </c>
      <c r="F382" s="57" t="str">
        <f aca="false">Flights!$K$16</f>
        <v>BC</v>
      </c>
      <c r="G382" s="57" t="s">
        <v>74</v>
      </c>
      <c r="H382" s="57" t="s">
        <v>341</v>
      </c>
      <c r="I382" s="57" t="s">
        <v>352</v>
      </c>
      <c r="J382" s="57" t="s">
        <v>353</v>
      </c>
      <c r="K382" s="67" t="s">
        <v>354</v>
      </c>
      <c r="L382" s="67" t="s">
        <v>345</v>
      </c>
      <c r="M382" s="67"/>
      <c r="N382" s="67" t="str">
        <f aca="false">IF(TRIM(Flights!$L$16)="A339","Required","N/A – rule")</f>
        <v>Required</v>
      </c>
      <c r="O382" s="67" t="s">
        <v>355</v>
      </c>
      <c r="P382" s="57" t="s">
        <v>177</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IF(N382="N/A – rule","N/A – RULE",IF(TRIM(U382)="N/A",IF(AT382=0,"INVALID – N/A not permitted for this mandatory check",IF(AND(TRIM(AC382)&lt;&gt;"",TRIM(AE382)&lt;&gt;"",TRIM(T382)&lt;&gt;""),"N/A – JUSTIFIED","INVALID – N/A needs justification, PIC and verifier")),IF(OR(TRIM(U382)="Pass",TRIM(U382)="Pass after CA"),IF(NOT(ISNUMBER(AD382)),"INVALID – completion time missing",IF(TRIM(T382)="","INVALID – PIC missing",IF(TRIM(Z382)="","INVALID – evidence missing",IF(TRIM(AE382)="","INVALID – verifier missing",IF(AND(AQ382=1,TRIM(W382)=""),"INVALID – batch ID missing",IF(AND(AR382=1,OR(NOT(ISNUMBER(X382)),NOT(ISNUMBER(Y382)))),"INVALID – expected/actual qty missing",IF(IF(AND(TRIM(U382)="Pass",ISNUMBER(AF382)),IF(AF382&lt;&gt;0,"INVALID – qty variance: use Fail or Pass after CA",""),"")&amp;IF(AND(TRIM(U382)="Pass",AB382="Open"),"INVALID – corrective action still open: use Fail, then Pass after CA","")&amp;IF(AND(TRIM(U382)="Pass after CA",OR(TRIM(AA382)="",AB382&lt;&gt;"Closed")),"INVALID – corrective action not recorded/closed","")&lt;&gt;"",IF(AND(TRIM(U382)="Pass",ISNUMBER(AF382)),IF(AF382&lt;&gt;0,"INVALID – qty variance: use Fail or Pass after CA",""),"")&amp;IF(AND(TRIM(U382)="Pass",AB382="Open"),"INVALID – corrective action still open: use Fail, then Pass after CA","")&amp;IF(AND(TRIM(U382)="Pass after CA",OR(TRIM(AA382)="",AB382&lt;&gt;"Closed")),"INVALID – corrective action not recorded/closed",""),IF(AND(AS382=1,Documents!$J$16&lt;&gt;"ON FILE"),"INVALID – GLD not on file (Documents sheet)",IF(AND(AS382=2,Documents!$O$16&lt;&gt;"ON FILE"),"INVALID – menu checklist not on file (Documents sheet)",IF(AND(AS382=3,NOT(ISNUMBER(Flights!$AX$16))),"INVALID – enter carrying flight KUL departure (Flights AX)",IF(AG382&gt;AsOfUTC,"INVALID – completion time is in the future",IF(AND(ISNUMBER(S382),AG382&lt;S382),IF(H382="Physical uplift","INVALID – before uplift window (cannot confirm loading)","INVALID – before valid window"),IF(AG382&gt;Flights!$AA$16,"INVALID – completed after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f>
        <v>OPEN</v>
      </c>
      <c r="AI382" s="61" t="n">
        <f aca="false">IF(OR(AH382="N/A – RULE",AH382="N/A – JUSTIFIED"),0,1)</f>
        <v>1</v>
      </c>
      <c r="AJ382" s="61" t="n">
        <f aca="false">IF(LEFT(AH382,8)="COMPLETE",1,0)</f>
        <v>0</v>
      </c>
      <c r="AK382" s="61" t="n">
        <f aca="false">IF(AND(AI382=1,AJ382=0,AsOfUTC&gt;Q382),1,0)</f>
        <v>0</v>
      </c>
      <c r="AL382" s="61" t="n">
        <f aca="false">IF(AND(AI382=1,OR(TRIM(U382)="Fail",AB382="Open",AND(ISNUMBER(AF382),AF382&lt;&gt;0,TRIM(U382)&lt;&gt;"Pass after CA"))),1,0)</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row>
    <row r="383" customFormat="false" ht="39.75" hidden="false" customHeight="true" outlineLevel="0" collapsed="false">
      <c r="A383" s="57" t="s">
        <v>959</v>
      </c>
      <c r="B383" s="57" t="s">
        <v>251</v>
      </c>
      <c r="C383" s="57" t="str">
        <f aca="false">Flights!$F$16</f>
        <v>MH0139</v>
      </c>
      <c r="D383" s="58" t="n">
        <f aca="false">Flights!$D$16</f>
        <v>46307</v>
      </c>
      <c r="E383" s="57" t="str">
        <f aca="false">Flights!$G$16&amp;"-"&amp;Flights!$H$16</f>
        <v>KUL-ADL</v>
      </c>
      <c r="F383" s="57" t="str">
        <f aca="false">Flights!$K$16</f>
        <v>BC</v>
      </c>
      <c r="G383" s="57" t="s">
        <v>74</v>
      </c>
      <c r="H383" s="57" t="s">
        <v>341</v>
      </c>
      <c r="I383" s="57" t="s">
        <v>357</v>
      </c>
      <c r="J383" s="57" t="s">
        <v>358</v>
      </c>
      <c r="K383" s="67" t="s">
        <v>359</v>
      </c>
      <c r="L383" s="67" t="s">
        <v>345</v>
      </c>
      <c r="M383" s="67"/>
      <c r="N383" s="67" t="s">
        <v>346</v>
      </c>
      <c r="O383" s="67"/>
      <c r="P383" s="57" t="s">
        <v>177</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IF(N383="N/A – rule","N/A – RULE",IF(TRIM(U383)="N/A",IF(AT383=0,"INVALID – N/A not permitted for this mandatory check",IF(AND(TRIM(AC383)&lt;&gt;"",TRIM(AE383)&lt;&gt;"",TRIM(T383)&lt;&gt;""),"N/A – JUSTIFIED","INVALID – N/A needs justification, PIC and verifier")),IF(OR(TRIM(U383)="Pass",TRIM(U383)="Pass after CA"),IF(NOT(ISNUMBER(AD383)),"INVALID – completion time missing",IF(TRIM(T383)="","INVALID – PIC missing",IF(TRIM(Z383)="","INVALID – evidence missing",IF(TRIM(AE383)="","INVALID – verifier missing",IF(AND(AQ383=1,TRIM(W383)=""),"INVALID – batch ID missing",IF(AND(AR383=1,OR(NOT(ISNUMBER(X383)),NOT(ISNUMBER(Y383)))),"INVALID – expected/actual qty missing",IF(IF(AND(TRIM(U383)="Pass",ISNUMBER(AF383)),IF(AF383&lt;&gt;0,"INVALID – qty variance: use Fail or Pass after CA",""),"")&amp;IF(AND(TRIM(U383)="Pass",AB383="Open"),"INVALID – corrective action still open: use Fail, then Pass after CA","")&amp;IF(AND(TRIM(U383)="Pass after CA",OR(TRIM(AA383)="",AB383&lt;&gt;"Closed")),"INVALID – corrective action not recorded/closed","")&lt;&gt;"",IF(AND(TRIM(U383)="Pass",ISNUMBER(AF383)),IF(AF383&lt;&gt;0,"INVALID – qty variance: use Fail or Pass after CA",""),"")&amp;IF(AND(TRIM(U383)="Pass",AB383="Open"),"INVALID – corrective action still open: use Fail, then Pass after CA","")&amp;IF(AND(TRIM(U383)="Pass after CA",OR(TRIM(AA383)="",AB383&lt;&gt;"Closed")),"INVALID – corrective action not recorded/closed",""),IF(AND(AS383=1,Documents!$J$16&lt;&gt;"ON FILE"),"INVALID – GLD not on file (Documents sheet)",IF(AND(AS383=2,Documents!$O$16&lt;&gt;"ON FILE"),"INVALID – menu checklist not on file (Documents sheet)",IF(AND(AS383=3,NOT(ISNUMBER(Flights!$AX$16))),"INVALID – enter carrying flight KUL departure (Flights AX)",IF(AG383&gt;AsOfUTC,"INVALID – completion time is in the future",IF(AND(ISNUMBER(S383),AG383&lt;S383),IF(H383="Physical uplift","INVALID – before uplift window (cannot confirm loading)","INVALID – before valid window"),IF(AG383&gt;Flights!$AA$16,"INVALID – completed after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f>
        <v>OPEN</v>
      </c>
      <c r="AI383" s="61" t="n">
        <f aca="false">IF(OR(AH383="N/A – RULE",AH383="N/A – JUSTIFIED"),0,1)</f>
        <v>1</v>
      </c>
      <c r="AJ383" s="61" t="n">
        <f aca="false">IF(LEFT(AH383,8)="COMPLETE",1,0)</f>
        <v>0</v>
      </c>
      <c r="AK383" s="61" t="n">
        <f aca="false">IF(AND(AI383=1,AJ383=0,AsOfUTC&gt;Q383),1,0)</f>
        <v>0</v>
      </c>
      <c r="AL383" s="61" t="n">
        <f aca="false">IF(AND(AI383=1,OR(TRIM(U383)="Fail",AB383="Open",AND(ISNUMBER(AF383),AF383&lt;&gt;0,TRIM(U383)&lt;&gt;"Pass after CA"))),1,0)</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row>
    <row r="384" customFormat="false" ht="39.75" hidden="false" customHeight="true" outlineLevel="0" collapsed="false">
      <c r="A384" s="57" t="s">
        <v>960</v>
      </c>
      <c r="B384" s="57" t="s">
        <v>251</v>
      </c>
      <c r="C384" s="57" t="str">
        <f aca="false">Flights!$F$16</f>
        <v>MH0139</v>
      </c>
      <c r="D384" s="58" t="n">
        <f aca="false">Flights!$D$16</f>
        <v>46307</v>
      </c>
      <c r="E384" s="57" t="str">
        <f aca="false">Flights!$G$16&amp;"-"&amp;Flights!$H$16</f>
        <v>KUL-ADL</v>
      </c>
      <c r="F384" s="57" t="str">
        <f aca="false">Flights!$K$16</f>
        <v>BC</v>
      </c>
      <c r="G384" s="57" t="s">
        <v>74</v>
      </c>
      <c r="H384" s="57" t="s">
        <v>341</v>
      </c>
      <c r="I384" s="57" t="s">
        <v>361</v>
      </c>
      <c r="J384" s="57" t="s">
        <v>362</v>
      </c>
      <c r="K384" s="67" t="s">
        <v>363</v>
      </c>
      <c r="L384" s="67" t="s">
        <v>345</v>
      </c>
      <c r="M384" s="67"/>
      <c r="N384" s="67" t="s">
        <v>346</v>
      </c>
      <c r="O384" s="67"/>
      <c r="P384" s="57" t="s">
        <v>177</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IF(N384="N/A – rule","N/A – RULE",IF(TRIM(U384)="N/A",IF(AT384=0,"INVALID – N/A not permitted for this mandatory check",IF(AND(TRIM(AC384)&lt;&gt;"",TRIM(AE384)&lt;&gt;"",TRIM(T384)&lt;&gt;""),"N/A – JUSTIFIED","INVALID – N/A needs justification, PIC and verifier")),IF(OR(TRIM(U384)="Pass",TRIM(U384)="Pass after CA"),IF(NOT(ISNUMBER(AD384)),"INVALID – completion time missing",IF(TRIM(T384)="","INVALID – PIC missing",IF(TRIM(Z384)="","INVALID – evidence missing",IF(TRIM(AE384)="","INVALID – verifier missing",IF(AND(AQ384=1,TRIM(W384)=""),"INVALID – batch ID missing",IF(AND(AR384=1,OR(NOT(ISNUMBER(X384)),NOT(ISNUMBER(Y384)))),"INVALID – expected/actual qty missing",IF(IF(AND(TRIM(U384)="Pass",ISNUMBER(AF384)),IF(AF384&lt;&gt;0,"INVALID – qty variance: use Fail or Pass after CA",""),"")&amp;IF(AND(TRIM(U384)="Pass",AB384="Open"),"INVALID – corrective action still open: use Fail, then Pass after CA","")&amp;IF(AND(TRIM(U384)="Pass after CA",OR(TRIM(AA384)="",AB384&lt;&gt;"Closed")),"INVALID – corrective action not recorded/closed","")&lt;&gt;"",IF(AND(TRIM(U384)="Pass",ISNUMBER(AF384)),IF(AF384&lt;&gt;0,"INVALID – qty variance: use Fail or Pass after CA",""),"")&amp;IF(AND(TRIM(U384)="Pass",AB384="Open"),"INVALID – corrective action still open: use Fail, then Pass after CA","")&amp;IF(AND(TRIM(U384)="Pass after CA",OR(TRIM(AA384)="",AB384&lt;&gt;"Closed")),"INVALID – corrective action not recorded/closed",""),IF(AND(AS384=1,Documents!$J$16&lt;&gt;"ON FILE"),"INVALID – GLD not on file (Documents sheet)",IF(AND(AS384=2,Documents!$O$16&lt;&gt;"ON FILE"),"INVALID – menu checklist not on file (Documents sheet)",IF(AND(AS384=3,NOT(ISNUMBER(Flights!$AX$16))),"INVALID – enter carrying flight KUL departure (Flights AX)",IF(AG384&gt;AsOfUTC,"INVALID – completion time is in the future",IF(AND(ISNUMBER(S384),AG384&lt;S384),IF(H384="Physical uplift","INVALID – before uplift window (cannot confirm loading)","INVALID – before valid window"),IF(AG384&gt;Flights!$AA$16,"INVALID – completed after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f>
        <v>OPEN</v>
      </c>
      <c r="AI384" s="61" t="n">
        <f aca="false">IF(OR(AH384="N/A – RULE",AH384="N/A – JUSTIFIED"),0,1)</f>
        <v>1</v>
      </c>
      <c r="AJ384" s="61" t="n">
        <f aca="false">IF(LEFT(AH384,8)="COMPLETE",1,0)</f>
        <v>0</v>
      </c>
      <c r="AK384" s="61" t="n">
        <f aca="false">IF(AND(AI384=1,AJ384=0,AsOfUTC&gt;Q384),1,0)</f>
        <v>0</v>
      </c>
      <c r="AL384" s="61" t="n">
        <f aca="false">IF(AND(AI384=1,OR(TRIM(U384)="Fail",AB384="Open",AND(ISNUMBER(AF384),AF384&lt;&gt;0,TRIM(U384)&lt;&gt;"Pass after CA"))),1,0)</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row>
    <row r="385" customFormat="false" ht="39.75" hidden="false" customHeight="true" outlineLevel="0" collapsed="false">
      <c r="A385" s="57" t="s">
        <v>961</v>
      </c>
      <c r="B385" s="57" t="s">
        <v>251</v>
      </c>
      <c r="C385" s="57" t="str">
        <f aca="false">Flights!$F$16</f>
        <v>MH0139</v>
      </c>
      <c r="D385" s="58" t="n">
        <f aca="false">Flights!$D$16</f>
        <v>46307</v>
      </c>
      <c r="E385" s="57" t="str">
        <f aca="false">Flights!$G$16&amp;"-"&amp;Flights!$H$16</f>
        <v>KUL-ADL</v>
      </c>
      <c r="F385" s="57" t="str">
        <f aca="false">Flights!$K$16</f>
        <v>BC</v>
      </c>
      <c r="G385" s="57" t="s">
        <v>74</v>
      </c>
      <c r="H385" s="57" t="s">
        <v>341</v>
      </c>
      <c r="I385" s="57" t="s">
        <v>361</v>
      </c>
      <c r="J385" s="57" t="s">
        <v>365</v>
      </c>
      <c r="K385" s="67" t="s">
        <v>366</v>
      </c>
      <c r="L385" s="67" t="s">
        <v>345</v>
      </c>
      <c r="M385" s="67"/>
      <c r="N385" s="67" t="s">
        <v>346</v>
      </c>
      <c r="O385" s="67"/>
      <c r="P385" s="57" t="s">
        <v>177</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IF(N385="N/A – rule","N/A – RULE",IF(TRIM(U385)="N/A",IF(AT385=0,"INVALID – N/A not permitted for this mandatory check",IF(AND(TRIM(AC385)&lt;&gt;"",TRIM(AE385)&lt;&gt;"",TRIM(T385)&lt;&gt;""),"N/A – JUSTIFIED","INVALID – N/A needs justification, PIC and verifier")),IF(OR(TRIM(U385)="Pass",TRIM(U385)="Pass after CA"),IF(NOT(ISNUMBER(AD385)),"INVALID – completion time missing",IF(TRIM(T385)="","INVALID – PIC missing",IF(TRIM(Z385)="","INVALID – evidence missing",IF(TRIM(AE385)="","INVALID – verifier missing",IF(AND(AQ385=1,TRIM(W385)=""),"INVALID – batch ID missing",IF(AND(AR385=1,OR(NOT(ISNUMBER(X385)),NOT(ISNUMBER(Y385)))),"INVALID – expected/actual qty missing",IF(IF(AND(TRIM(U385)="Pass",ISNUMBER(AF385)),IF(AF385&lt;&gt;0,"INVALID – qty variance: use Fail or Pass after CA",""),"")&amp;IF(AND(TRIM(U385)="Pass",AB385="Open"),"INVALID – corrective action still open: use Fail, then Pass after CA","")&amp;IF(AND(TRIM(U385)="Pass after CA",OR(TRIM(AA385)="",AB385&lt;&gt;"Closed")),"INVALID – corrective action not recorded/closed","")&lt;&gt;"",IF(AND(TRIM(U385)="Pass",ISNUMBER(AF385)),IF(AF385&lt;&gt;0,"INVALID – qty variance: use Fail or Pass after CA",""),"")&amp;IF(AND(TRIM(U385)="Pass",AB385="Open"),"INVALID – corrective action still open: use Fail, then Pass after CA","")&amp;IF(AND(TRIM(U385)="Pass after CA",OR(TRIM(AA385)="",AB385&lt;&gt;"Closed")),"INVALID – corrective action not recorded/closed",""),IF(AND(AS385=1,Documents!$J$16&lt;&gt;"ON FILE"),"INVALID – GLD not on file (Documents sheet)",IF(AND(AS385=2,Documents!$O$16&lt;&gt;"ON FILE"),"INVALID – menu checklist not on file (Documents sheet)",IF(AND(AS385=3,NOT(ISNUMBER(Flights!$AX$16))),"INVALID – enter carrying flight KUL departure (Flights AX)",IF(AG385&gt;AsOfUTC,"INVALID – completion time is in the future",IF(AND(ISNUMBER(S385),AG385&lt;S385),IF(H385="Physical uplift","INVALID – before uplift window (cannot confirm loading)","INVALID – before valid window"),IF(AG385&gt;Flights!$AA$16,"INVALID – completed after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f>
        <v>OPEN</v>
      </c>
      <c r="AI385" s="61" t="n">
        <f aca="false">IF(OR(AH385="N/A – RULE",AH385="N/A – JUSTIFIED"),0,1)</f>
        <v>1</v>
      </c>
      <c r="AJ385" s="61" t="n">
        <f aca="false">IF(LEFT(AH385,8)="COMPLETE",1,0)</f>
        <v>0</v>
      </c>
      <c r="AK385" s="61" t="n">
        <f aca="false">IF(AND(AI385=1,AJ385=0,AsOfUTC&gt;Q385),1,0)</f>
        <v>0</v>
      </c>
      <c r="AL385" s="61" t="n">
        <f aca="false">IF(AND(AI385=1,OR(TRIM(U385)="Fail",AB385="Open",AND(ISNUMBER(AF385),AF385&lt;&gt;0,TRIM(U385)&lt;&gt;"Pass after CA"))),1,0)</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row>
    <row r="386" customFormat="false" ht="39.75" hidden="false" customHeight="true" outlineLevel="0" collapsed="false">
      <c r="A386" s="57" t="s">
        <v>962</v>
      </c>
      <c r="B386" s="57" t="s">
        <v>251</v>
      </c>
      <c r="C386" s="57" t="str">
        <f aca="false">Flights!$F$16</f>
        <v>MH0139</v>
      </c>
      <c r="D386" s="58" t="n">
        <f aca="false">Flights!$D$16</f>
        <v>46307</v>
      </c>
      <c r="E386" s="57" t="str">
        <f aca="false">Flights!$G$16&amp;"-"&amp;Flights!$H$16</f>
        <v>KUL-ADL</v>
      </c>
      <c r="F386" s="57" t="str">
        <f aca="false">Flights!$K$16</f>
        <v>BC</v>
      </c>
      <c r="G386" s="57" t="s">
        <v>74</v>
      </c>
      <c r="H386" s="57" t="s">
        <v>341</v>
      </c>
      <c r="I386" s="57" t="s">
        <v>368</v>
      </c>
      <c r="J386" s="57" t="s">
        <v>369</v>
      </c>
      <c r="K386" s="67" t="s">
        <v>370</v>
      </c>
      <c r="L386" s="67" t="s">
        <v>345</v>
      </c>
      <c r="M386" s="67"/>
      <c r="N386" s="67" t="s">
        <v>346</v>
      </c>
      <c r="O386" s="67"/>
      <c r="P386" s="57" t="s">
        <v>177</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IF(N386="N/A – rule","N/A – RULE",IF(TRIM(U386)="N/A",IF(AT386=0,"INVALID – N/A not permitted for this mandatory check",IF(AND(TRIM(AC386)&lt;&gt;"",TRIM(AE386)&lt;&gt;"",TRIM(T386)&lt;&gt;""),"N/A – JUSTIFIED","INVALID – N/A needs justification, PIC and verifier")),IF(OR(TRIM(U386)="Pass",TRIM(U386)="Pass after CA"),IF(NOT(ISNUMBER(AD386)),"INVALID – completion time missing",IF(TRIM(T386)="","INVALID – PIC missing",IF(TRIM(Z386)="","INVALID – evidence missing",IF(TRIM(AE386)="","INVALID – verifier missing",IF(AND(AQ386=1,TRIM(W386)=""),"INVALID – batch ID missing",IF(AND(AR386=1,OR(NOT(ISNUMBER(X386)),NOT(ISNUMBER(Y386)))),"INVALID – expected/actual qty missing",IF(IF(AND(TRIM(U386)="Pass",ISNUMBER(AF386)),IF(AF386&lt;&gt;0,"INVALID – qty variance: use Fail or Pass after CA",""),"")&amp;IF(AND(TRIM(U386)="Pass",AB386="Open"),"INVALID – corrective action still open: use Fail, then Pass after CA","")&amp;IF(AND(TRIM(U386)="Pass after CA",OR(TRIM(AA386)="",AB386&lt;&gt;"Closed")),"INVALID – corrective action not recorded/closed","")&lt;&gt;"",IF(AND(TRIM(U386)="Pass",ISNUMBER(AF386)),IF(AF386&lt;&gt;0,"INVALID – qty variance: use Fail or Pass after CA",""),"")&amp;IF(AND(TRIM(U386)="Pass",AB386="Open"),"INVALID – corrective action still open: use Fail, then Pass after CA","")&amp;IF(AND(TRIM(U386)="Pass after CA",OR(TRIM(AA386)="",AB386&lt;&gt;"Closed")),"INVALID – corrective action not recorded/closed",""),IF(AND(AS386=1,Documents!$J$16&lt;&gt;"ON FILE"),"INVALID – GLD not on file (Documents sheet)",IF(AND(AS386=2,Documents!$O$16&lt;&gt;"ON FILE"),"INVALID – menu checklist not on file (Documents sheet)",IF(AND(AS386=3,NOT(ISNUMBER(Flights!$AX$16))),"INVALID – enter carrying flight KUL departure (Flights AX)",IF(AG386&gt;AsOfUTC,"INVALID – completion time is in the future",IF(AND(ISNUMBER(S386),AG386&lt;S386),IF(H386="Physical uplift","INVALID – before uplift window (cannot confirm loading)","INVALID – before valid window"),IF(AG386&gt;Flights!$AA$16,"INVALID – completed after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f>
        <v>OPEN</v>
      </c>
      <c r="AI386" s="61" t="n">
        <f aca="false">IF(OR(AH386="N/A – RULE",AH386="N/A – JUSTIFIED"),0,1)</f>
        <v>1</v>
      </c>
      <c r="AJ386" s="61" t="n">
        <f aca="false">IF(LEFT(AH386,8)="COMPLETE",1,0)</f>
        <v>0</v>
      </c>
      <c r="AK386" s="61" t="n">
        <f aca="false">IF(AND(AI386=1,AJ386=0,AsOfUTC&gt;Q386),1,0)</f>
        <v>0</v>
      </c>
      <c r="AL386" s="61" t="n">
        <f aca="false">IF(AND(AI386=1,OR(TRIM(U386)="Fail",AB386="Open",AND(ISNUMBER(AF386),AF386&lt;&gt;0,TRIM(U386)&lt;&gt;"Pass after CA"))),1,0)</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row>
    <row r="387" customFormat="false" ht="39.75" hidden="false" customHeight="true" outlineLevel="0" collapsed="false">
      <c r="A387" s="57" t="s">
        <v>963</v>
      </c>
      <c r="B387" s="57" t="s">
        <v>251</v>
      </c>
      <c r="C387" s="57" t="str">
        <f aca="false">Flights!$F$16</f>
        <v>MH0139</v>
      </c>
      <c r="D387" s="58" t="n">
        <f aca="false">Flights!$D$16</f>
        <v>46307</v>
      </c>
      <c r="E387" s="57" t="str">
        <f aca="false">Flights!$G$16&amp;"-"&amp;Flights!$H$16</f>
        <v>KUL-ADL</v>
      </c>
      <c r="F387" s="57" t="str">
        <f aca="false">Flights!$K$16</f>
        <v>BC</v>
      </c>
      <c r="G387" s="57" t="s">
        <v>74</v>
      </c>
      <c r="H387" s="57" t="s">
        <v>341</v>
      </c>
      <c r="I387" s="57" t="s">
        <v>368</v>
      </c>
      <c r="J387" s="57" t="s">
        <v>372</v>
      </c>
      <c r="K387" s="67" t="s">
        <v>370</v>
      </c>
      <c r="L387" s="67" t="s">
        <v>345</v>
      </c>
      <c r="M387" s="67"/>
      <c r="N387" s="67" t="s">
        <v>346</v>
      </c>
      <c r="O387" s="67"/>
      <c r="P387" s="57" t="s">
        <v>177</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IF(N387="N/A – rule","N/A – RULE",IF(TRIM(U387)="N/A",IF(AT387=0,"INVALID – N/A not permitted for this mandatory check",IF(AND(TRIM(AC387)&lt;&gt;"",TRIM(AE387)&lt;&gt;"",TRIM(T387)&lt;&gt;""),"N/A – JUSTIFIED","INVALID – N/A needs justification, PIC and verifier")),IF(OR(TRIM(U387)="Pass",TRIM(U387)="Pass after CA"),IF(NOT(ISNUMBER(AD387)),"INVALID – completion time missing",IF(TRIM(T387)="","INVALID – PIC missing",IF(TRIM(Z387)="","INVALID – evidence missing",IF(TRIM(AE387)="","INVALID – verifier missing",IF(AND(AQ387=1,TRIM(W387)=""),"INVALID – batch ID missing",IF(AND(AR387=1,OR(NOT(ISNUMBER(X387)),NOT(ISNUMBER(Y387)))),"INVALID – expected/actual qty missing",IF(IF(AND(TRIM(U387)="Pass",ISNUMBER(AF387)),IF(AF387&lt;&gt;0,"INVALID – qty variance: use Fail or Pass after CA",""),"")&amp;IF(AND(TRIM(U387)="Pass",AB387="Open"),"INVALID – corrective action still open: use Fail, then Pass after CA","")&amp;IF(AND(TRIM(U387)="Pass after CA",OR(TRIM(AA387)="",AB387&lt;&gt;"Closed")),"INVALID – corrective action not recorded/closed","")&lt;&gt;"",IF(AND(TRIM(U387)="Pass",ISNUMBER(AF387)),IF(AF387&lt;&gt;0,"INVALID – qty variance: use Fail or Pass after CA",""),"")&amp;IF(AND(TRIM(U387)="Pass",AB387="Open"),"INVALID – corrective action still open: use Fail, then Pass after CA","")&amp;IF(AND(TRIM(U387)="Pass after CA",OR(TRIM(AA387)="",AB387&lt;&gt;"Closed")),"INVALID – corrective action not recorded/closed",""),IF(AND(AS387=1,Documents!$J$16&lt;&gt;"ON FILE"),"INVALID – GLD not on file (Documents sheet)",IF(AND(AS387=2,Documents!$O$16&lt;&gt;"ON FILE"),"INVALID – menu checklist not on file (Documents sheet)",IF(AND(AS387=3,NOT(ISNUMBER(Flights!$AX$16))),"INVALID – enter carrying flight KUL departure (Flights AX)",IF(AG387&gt;AsOfUTC,"INVALID – completion time is in the future",IF(AND(ISNUMBER(S387),AG387&lt;S387),IF(H387="Physical uplift","INVALID – before uplift window (cannot confirm loading)","INVALID – before valid window"),IF(AG387&gt;Flights!$AA$16,"INVALID – completed after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f>
        <v>OPEN</v>
      </c>
      <c r="AI387" s="61" t="n">
        <f aca="false">IF(OR(AH387="N/A – RULE",AH387="N/A – JUSTIFIED"),0,1)</f>
        <v>1</v>
      </c>
      <c r="AJ387" s="61" t="n">
        <f aca="false">IF(LEFT(AH387,8)="COMPLETE",1,0)</f>
        <v>0</v>
      </c>
      <c r="AK387" s="61" t="n">
        <f aca="false">IF(AND(AI387=1,AJ387=0,AsOfUTC&gt;Q387),1,0)</f>
        <v>0</v>
      </c>
      <c r="AL387" s="61" t="n">
        <f aca="false">IF(AND(AI387=1,OR(TRIM(U387)="Fail",AB387="Open",AND(ISNUMBER(AF387),AF387&lt;&gt;0,TRIM(U387)&lt;&gt;"Pass after CA"))),1,0)</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row>
    <row r="388" customFormat="false" ht="39.75" hidden="false" customHeight="true" outlineLevel="0" collapsed="false">
      <c r="A388" s="57" t="s">
        <v>964</v>
      </c>
      <c r="B388" s="57" t="s">
        <v>251</v>
      </c>
      <c r="C388" s="57" t="str">
        <f aca="false">Flights!$F$16</f>
        <v>MH0139</v>
      </c>
      <c r="D388" s="58" t="n">
        <f aca="false">Flights!$D$16</f>
        <v>46307</v>
      </c>
      <c r="E388" s="57" t="str">
        <f aca="false">Flights!$G$16&amp;"-"&amp;Flights!$H$16</f>
        <v>KUL-ADL</v>
      </c>
      <c r="F388" s="57" t="str">
        <f aca="false">Flights!$K$16</f>
        <v>BC</v>
      </c>
      <c r="G388" s="57" t="s">
        <v>74</v>
      </c>
      <c r="H388" s="57" t="s">
        <v>341</v>
      </c>
      <c r="I388" s="57" t="s">
        <v>374</v>
      </c>
      <c r="J388" s="57" t="s">
        <v>375</v>
      </c>
      <c r="K388" s="67" t="s">
        <v>965</v>
      </c>
      <c r="L388" s="67" t="s">
        <v>966</v>
      </c>
      <c r="M388" s="67"/>
      <c r="N388" s="67" t="s">
        <v>346</v>
      </c>
      <c r="O388" s="67"/>
      <c r="P388" s="57" t="s">
        <v>177</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IF(N388="N/A – rule","N/A – RULE",IF(TRIM(U388)="N/A",IF(AT388=0,"INVALID – N/A not permitted for this mandatory check",IF(AND(TRIM(AC388)&lt;&gt;"",TRIM(AE388)&lt;&gt;"",TRIM(T388)&lt;&gt;""),"N/A – JUSTIFIED","INVALID – N/A needs justification, PIC and verifier")),IF(OR(TRIM(U388)="Pass",TRIM(U388)="Pass after CA"),IF(NOT(ISNUMBER(AD388)),"INVALID – completion time missing",IF(TRIM(T388)="","INVALID – PIC missing",IF(TRIM(Z388)="","INVALID – evidence missing",IF(TRIM(AE388)="","INVALID – verifier missing",IF(AND(AQ388=1,TRIM(W388)=""),"INVALID – batch ID missing",IF(AND(AR388=1,OR(NOT(ISNUMBER(X388)),NOT(ISNUMBER(Y388)))),"INVALID – expected/actual qty missing",IF(IF(AND(TRIM(U388)="Pass",ISNUMBER(AF388)),IF(AF388&lt;&gt;0,"INVALID – qty variance: use Fail or Pass after CA",""),"")&amp;IF(AND(TRIM(U388)="Pass",AB388="Open"),"INVALID – corrective action still open: use Fail, then Pass after CA","")&amp;IF(AND(TRIM(U388)="Pass after CA",OR(TRIM(AA388)="",AB388&lt;&gt;"Closed")),"INVALID – corrective action not recorded/closed","")&lt;&gt;"",IF(AND(TRIM(U388)="Pass",ISNUMBER(AF388)),IF(AF388&lt;&gt;0,"INVALID – qty variance: use Fail or Pass after CA",""),"")&amp;IF(AND(TRIM(U388)="Pass",AB388="Open"),"INVALID – corrective action still open: use Fail, then Pass after CA","")&amp;IF(AND(TRIM(U388)="Pass after CA",OR(TRIM(AA388)="",AB388&lt;&gt;"Closed")),"INVALID – corrective action not recorded/closed",""),IF(AND(AS388=1,Documents!$J$16&lt;&gt;"ON FILE"),"INVALID – GLD not on file (Documents sheet)",IF(AND(AS388=2,Documents!$O$16&lt;&gt;"ON FILE"),"INVALID – menu checklist not on file (Documents sheet)",IF(AND(AS388=3,NOT(ISNUMBER(Flights!$AX$16))),"INVALID – enter carrying flight KUL departure (Flights AX)",IF(AG388&gt;AsOfUTC,"INVALID – completion time is in the future",IF(AND(ISNUMBER(S388),AG388&lt;S388),IF(H388="Physical uplift","INVALID – before uplift window (cannot confirm loading)","INVALID – before valid window"),IF(AG388&gt;Flights!$AA$16,"INVALID – completed after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f>
        <v>OPEN</v>
      </c>
      <c r="AI388" s="61" t="n">
        <f aca="false">IF(OR(AH388="N/A – RULE",AH388="N/A – JUSTIFIED"),0,1)</f>
        <v>1</v>
      </c>
      <c r="AJ388" s="61" t="n">
        <f aca="false">IF(LEFT(AH388,8)="COMPLETE",1,0)</f>
        <v>0</v>
      </c>
      <c r="AK388" s="61" t="n">
        <f aca="false">IF(AND(AI388=1,AJ388=0,AsOfUTC&gt;Q388),1,0)</f>
        <v>0</v>
      </c>
      <c r="AL388" s="61" t="n">
        <f aca="false">IF(AND(AI388=1,OR(TRIM(U388)="Fail",AB388="Open",AND(ISNUMBER(AF388),AF388&lt;&gt;0,TRIM(U388)&lt;&gt;"Pass after CA"))),1,0)</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row>
    <row r="389" customFormat="false" ht="39.75" hidden="false" customHeight="true" outlineLevel="0" collapsed="false">
      <c r="A389" s="57" t="s">
        <v>967</v>
      </c>
      <c r="B389" s="57" t="s">
        <v>251</v>
      </c>
      <c r="C389" s="57" t="str">
        <f aca="false">Flights!$F$16</f>
        <v>MH0139</v>
      </c>
      <c r="D389" s="58" t="n">
        <f aca="false">Flights!$D$16</f>
        <v>46307</v>
      </c>
      <c r="E389" s="57" t="str">
        <f aca="false">Flights!$G$16&amp;"-"&amp;Flights!$H$16</f>
        <v>KUL-ADL</v>
      </c>
      <c r="F389" s="57" t="str">
        <f aca="false">Flights!$K$16</f>
        <v>BC</v>
      </c>
      <c r="G389" s="57" t="s">
        <v>76</v>
      </c>
      <c r="H389" s="57" t="s">
        <v>341</v>
      </c>
      <c r="I389" s="57" t="s">
        <v>342</v>
      </c>
      <c r="J389" s="57" t="s">
        <v>379</v>
      </c>
      <c r="K389" s="67" t="s">
        <v>380</v>
      </c>
      <c r="L389" s="67" t="s">
        <v>381</v>
      </c>
      <c r="M389" s="67"/>
      <c r="N389" s="67" t="s">
        <v>346</v>
      </c>
      <c r="O389" s="67"/>
      <c r="P389" s="57" t="s">
        <v>177</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IF(N389="N/A – rule","N/A – RULE",IF(TRIM(U389)="N/A",IF(AT389=0,"INVALID – N/A not permitted for this mandatory check",IF(AND(TRIM(AC389)&lt;&gt;"",TRIM(AE389)&lt;&gt;"",TRIM(T389)&lt;&gt;""),"N/A – JUSTIFIED","INVALID – N/A needs justification, PIC and verifier")),IF(OR(TRIM(U389)="Pass",TRIM(U389)="Pass after CA"),IF(NOT(ISNUMBER(AD389)),"INVALID – completion time missing",IF(TRIM(T389)="","INVALID – PIC missing",IF(TRIM(Z389)="","INVALID – evidence missing",IF(TRIM(AE389)="","INVALID – verifier missing",IF(AND(AQ389=1,TRIM(W389)=""),"INVALID – batch ID missing",IF(AND(AR389=1,OR(NOT(ISNUMBER(X389)),NOT(ISNUMBER(Y389)))),"INVALID – expected/actual qty missing",IF(IF(AND(TRIM(U389)="Pass",ISNUMBER(AF389)),IF(AF389&lt;&gt;0,"INVALID – qty variance: use Fail or Pass after CA",""),"")&amp;IF(AND(TRIM(U389)="Pass",AB389="Open"),"INVALID – corrective action still open: use Fail, then Pass after CA","")&amp;IF(AND(TRIM(U389)="Pass after CA",OR(TRIM(AA389)="",AB389&lt;&gt;"Closed")),"INVALID – corrective action not recorded/closed","")&lt;&gt;"",IF(AND(TRIM(U389)="Pass",ISNUMBER(AF389)),IF(AF389&lt;&gt;0,"INVALID – qty variance: use Fail or Pass after CA",""),"")&amp;IF(AND(TRIM(U389)="Pass",AB389="Open"),"INVALID – corrective action still open: use Fail, then Pass after CA","")&amp;IF(AND(TRIM(U389)="Pass after CA",OR(TRIM(AA389)="",AB389&lt;&gt;"Closed")),"INVALID – corrective action not recorded/closed",""),IF(AND(AS389=1,Documents!$J$16&lt;&gt;"ON FILE"),"INVALID – GLD not on file (Documents sheet)",IF(AND(AS389=2,Documents!$O$16&lt;&gt;"ON FILE"),"INVALID – menu checklist not on file (Documents sheet)",IF(AND(AS389=3,NOT(ISNUMBER(Flights!$AX$16))),"INVALID – enter carrying flight KUL departure (Flights AX)",IF(AG389&gt;AsOfUTC,"INVALID – completion time is in the future",IF(AND(ISNUMBER(S389),AG389&lt;S389),IF(H389="Physical uplift","INVALID – before uplift window (cannot confirm loading)","INVALID – before valid window"),IF(AG389&gt;Flights!$AA$16,"INVALID – completed after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f>
        <v>OPEN</v>
      </c>
      <c r="AI389" s="61" t="n">
        <f aca="false">IF(OR(AH389="N/A – RULE",AH389="N/A – JUSTIFIED"),0,1)</f>
        <v>1</v>
      </c>
      <c r="AJ389" s="61" t="n">
        <f aca="false">IF(LEFT(AH389,8)="COMPLETE",1,0)</f>
        <v>0</v>
      </c>
      <c r="AK389" s="61" t="n">
        <f aca="false">IF(AND(AI389=1,AJ389=0,AsOfUTC&gt;Q389),1,0)</f>
        <v>0</v>
      </c>
      <c r="AL389" s="61" t="n">
        <f aca="false">IF(AND(AI389=1,OR(TRIM(U389)="Fail",AB389="Open",AND(ISNUMBER(AF389),AF389&lt;&gt;0,TRIM(U389)&lt;&gt;"Pass after CA"))),1,0)</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row>
    <row r="390" customFormat="false" ht="39.75" hidden="false" customHeight="true" outlineLevel="0" collapsed="false">
      <c r="A390" s="57" t="s">
        <v>968</v>
      </c>
      <c r="B390" s="57" t="s">
        <v>251</v>
      </c>
      <c r="C390" s="57" t="str">
        <f aca="false">Flights!$F$16</f>
        <v>MH0139</v>
      </c>
      <c r="D390" s="58" t="n">
        <f aca="false">Flights!$D$16</f>
        <v>46307</v>
      </c>
      <c r="E390" s="57" t="str">
        <f aca="false">Flights!$G$16&amp;"-"&amp;Flights!$H$16</f>
        <v>KUL-ADL</v>
      </c>
      <c r="F390" s="57" t="str">
        <f aca="false">Flights!$K$16</f>
        <v>BC</v>
      </c>
      <c r="G390" s="57" t="s">
        <v>383</v>
      </c>
      <c r="H390" s="57" t="s">
        <v>341</v>
      </c>
      <c r="I390" s="57" t="s">
        <v>342</v>
      </c>
      <c r="J390" s="57" t="s">
        <v>384</v>
      </c>
      <c r="K390" s="67"/>
      <c r="L390" s="67" t="s">
        <v>385</v>
      </c>
      <c r="M390" s="67"/>
      <c r="N390" s="67" t="s">
        <v>346</v>
      </c>
      <c r="O390" s="67" t="s">
        <v>386</v>
      </c>
      <c r="P390" s="57" t="s">
        <v>177</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IF(N390="N/A – rule","N/A – RULE",IF(TRIM(U390)="N/A",IF(AT390=0,"INVALID – N/A not permitted for this mandatory check",IF(AND(TRIM(AC390)&lt;&gt;"",TRIM(AE390)&lt;&gt;"",TRIM(T390)&lt;&gt;""),"N/A – JUSTIFIED","INVALID – N/A needs justification, PIC and verifier")),IF(OR(TRIM(U390)="Pass",TRIM(U390)="Pass after CA"),IF(NOT(ISNUMBER(AD390)),"INVALID – completion time missing",IF(TRIM(T390)="","INVALID – PIC missing",IF(TRIM(Z390)="","INVALID – evidence missing",IF(TRIM(AE390)="","INVALID – verifier missing",IF(AND(AQ390=1,TRIM(W390)=""),"INVALID – batch ID missing",IF(AND(AR390=1,OR(NOT(ISNUMBER(X390)),NOT(ISNUMBER(Y390)))),"INVALID – expected/actual qty missing",IF(IF(AND(TRIM(U390)="Pass",ISNUMBER(AF390)),IF(AF390&lt;&gt;0,"INVALID – qty variance: use Fail or Pass after CA",""),"")&amp;IF(AND(TRIM(U390)="Pass",AB390="Open"),"INVALID – corrective action still open: use Fail, then Pass after CA","")&amp;IF(AND(TRIM(U390)="Pass after CA",OR(TRIM(AA390)="",AB390&lt;&gt;"Closed")),"INVALID – corrective action not recorded/closed","")&lt;&gt;"",IF(AND(TRIM(U390)="Pass",ISNUMBER(AF390)),IF(AF390&lt;&gt;0,"INVALID – qty variance: use Fail or Pass after CA",""),"")&amp;IF(AND(TRIM(U390)="Pass",AB390="Open"),"INVALID – corrective action still open: use Fail, then Pass after CA","")&amp;IF(AND(TRIM(U390)="Pass after CA",OR(TRIM(AA390)="",AB390&lt;&gt;"Closed")),"INVALID – corrective action not recorded/closed",""),IF(AND(AS390=1,Documents!$J$16&lt;&gt;"ON FILE"),"INVALID – GLD not on file (Documents sheet)",IF(AND(AS390=2,Documents!$O$16&lt;&gt;"ON FILE"),"INVALID – menu checklist not on file (Documents sheet)",IF(AND(AS390=3,NOT(ISNUMBER(Flights!$AX$16))),"INVALID – enter carrying flight KUL departure (Flights AX)",IF(AG390&gt;AsOfUTC,"INVALID – completion time is in the future",IF(AND(ISNUMBER(S390),AG390&lt;S390),IF(H390="Physical uplift","INVALID – before uplift window (cannot confirm loading)","INVALID – before valid window"),IF(AG390&gt;Flights!$AA$16,"INVALID – completed after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f>
        <v>OPEN</v>
      </c>
      <c r="AI390" s="61" t="n">
        <f aca="false">IF(OR(AH390="N/A – RULE",AH390="N/A – JUSTIFIED"),0,1)</f>
        <v>1</v>
      </c>
      <c r="AJ390" s="61" t="n">
        <f aca="false">IF(LEFT(AH390,8)="COMPLETE",1,0)</f>
        <v>0</v>
      </c>
      <c r="AK390" s="61" t="n">
        <f aca="false">IF(AND(AI390=1,AJ390=0,AsOfUTC&gt;Q390),1,0)</f>
        <v>0</v>
      </c>
      <c r="AL390" s="61" t="n">
        <f aca="false">IF(AND(AI390=1,OR(TRIM(U390)="Fail",AB390="Open",AND(ISNUMBER(AF390),AF390&lt;&gt;0,TRIM(U390)&lt;&gt;"Pass after CA"))),1,0)</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row>
    <row r="391" customFormat="false" ht="39.75" hidden="false" customHeight="true" outlineLevel="0" collapsed="false">
      <c r="A391" s="57" t="s">
        <v>969</v>
      </c>
      <c r="B391" s="57" t="s">
        <v>251</v>
      </c>
      <c r="C391" s="57" t="str">
        <f aca="false">Flights!$F$16</f>
        <v>MH0139</v>
      </c>
      <c r="D391" s="58" t="n">
        <f aca="false">Flights!$D$16</f>
        <v>46307</v>
      </c>
      <c r="E391" s="57" t="str">
        <f aca="false">Flights!$G$16&amp;"-"&amp;Flights!$H$16</f>
        <v>KUL-ADL</v>
      </c>
      <c r="F391" s="57" t="str">
        <f aca="false">Flights!$K$16</f>
        <v>BC</v>
      </c>
      <c r="G391" s="57" t="s">
        <v>383</v>
      </c>
      <c r="H391" s="57" t="s">
        <v>341</v>
      </c>
      <c r="I391" s="57" t="s">
        <v>342</v>
      </c>
      <c r="J391" s="57" t="s">
        <v>388</v>
      </c>
      <c r="K391" s="67" t="s">
        <v>389</v>
      </c>
      <c r="L391" s="67" t="s">
        <v>385</v>
      </c>
      <c r="M391" s="67"/>
      <c r="N391" s="67" t="s">
        <v>346</v>
      </c>
      <c r="O391" s="67" t="s">
        <v>386</v>
      </c>
      <c r="P391" s="57" t="s">
        <v>177</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IF(N391="N/A – rule","N/A – RULE",IF(TRIM(U391)="N/A",IF(AT391=0,"INVALID – N/A not permitted for this mandatory check",IF(AND(TRIM(AC391)&lt;&gt;"",TRIM(AE391)&lt;&gt;"",TRIM(T391)&lt;&gt;""),"N/A – JUSTIFIED","INVALID – N/A needs justification, PIC and verifier")),IF(OR(TRIM(U391)="Pass",TRIM(U391)="Pass after CA"),IF(NOT(ISNUMBER(AD391)),"INVALID – completion time missing",IF(TRIM(T391)="","INVALID – PIC missing",IF(TRIM(Z391)="","INVALID – evidence missing",IF(TRIM(AE391)="","INVALID – verifier missing",IF(AND(AQ391=1,TRIM(W391)=""),"INVALID – batch ID missing",IF(AND(AR391=1,OR(NOT(ISNUMBER(X391)),NOT(ISNUMBER(Y391)))),"INVALID – expected/actual qty missing",IF(IF(AND(TRIM(U391)="Pass",ISNUMBER(AF391)),IF(AF391&lt;&gt;0,"INVALID – qty variance: use Fail or Pass after CA",""),"")&amp;IF(AND(TRIM(U391)="Pass",AB391="Open"),"INVALID – corrective action still open: use Fail, then Pass after CA","")&amp;IF(AND(TRIM(U391)="Pass after CA",OR(TRIM(AA391)="",AB391&lt;&gt;"Closed")),"INVALID – corrective action not recorded/closed","")&lt;&gt;"",IF(AND(TRIM(U391)="Pass",ISNUMBER(AF391)),IF(AF391&lt;&gt;0,"INVALID – qty variance: use Fail or Pass after CA",""),"")&amp;IF(AND(TRIM(U391)="Pass",AB391="Open"),"INVALID – corrective action still open: use Fail, then Pass after CA","")&amp;IF(AND(TRIM(U391)="Pass after CA",OR(TRIM(AA391)="",AB391&lt;&gt;"Closed")),"INVALID – corrective action not recorded/closed",""),IF(AND(AS391=1,Documents!$J$16&lt;&gt;"ON FILE"),"INVALID – GLD not on file (Documents sheet)",IF(AND(AS391=2,Documents!$O$16&lt;&gt;"ON FILE"),"INVALID – menu checklist not on file (Documents sheet)",IF(AND(AS391=3,NOT(ISNUMBER(Flights!$AX$16))),"INVALID – enter carrying flight KUL departure (Flights AX)",IF(AG391&gt;AsOfUTC,"INVALID – completion time is in the future",IF(AND(ISNUMBER(S391),AG391&lt;S391),IF(H391="Physical uplift","INVALID – before uplift window (cannot confirm loading)","INVALID – before valid window"),IF(AG391&gt;Flights!$AA$16,"INVALID – completed after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f>
        <v>OPEN</v>
      </c>
      <c r="AI391" s="61" t="n">
        <f aca="false">IF(OR(AH391="N/A – RULE",AH391="N/A – JUSTIFIED"),0,1)</f>
        <v>1</v>
      </c>
      <c r="AJ391" s="61" t="n">
        <f aca="false">IF(LEFT(AH391,8)="COMPLETE",1,0)</f>
        <v>0</v>
      </c>
      <c r="AK391" s="61" t="n">
        <f aca="false">IF(AND(AI391=1,AJ391=0,AsOfUTC&gt;Q391),1,0)</f>
        <v>0</v>
      </c>
      <c r="AL391" s="61" t="n">
        <f aca="false">IF(AND(AI391=1,OR(TRIM(U391)="Fail",AB391="Open",AND(ISNUMBER(AF391),AF391&lt;&gt;0,TRIM(U391)&lt;&gt;"Pass after CA"))),1,0)</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row>
    <row r="392" customFormat="false" ht="39.75" hidden="false" customHeight="true" outlineLevel="0" collapsed="false">
      <c r="A392" s="57" t="s">
        <v>970</v>
      </c>
      <c r="B392" s="57" t="s">
        <v>251</v>
      </c>
      <c r="C392" s="57" t="str">
        <f aca="false">Flights!$F$16</f>
        <v>MH0139</v>
      </c>
      <c r="D392" s="58" t="n">
        <f aca="false">Flights!$D$16</f>
        <v>46307</v>
      </c>
      <c r="E392" s="57" t="str">
        <f aca="false">Flights!$G$16&amp;"-"&amp;Flights!$H$16</f>
        <v>KUL-ADL</v>
      </c>
      <c r="F392" s="57" t="str">
        <f aca="false">Flights!$K$16</f>
        <v>BC</v>
      </c>
      <c r="G392" s="57" t="s">
        <v>383</v>
      </c>
      <c r="H392" s="57" t="s">
        <v>341</v>
      </c>
      <c r="I392" s="57" t="s">
        <v>391</v>
      </c>
      <c r="J392" s="57" t="s">
        <v>392</v>
      </c>
      <c r="K392" s="67"/>
      <c r="L392" s="67" t="s">
        <v>385</v>
      </c>
      <c r="M392" s="67"/>
      <c r="N392" s="67" t="s">
        <v>346</v>
      </c>
      <c r="O392" s="67" t="s">
        <v>386</v>
      </c>
      <c r="P392" s="57" t="s">
        <v>177</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IF(N392="N/A – rule","N/A – RULE",IF(TRIM(U392)="N/A",IF(AT392=0,"INVALID – N/A not permitted for this mandatory check",IF(AND(TRIM(AC392)&lt;&gt;"",TRIM(AE392)&lt;&gt;"",TRIM(T392)&lt;&gt;""),"N/A – JUSTIFIED","INVALID – N/A needs justification, PIC and verifier")),IF(OR(TRIM(U392)="Pass",TRIM(U392)="Pass after CA"),IF(NOT(ISNUMBER(AD392)),"INVALID – completion time missing",IF(TRIM(T392)="","INVALID – PIC missing",IF(TRIM(Z392)="","INVALID – evidence missing",IF(TRIM(AE392)="","INVALID – verifier missing",IF(AND(AQ392=1,TRIM(W392)=""),"INVALID – batch ID missing",IF(AND(AR392=1,OR(NOT(ISNUMBER(X392)),NOT(ISNUMBER(Y392)))),"INVALID – expected/actual qty missing",IF(IF(AND(TRIM(U392)="Pass",ISNUMBER(AF392)),IF(AF392&lt;&gt;0,"INVALID – qty variance: use Fail or Pass after CA",""),"")&amp;IF(AND(TRIM(U392)="Pass",AB392="Open"),"INVALID – corrective action still open: use Fail, then Pass after CA","")&amp;IF(AND(TRIM(U392)="Pass after CA",OR(TRIM(AA392)="",AB392&lt;&gt;"Closed")),"INVALID – corrective action not recorded/closed","")&lt;&gt;"",IF(AND(TRIM(U392)="Pass",ISNUMBER(AF392)),IF(AF392&lt;&gt;0,"INVALID – qty variance: use Fail or Pass after CA",""),"")&amp;IF(AND(TRIM(U392)="Pass",AB392="Open"),"INVALID – corrective action still open: use Fail, then Pass after CA","")&amp;IF(AND(TRIM(U392)="Pass after CA",OR(TRIM(AA392)="",AB392&lt;&gt;"Closed")),"INVALID – corrective action not recorded/closed",""),IF(AND(AS392=1,Documents!$J$16&lt;&gt;"ON FILE"),"INVALID – GLD not on file (Documents sheet)",IF(AND(AS392=2,Documents!$O$16&lt;&gt;"ON FILE"),"INVALID – menu checklist not on file (Documents sheet)",IF(AND(AS392=3,NOT(ISNUMBER(Flights!$AX$16))),"INVALID – enter carrying flight KUL departure (Flights AX)",IF(AG392&gt;AsOfUTC,"INVALID – completion time is in the future",IF(AND(ISNUMBER(S392),AG392&lt;S392),IF(H392="Physical uplift","INVALID – before uplift window (cannot confirm loading)","INVALID – before valid window"),IF(AG392&gt;Flights!$AA$16,"INVALID – completed after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f>
        <v>OPEN</v>
      </c>
      <c r="AI392" s="61" t="n">
        <f aca="false">IF(OR(AH392="N/A – RULE",AH392="N/A – JUSTIFIED"),0,1)</f>
        <v>1</v>
      </c>
      <c r="AJ392" s="61" t="n">
        <f aca="false">IF(LEFT(AH392,8)="COMPLETE",1,0)</f>
        <v>0</v>
      </c>
      <c r="AK392" s="61" t="n">
        <f aca="false">IF(AND(AI392=1,AJ392=0,AsOfUTC&gt;Q392),1,0)</f>
        <v>0</v>
      </c>
      <c r="AL392" s="61" t="n">
        <f aca="false">IF(AND(AI392=1,OR(TRIM(U392)="Fail",AB392="Open",AND(ISNUMBER(AF392),AF392&lt;&gt;0,TRIM(U392)&lt;&gt;"Pass after CA"))),1,0)</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row>
    <row r="393" customFormat="false" ht="39.75" hidden="false" customHeight="true" outlineLevel="0" collapsed="false">
      <c r="A393" s="57" t="s">
        <v>971</v>
      </c>
      <c r="B393" s="57" t="s">
        <v>251</v>
      </c>
      <c r="C393" s="57" t="str">
        <f aca="false">Flights!$F$16</f>
        <v>MH0139</v>
      </c>
      <c r="D393" s="58" t="n">
        <f aca="false">Flights!$D$16</f>
        <v>46307</v>
      </c>
      <c r="E393" s="57" t="str">
        <f aca="false">Flights!$G$16&amp;"-"&amp;Flights!$H$16</f>
        <v>KUL-ADL</v>
      </c>
      <c r="F393" s="57" t="str">
        <f aca="false">Flights!$K$16</f>
        <v>BC</v>
      </c>
      <c r="G393" s="57" t="s">
        <v>383</v>
      </c>
      <c r="H393" s="57" t="s">
        <v>341</v>
      </c>
      <c r="I393" s="57" t="s">
        <v>391</v>
      </c>
      <c r="J393" s="57" t="s">
        <v>394</v>
      </c>
      <c r="K393" s="67"/>
      <c r="L393" s="67" t="s">
        <v>385</v>
      </c>
      <c r="M393" s="67"/>
      <c r="N393" s="67" t="s">
        <v>346</v>
      </c>
      <c r="O393" s="67" t="s">
        <v>386</v>
      </c>
      <c r="P393" s="57" t="s">
        <v>177</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IF(N393="N/A – rule","N/A – RULE",IF(TRIM(U393)="N/A",IF(AT393=0,"INVALID – N/A not permitted for this mandatory check",IF(AND(TRIM(AC393)&lt;&gt;"",TRIM(AE393)&lt;&gt;"",TRIM(T393)&lt;&gt;""),"N/A – JUSTIFIED","INVALID – N/A needs justification, PIC and verifier")),IF(OR(TRIM(U393)="Pass",TRIM(U393)="Pass after CA"),IF(NOT(ISNUMBER(AD393)),"INVALID – completion time missing",IF(TRIM(T393)="","INVALID – PIC missing",IF(TRIM(Z393)="","INVALID – evidence missing",IF(TRIM(AE393)="","INVALID – verifier missing",IF(AND(AQ393=1,TRIM(W393)=""),"INVALID – batch ID missing",IF(AND(AR393=1,OR(NOT(ISNUMBER(X393)),NOT(ISNUMBER(Y393)))),"INVALID – expected/actual qty missing",IF(IF(AND(TRIM(U393)="Pass",ISNUMBER(AF393)),IF(AF393&lt;&gt;0,"INVALID – qty variance: use Fail or Pass after CA",""),"")&amp;IF(AND(TRIM(U393)="Pass",AB393="Open"),"INVALID – corrective action still open: use Fail, then Pass after CA","")&amp;IF(AND(TRIM(U393)="Pass after CA",OR(TRIM(AA393)="",AB393&lt;&gt;"Closed")),"INVALID – corrective action not recorded/closed","")&lt;&gt;"",IF(AND(TRIM(U393)="Pass",ISNUMBER(AF393)),IF(AF393&lt;&gt;0,"INVALID – qty variance: use Fail or Pass after CA",""),"")&amp;IF(AND(TRIM(U393)="Pass",AB393="Open"),"INVALID – corrective action still open: use Fail, then Pass after CA","")&amp;IF(AND(TRIM(U393)="Pass after CA",OR(TRIM(AA393)="",AB393&lt;&gt;"Closed")),"INVALID – corrective action not recorded/closed",""),IF(AND(AS393=1,Documents!$J$16&lt;&gt;"ON FILE"),"INVALID – GLD not on file (Documents sheet)",IF(AND(AS393=2,Documents!$O$16&lt;&gt;"ON FILE"),"INVALID – menu checklist not on file (Documents sheet)",IF(AND(AS393=3,NOT(ISNUMBER(Flights!$AX$16))),"INVALID – enter carrying flight KUL departure (Flights AX)",IF(AG393&gt;AsOfUTC,"INVALID – completion time is in the future",IF(AND(ISNUMBER(S393),AG393&lt;S393),IF(H393="Physical uplift","INVALID – before uplift window (cannot confirm loading)","INVALID – before valid window"),IF(AG393&gt;Flights!$AA$16,"INVALID – completed after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f>
        <v>OPEN</v>
      </c>
      <c r="AI393" s="61" t="n">
        <f aca="false">IF(OR(AH393="N/A – RULE",AH393="N/A – JUSTIFIED"),0,1)</f>
        <v>1</v>
      </c>
      <c r="AJ393" s="61" t="n">
        <f aca="false">IF(LEFT(AH393,8)="COMPLETE",1,0)</f>
        <v>0</v>
      </c>
      <c r="AK393" s="61" t="n">
        <f aca="false">IF(AND(AI393=1,AJ393=0,AsOfUTC&gt;Q393),1,0)</f>
        <v>0</v>
      </c>
      <c r="AL393" s="61" t="n">
        <f aca="false">IF(AND(AI393=1,OR(TRIM(U393)="Fail",AB393="Open",AND(ISNUMBER(AF393),AF393&lt;&gt;0,TRIM(U393)&lt;&gt;"Pass after CA"))),1,0)</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row>
    <row r="394" customFormat="false" ht="39.75" hidden="false" customHeight="true" outlineLevel="0" collapsed="false">
      <c r="A394" s="57" t="s">
        <v>972</v>
      </c>
      <c r="B394" s="57" t="s">
        <v>251</v>
      </c>
      <c r="C394" s="57" t="str">
        <f aca="false">Flights!$F$16</f>
        <v>MH0139</v>
      </c>
      <c r="D394" s="58" t="n">
        <f aca="false">Flights!$D$16</f>
        <v>46307</v>
      </c>
      <c r="E394" s="57" t="str">
        <f aca="false">Flights!$G$16&amp;"-"&amp;Flights!$H$16</f>
        <v>KUL-ADL</v>
      </c>
      <c r="F394" s="57" t="str">
        <f aca="false">Flights!$K$16</f>
        <v>BC</v>
      </c>
      <c r="G394" s="57" t="s">
        <v>383</v>
      </c>
      <c r="H394" s="57" t="s">
        <v>341</v>
      </c>
      <c r="I394" s="57" t="s">
        <v>391</v>
      </c>
      <c r="J394" s="57" t="s">
        <v>396</v>
      </c>
      <c r="K394" s="67"/>
      <c r="L394" s="67" t="s">
        <v>385</v>
      </c>
      <c r="M394" s="67"/>
      <c r="N394" s="67" t="s">
        <v>346</v>
      </c>
      <c r="O394" s="67" t="s">
        <v>386</v>
      </c>
      <c r="P394" s="57" t="s">
        <v>177</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IF(N394="N/A – rule","N/A – RULE",IF(TRIM(U394)="N/A",IF(AT394=0,"INVALID – N/A not permitted for this mandatory check",IF(AND(TRIM(AC394)&lt;&gt;"",TRIM(AE394)&lt;&gt;"",TRIM(T394)&lt;&gt;""),"N/A – JUSTIFIED","INVALID – N/A needs justification, PIC and verifier")),IF(OR(TRIM(U394)="Pass",TRIM(U394)="Pass after CA"),IF(NOT(ISNUMBER(AD394)),"INVALID – completion time missing",IF(TRIM(T394)="","INVALID – PIC missing",IF(TRIM(Z394)="","INVALID – evidence missing",IF(TRIM(AE394)="","INVALID – verifier missing",IF(AND(AQ394=1,TRIM(W394)=""),"INVALID – batch ID missing",IF(AND(AR394=1,OR(NOT(ISNUMBER(X394)),NOT(ISNUMBER(Y394)))),"INVALID – expected/actual qty missing",IF(IF(AND(TRIM(U394)="Pass",ISNUMBER(AF394)),IF(AF394&lt;&gt;0,"INVALID – qty variance: use Fail or Pass after CA",""),"")&amp;IF(AND(TRIM(U394)="Pass",AB394="Open"),"INVALID – corrective action still open: use Fail, then Pass after CA","")&amp;IF(AND(TRIM(U394)="Pass after CA",OR(TRIM(AA394)="",AB394&lt;&gt;"Closed")),"INVALID – corrective action not recorded/closed","")&lt;&gt;"",IF(AND(TRIM(U394)="Pass",ISNUMBER(AF394)),IF(AF394&lt;&gt;0,"INVALID – qty variance: use Fail or Pass after CA",""),"")&amp;IF(AND(TRIM(U394)="Pass",AB394="Open"),"INVALID – corrective action still open: use Fail, then Pass after CA","")&amp;IF(AND(TRIM(U394)="Pass after CA",OR(TRIM(AA394)="",AB394&lt;&gt;"Closed")),"INVALID – corrective action not recorded/closed",""),IF(AND(AS394=1,Documents!$J$16&lt;&gt;"ON FILE"),"INVALID – GLD not on file (Documents sheet)",IF(AND(AS394=2,Documents!$O$16&lt;&gt;"ON FILE"),"INVALID – menu checklist not on file (Documents sheet)",IF(AND(AS394=3,NOT(ISNUMBER(Flights!$AX$16))),"INVALID – enter carrying flight KUL departure (Flights AX)",IF(AG394&gt;AsOfUTC,"INVALID – completion time is in the future",IF(AND(ISNUMBER(S394),AG394&lt;S394),IF(H394="Physical uplift","INVALID – before uplift window (cannot confirm loading)","INVALID – before valid window"),IF(AG394&gt;Flights!$AA$16,"INVALID – completed after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f>
        <v>OPEN</v>
      </c>
      <c r="AI394" s="61" t="n">
        <f aca="false">IF(OR(AH394="N/A – RULE",AH394="N/A – JUSTIFIED"),0,1)</f>
        <v>1</v>
      </c>
      <c r="AJ394" s="61" t="n">
        <f aca="false">IF(LEFT(AH394,8)="COMPLETE",1,0)</f>
        <v>0</v>
      </c>
      <c r="AK394" s="61" t="n">
        <f aca="false">IF(AND(AI394=1,AJ394=0,AsOfUTC&gt;Q394),1,0)</f>
        <v>0</v>
      </c>
      <c r="AL394" s="61" t="n">
        <f aca="false">IF(AND(AI394=1,OR(TRIM(U394)="Fail",AB394="Open",AND(ISNUMBER(AF394),AF394&lt;&gt;0,TRIM(U394)&lt;&gt;"Pass after CA"))),1,0)</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row>
    <row r="395" customFormat="false" ht="78.75" hidden="false" customHeight="true" outlineLevel="0" collapsed="false">
      <c r="A395" s="57" t="s">
        <v>973</v>
      </c>
      <c r="B395" s="57" t="s">
        <v>251</v>
      </c>
      <c r="C395" s="57" t="str">
        <f aca="false">Flights!$F$16</f>
        <v>MH0139</v>
      </c>
      <c r="D395" s="58" t="n">
        <f aca="false">Flights!$D$16</f>
        <v>46307</v>
      </c>
      <c r="E395" s="57" t="str">
        <f aca="false">Flights!$G$16&amp;"-"&amp;Flights!$H$16</f>
        <v>KUL-ADL</v>
      </c>
      <c r="F395" s="57" t="str">
        <f aca="false">Flights!$K$16</f>
        <v>BC</v>
      </c>
      <c r="G395" s="57" t="s">
        <v>383</v>
      </c>
      <c r="H395" s="57" t="s">
        <v>341</v>
      </c>
      <c r="I395" s="57" t="s">
        <v>391</v>
      </c>
      <c r="J395" s="57" t="s">
        <v>398</v>
      </c>
      <c r="K395" s="67" t="s">
        <v>974</v>
      </c>
      <c r="L395" s="67" t="s">
        <v>385</v>
      </c>
      <c r="M395" s="67"/>
      <c r="N395" s="67" t="s">
        <v>346</v>
      </c>
      <c r="O395" s="67" t="s">
        <v>386</v>
      </c>
      <c r="P395" s="57" t="s">
        <v>177</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IF(N395="N/A – rule","N/A – RULE",IF(TRIM(U395)="N/A",IF(AT395=0,"INVALID – N/A not permitted for this mandatory check",IF(AND(TRIM(AC395)&lt;&gt;"",TRIM(AE395)&lt;&gt;"",TRIM(T395)&lt;&gt;""),"N/A – JUSTIFIED","INVALID – N/A needs justification, PIC and verifier")),IF(OR(TRIM(U395)="Pass",TRIM(U395)="Pass after CA"),IF(NOT(ISNUMBER(AD395)),"INVALID – completion time missing",IF(TRIM(T395)="","INVALID – PIC missing",IF(TRIM(Z395)="","INVALID – evidence missing",IF(TRIM(AE395)="","INVALID – verifier missing",IF(AND(AQ395=1,TRIM(W395)=""),"INVALID – batch ID missing",IF(AND(AR395=1,OR(NOT(ISNUMBER(X395)),NOT(ISNUMBER(Y395)))),"INVALID – expected/actual qty missing",IF(IF(AND(TRIM(U395)="Pass",ISNUMBER(AF395)),IF(AF395&lt;&gt;0,"INVALID – qty variance: use Fail or Pass after CA",""),"")&amp;IF(AND(TRIM(U395)="Pass",AB395="Open"),"INVALID – corrective action still open: use Fail, then Pass after CA","")&amp;IF(AND(TRIM(U395)="Pass after CA",OR(TRIM(AA395)="",AB395&lt;&gt;"Closed")),"INVALID – corrective action not recorded/closed","")&lt;&gt;"",IF(AND(TRIM(U395)="Pass",ISNUMBER(AF395)),IF(AF395&lt;&gt;0,"INVALID – qty variance: use Fail or Pass after CA",""),"")&amp;IF(AND(TRIM(U395)="Pass",AB395="Open"),"INVALID – corrective action still open: use Fail, then Pass after CA","")&amp;IF(AND(TRIM(U395)="Pass after CA",OR(TRIM(AA395)="",AB395&lt;&gt;"Closed")),"INVALID – corrective action not recorded/closed",""),IF(AND(AS395=1,Documents!$J$16&lt;&gt;"ON FILE"),"INVALID – GLD not on file (Documents sheet)",IF(AND(AS395=2,Documents!$O$16&lt;&gt;"ON FILE"),"INVALID – menu checklist not on file (Documents sheet)",IF(AND(AS395=3,NOT(ISNUMBER(Flights!$AX$16))),"INVALID – enter carrying flight KUL departure (Flights AX)",IF(AG395&gt;AsOfUTC,"INVALID – completion time is in the future",IF(AND(ISNUMBER(S395),AG395&lt;S395),IF(H395="Physical uplift","INVALID – before uplift window (cannot confirm loading)","INVALID – before valid window"),IF(AG395&gt;Flights!$AA$16,"INVALID – completed after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f>
        <v>OPEN</v>
      </c>
      <c r="AI395" s="61" t="n">
        <f aca="false">IF(OR(AH395="N/A – RULE",AH395="N/A – JUSTIFIED"),0,1)</f>
        <v>1</v>
      </c>
      <c r="AJ395" s="61" t="n">
        <f aca="false">IF(LEFT(AH395,8)="COMPLETE",1,0)</f>
        <v>0</v>
      </c>
      <c r="AK395" s="61" t="n">
        <f aca="false">IF(AND(AI395=1,AJ395=0,AsOfUTC&gt;Q395),1,0)</f>
        <v>0</v>
      </c>
      <c r="AL395" s="61" t="n">
        <f aca="false">IF(AND(AI395=1,OR(TRIM(U395)="Fail",AB395="Open",AND(ISNUMBER(AF395),AF395&lt;&gt;0,TRIM(U395)&lt;&gt;"Pass after CA"))),1,0)</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row>
    <row r="396" customFormat="false" ht="39.75" hidden="false" customHeight="true" outlineLevel="0" collapsed="false">
      <c r="A396" s="57" t="s">
        <v>975</v>
      </c>
      <c r="B396" s="57" t="s">
        <v>251</v>
      </c>
      <c r="C396" s="57" t="str">
        <f aca="false">Flights!$F$16</f>
        <v>MH0139</v>
      </c>
      <c r="D396" s="58" t="n">
        <f aca="false">Flights!$D$16</f>
        <v>46307</v>
      </c>
      <c r="E396" s="57" t="str">
        <f aca="false">Flights!$G$16&amp;"-"&amp;Flights!$H$16</f>
        <v>KUL-ADL</v>
      </c>
      <c r="F396" s="57" t="str">
        <f aca="false">Flights!$K$16</f>
        <v>BC</v>
      </c>
      <c r="G396" s="57" t="s">
        <v>383</v>
      </c>
      <c r="H396" s="57" t="s">
        <v>341</v>
      </c>
      <c r="I396" s="57" t="s">
        <v>391</v>
      </c>
      <c r="J396" s="57" t="s">
        <v>401</v>
      </c>
      <c r="K396" s="67"/>
      <c r="L396" s="67" t="s">
        <v>385</v>
      </c>
      <c r="M396" s="67"/>
      <c r="N396" s="67" t="s">
        <v>346</v>
      </c>
      <c r="O396" s="67" t="s">
        <v>386</v>
      </c>
      <c r="P396" s="57" t="s">
        <v>177</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IF(N396="N/A – rule","N/A – RULE",IF(TRIM(U396)="N/A",IF(AT396=0,"INVALID – N/A not permitted for this mandatory check",IF(AND(TRIM(AC396)&lt;&gt;"",TRIM(AE396)&lt;&gt;"",TRIM(T396)&lt;&gt;""),"N/A – JUSTIFIED","INVALID – N/A needs justification, PIC and verifier")),IF(OR(TRIM(U396)="Pass",TRIM(U396)="Pass after CA"),IF(NOT(ISNUMBER(AD396)),"INVALID – completion time missing",IF(TRIM(T396)="","INVALID – PIC missing",IF(TRIM(Z396)="","INVALID – evidence missing",IF(TRIM(AE396)="","INVALID – verifier missing",IF(AND(AQ396=1,TRIM(W396)=""),"INVALID – batch ID missing",IF(AND(AR396=1,OR(NOT(ISNUMBER(X396)),NOT(ISNUMBER(Y396)))),"INVALID – expected/actual qty missing",IF(IF(AND(TRIM(U396)="Pass",ISNUMBER(AF396)),IF(AF396&lt;&gt;0,"INVALID – qty variance: use Fail or Pass after CA",""),"")&amp;IF(AND(TRIM(U396)="Pass",AB396="Open"),"INVALID – corrective action still open: use Fail, then Pass after CA","")&amp;IF(AND(TRIM(U396)="Pass after CA",OR(TRIM(AA396)="",AB396&lt;&gt;"Closed")),"INVALID – corrective action not recorded/closed","")&lt;&gt;"",IF(AND(TRIM(U396)="Pass",ISNUMBER(AF396)),IF(AF396&lt;&gt;0,"INVALID – qty variance: use Fail or Pass after CA",""),"")&amp;IF(AND(TRIM(U396)="Pass",AB396="Open"),"INVALID – corrective action still open: use Fail, then Pass after CA","")&amp;IF(AND(TRIM(U396)="Pass after CA",OR(TRIM(AA396)="",AB396&lt;&gt;"Closed")),"INVALID – corrective action not recorded/closed",""),IF(AND(AS396=1,Documents!$J$16&lt;&gt;"ON FILE"),"INVALID – GLD not on file (Documents sheet)",IF(AND(AS396=2,Documents!$O$16&lt;&gt;"ON FILE"),"INVALID – menu checklist not on file (Documents sheet)",IF(AND(AS396=3,NOT(ISNUMBER(Flights!$AX$16))),"INVALID – enter carrying flight KUL departure (Flights AX)",IF(AG396&gt;AsOfUTC,"INVALID – completion time is in the future",IF(AND(ISNUMBER(S396),AG396&lt;S396),IF(H396="Physical uplift","INVALID – before uplift window (cannot confirm loading)","INVALID – before valid window"),IF(AG396&gt;Flights!$AA$16,"INVALID – completed after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f>
        <v>OPEN</v>
      </c>
      <c r="AI396" s="61" t="n">
        <f aca="false">IF(OR(AH396="N/A – RULE",AH396="N/A – JUSTIFIED"),0,1)</f>
        <v>1</v>
      </c>
      <c r="AJ396" s="61" t="n">
        <f aca="false">IF(LEFT(AH396,8)="COMPLETE",1,0)</f>
        <v>0</v>
      </c>
      <c r="AK396" s="61" t="n">
        <f aca="false">IF(AND(AI396=1,AJ396=0,AsOfUTC&gt;Q396),1,0)</f>
        <v>0</v>
      </c>
      <c r="AL396" s="61" t="n">
        <f aca="false">IF(AND(AI396=1,OR(TRIM(U396)="Fail",AB396="Open",AND(ISNUMBER(AF396),AF396&lt;&gt;0,TRIM(U396)&lt;&gt;"Pass after CA"))),1,0)</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row>
    <row r="397" customFormat="false" ht="39.75" hidden="false" customHeight="true" outlineLevel="0" collapsed="false">
      <c r="A397" s="57" t="s">
        <v>976</v>
      </c>
      <c r="B397" s="57" t="s">
        <v>251</v>
      </c>
      <c r="C397" s="57" t="str">
        <f aca="false">Flights!$F$16</f>
        <v>MH0139</v>
      </c>
      <c r="D397" s="58" t="n">
        <f aca="false">Flights!$D$16</f>
        <v>46307</v>
      </c>
      <c r="E397" s="57" t="str">
        <f aca="false">Flights!$G$16&amp;"-"&amp;Flights!$H$16</f>
        <v>KUL-ADL</v>
      </c>
      <c r="F397" s="57" t="str">
        <f aca="false">Flights!$K$16</f>
        <v>BC</v>
      </c>
      <c r="G397" s="57" t="s">
        <v>383</v>
      </c>
      <c r="H397" s="57" t="s">
        <v>341</v>
      </c>
      <c r="I397" s="57" t="s">
        <v>403</v>
      </c>
      <c r="J397" s="57" t="s">
        <v>404</v>
      </c>
      <c r="K397" s="67" t="s">
        <v>464</v>
      </c>
      <c r="L397" s="67" t="s">
        <v>977</v>
      </c>
      <c r="M397" s="67" t="s">
        <v>177</v>
      </c>
      <c r="N397" s="67" t="s">
        <v>346</v>
      </c>
      <c r="O397" s="67"/>
      <c r="P397" s="57" t="s">
        <v>177</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IF(N397="N/A – rule","N/A – RULE",IF(TRIM(U397)="N/A",IF(AT397=0,"INVALID – N/A not permitted for this mandatory check",IF(AND(TRIM(AC397)&lt;&gt;"",TRIM(AE397)&lt;&gt;"",TRIM(T397)&lt;&gt;""),"N/A – JUSTIFIED","INVALID – N/A needs justification, PIC and verifier")),IF(OR(TRIM(U397)="Pass",TRIM(U397)="Pass after CA"),IF(NOT(ISNUMBER(AD397)),"INVALID – completion time missing",IF(TRIM(T397)="","INVALID – PIC missing",IF(TRIM(Z397)="","INVALID – evidence missing",IF(TRIM(AE397)="","INVALID – verifier missing",IF(AND(AQ397=1,TRIM(W397)=""),"INVALID – batch ID missing",IF(AND(AR397=1,OR(NOT(ISNUMBER(X397)),NOT(ISNUMBER(Y397)))),"INVALID – expected/actual qty missing",IF(IF(AND(TRIM(U397)="Pass",ISNUMBER(AF397)),IF(AF397&lt;&gt;0,"INVALID – qty variance: use Fail or Pass after CA",""),"")&amp;IF(AND(TRIM(U397)="Pass",AB397="Open"),"INVALID – corrective action still open: use Fail, then Pass after CA","")&amp;IF(AND(TRIM(U397)="Pass after CA",OR(TRIM(AA397)="",AB397&lt;&gt;"Closed")),"INVALID – corrective action not recorded/closed","")&lt;&gt;"",IF(AND(TRIM(U397)="Pass",ISNUMBER(AF397)),IF(AF397&lt;&gt;0,"INVALID – qty variance: use Fail or Pass after CA",""),"")&amp;IF(AND(TRIM(U397)="Pass",AB397="Open"),"INVALID – corrective action still open: use Fail, then Pass after CA","")&amp;IF(AND(TRIM(U397)="Pass after CA",OR(TRIM(AA397)="",AB397&lt;&gt;"Closed")),"INVALID – corrective action not recorded/closed",""),IF(AND(AS397=1,Documents!$J$16&lt;&gt;"ON FILE"),"INVALID – GLD not on file (Documents sheet)",IF(AND(AS397=2,Documents!$O$16&lt;&gt;"ON FILE"),"INVALID – menu checklist not on file (Documents sheet)",IF(AND(AS397=3,NOT(ISNUMBER(Flights!$AX$16))),"INVALID – enter carrying flight KUL departure (Flights AX)",IF(AG397&gt;AsOfUTC,"INVALID – completion time is in the future",IF(AND(ISNUMBER(S397),AG397&lt;S397),IF(H397="Physical uplift","INVALID – before uplift window (cannot confirm loading)","INVALID – before valid window"),IF(AG397&gt;Flights!$AA$16,"INVALID – completed after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f>
        <v>OPEN</v>
      </c>
      <c r="AI397" s="61" t="n">
        <f aca="false">IF(OR(AH397="N/A – RULE",AH397="N/A – JUSTIFIED"),0,1)</f>
        <v>1</v>
      </c>
      <c r="AJ397" s="61" t="n">
        <f aca="false">IF(LEFT(AH397,8)="COMPLETE",1,0)</f>
        <v>0</v>
      </c>
      <c r="AK397" s="61" t="n">
        <f aca="false">IF(AND(AI397=1,AJ397=0,AsOfUTC&gt;Q397),1,0)</f>
        <v>0</v>
      </c>
      <c r="AL397" s="61" t="n">
        <f aca="false">IF(AND(AI397=1,OR(TRIM(U397)="Fail",AB397="Open",AND(ISNUMBER(AF397),AF397&lt;&gt;0,TRIM(U397)&lt;&gt;"Pass after CA"))),1,0)</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1</v>
      </c>
    </row>
    <row r="398" customFormat="false" ht="39.75" hidden="false" customHeight="true" outlineLevel="0" collapsed="false">
      <c r="A398" s="57" t="s">
        <v>978</v>
      </c>
      <c r="B398" s="57" t="s">
        <v>251</v>
      </c>
      <c r="C398" s="57" t="str">
        <f aca="false">Flights!$F$16</f>
        <v>MH0139</v>
      </c>
      <c r="D398" s="58" t="n">
        <f aca="false">Flights!$D$16</f>
        <v>46307</v>
      </c>
      <c r="E398" s="57" t="str">
        <f aca="false">Flights!$G$16&amp;"-"&amp;Flights!$H$16</f>
        <v>KUL-ADL</v>
      </c>
      <c r="F398" s="57" t="str">
        <f aca="false">Flights!$K$16</f>
        <v>BC</v>
      </c>
      <c r="G398" s="57" t="s">
        <v>383</v>
      </c>
      <c r="H398" s="57" t="s">
        <v>341</v>
      </c>
      <c r="I398" s="57" t="s">
        <v>403</v>
      </c>
      <c r="J398" s="57" t="s">
        <v>566</v>
      </c>
      <c r="K398" s="67" t="s">
        <v>464</v>
      </c>
      <c r="L398" s="67" t="s">
        <v>979</v>
      </c>
      <c r="M398" s="67" t="s">
        <v>177</v>
      </c>
      <c r="N398" s="67" t="s">
        <v>346</v>
      </c>
      <c r="O398" s="67"/>
      <c r="P398" s="57" t="s">
        <v>177</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IF(N398="N/A – rule","N/A – RULE",IF(TRIM(U398)="N/A",IF(AT398=0,"INVALID – N/A not permitted for this mandatory check",IF(AND(TRIM(AC398)&lt;&gt;"",TRIM(AE398)&lt;&gt;"",TRIM(T398)&lt;&gt;""),"N/A – JUSTIFIED","INVALID – N/A needs justification, PIC and verifier")),IF(OR(TRIM(U398)="Pass",TRIM(U398)="Pass after CA"),IF(NOT(ISNUMBER(AD398)),"INVALID – completion time missing",IF(TRIM(T398)="","INVALID – PIC missing",IF(TRIM(Z398)="","INVALID – evidence missing",IF(TRIM(AE398)="","INVALID – verifier missing",IF(AND(AQ398=1,TRIM(W398)=""),"INVALID – batch ID missing",IF(AND(AR398=1,OR(NOT(ISNUMBER(X398)),NOT(ISNUMBER(Y398)))),"INVALID – expected/actual qty missing",IF(IF(AND(TRIM(U398)="Pass",ISNUMBER(AF398)),IF(AF398&lt;&gt;0,"INVALID – qty variance: use Fail or Pass after CA",""),"")&amp;IF(AND(TRIM(U398)="Pass",AB398="Open"),"INVALID – corrective action still open: use Fail, then Pass after CA","")&amp;IF(AND(TRIM(U398)="Pass after CA",OR(TRIM(AA398)="",AB398&lt;&gt;"Closed")),"INVALID – corrective action not recorded/closed","")&lt;&gt;"",IF(AND(TRIM(U398)="Pass",ISNUMBER(AF398)),IF(AF398&lt;&gt;0,"INVALID – qty variance: use Fail or Pass after CA",""),"")&amp;IF(AND(TRIM(U398)="Pass",AB398="Open"),"INVALID – corrective action still open: use Fail, then Pass after CA","")&amp;IF(AND(TRIM(U398)="Pass after CA",OR(TRIM(AA398)="",AB398&lt;&gt;"Closed")),"INVALID – corrective action not recorded/closed",""),IF(AND(AS398=1,Documents!$J$16&lt;&gt;"ON FILE"),"INVALID – GLD not on file (Documents sheet)",IF(AND(AS398=2,Documents!$O$16&lt;&gt;"ON FILE"),"INVALID – menu checklist not on file (Documents sheet)",IF(AND(AS398=3,NOT(ISNUMBER(Flights!$AX$16))),"INVALID – enter carrying flight KUL departure (Flights AX)",IF(AG398&gt;AsOfUTC,"INVALID – completion time is in the future",IF(AND(ISNUMBER(S398),AG398&lt;S398),IF(H398="Physical uplift","INVALID – before uplift window (cannot confirm loading)","INVALID – before valid window"),IF(AG398&gt;Flights!$AA$16,"INVALID – completed after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f>
        <v>OPEN</v>
      </c>
      <c r="AI398" s="61" t="n">
        <f aca="false">IF(OR(AH398="N/A – RULE",AH398="N/A – JUSTIFIED"),0,1)</f>
        <v>1</v>
      </c>
      <c r="AJ398" s="61" t="n">
        <f aca="false">IF(LEFT(AH398,8)="COMPLETE",1,0)</f>
        <v>0</v>
      </c>
      <c r="AK398" s="61" t="n">
        <f aca="false">IF(AND(AI398=1,AJ398=0,AsOfUTC&gt;Q398),1,0)</f>
        <v>0</v>
      </c>
      <c r="AL398" s="61" t="n">
        <f aca="false">IF(AND(AI398=1,OR(TRIM(U398)="Fail",AB398="Open",AND(ISNUMBER(AF398),AF398&lt;&gt;0,TRIM(U398)&lt;&gt;"Pass after CA"))),1,0)</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1</v>
      </c>
    </row>
    <row r="399" customFormat="false" ht="41.25" hidden="false" customHeight="true" outlineLevel="0" collapsed="false">
      <c r="A399" s="57" t="s">
        <v>980</v>
      </c>
      <c r="B399" s="57" t="s">
        <v>251</v>
      </c>
      <c r="C399" s="57" t="str">
        <f aca="false">Flights!$F$16</f>
        <v>MH0139</v>
      </c>
      <c r="D399" s="58" t="n">
        <f aca="false">Flights!$D$16</f>
        <v>46307</v>
      </c>
      <c r="E399" s="57" t="str">
        <f aca="false">Flights!$G$16&amp;"-"&amp;Flights!$H$16</f>
        <v>KUL-ADL</v>
      </c>
      <c r="F399" s="57" t="str">
        <f aca="false">Flights!$K$16</f>
        <v>BC</v>
      </c>
      <c r="G399" s="57" t="s">
        <v>383</v>
      </c>
      <c r="H399" s="57" t="s">
        <v>341</v>
      </c>
      <c r="I399" s="57" t="s">
        <v>462</v>
      </c>
      <c r="J399" s="57" t="s">
        <v>463</v>
      </c>
      <c r="K399" s="67" t="s">
        <v>464</v>
      </c>
      <c r="L399" s="67" t="s">
        <v>981</v>
      </c>
      <c r="M399" s="67" t="s">
        <v>414</v>
      </c>
      <c r="N399" s="67" t="s">
        <v>346</v>
      </c>
      <c r="O399" s="67" t="s">
        <v>466</v>
      </c>
      <c r="P399" s="57" t="s">
        <v>177</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IF(N399="N/A – rule","N/A – RULE",IF(TRIM(U399)="N/A",IF(AT399=0,"INVALID – N/A not permitted for this mandatory check",IF(AND(TRIM(AC399)&lt;&gt;"",TRIM(AE399)&lt;&gt;"",TRIM(T399)&lt;&gt;""),"N/A – JUSTIFIED","INVALID – N/A needs justification, PIC and verifier")),IF(OR(TRIM(U399)="Pass",TRIM(U399)="Pass after CA"),IF(NOT(ISNUMBER(AD399)),"INVALID – completion time missing",IF(TRIM(T399)="","INVALID – PIC missing",IF(TRIM(Z399)="","INVALID – evidence missing",IF(TRIM(AE399)="","INVALID – verifier missing",IF(AND(AQ399=1,TRIM(W399)=""),"INVALID – batch ID missing",IF(AND(AR399=1,OR(NOT(ISNUMBER(X399)),NOT(ISNUMBER(Y399)))),"INVALID – expected/actual qty missing",IF(IF(AND(TRIM(U399)="Pass",ISNUMBER(AF399)),IF(AF399&lt;&gt;0,"INVALID – qty variance: use Fail or Pass after CA",""),"")&amp;IF(AND(TRIM(U399)="Pass",AB399="Open"),"INVALID – corrective action still open: use Fail, then Pass after CA","")&amp;IF(AND(TRIM(U399)="Pass after CA",OR(TRIM(AA399)="",AB399&lt;&gt;"Closed")),"INVALID – corrective action not recorded/closed","")&lt;&gt;"",IF(AND(TRIM(U399)="Pass",ISNUMBER(AF399)),IF(AF399&lt;&gt;0,"INVALID – qty variance: use Fail or Pass after CA",""),"")&amp;IF(AND(TRIM(U399)="Pass",AB399="Open"),"INVALID – corrective action still open: use Fail, then Pass after CA","")&amp;IF(AND(TRIM(U399)="Pass after CA",OR(TRIM(AA399)="",AB399&lt;&gt;"Closed")),"INVALID – corrective action not recorded/closed",""),IF(AND(AS399=1,Documents!$J$16&lt;&gt;"ON FILE"),"INVALID – GLD not on file (Documents sheet)",IF(AND(AS399=2,Documents!$O$16&lt;&gt;"ON FILE"),"INVALID – menu checklist not on file (Documents sheet)",IF(AND(AS399=3,NOT(ISNUMBER(Flights!$AX$16))),"INVALID – enter carrying flight KUL departure (Flights AX)",IF(AG399&gt;AsOfUTC,"INVALID – completion time is in the future",IF(AND(ISNUMBER(S399),AG399&lt;S399),IF(H399="Physical uplift","INVALID – before uplift window (cannot confirm loading)","INVALID – before valid window"),IF(AG399&gt;Flights!$AA$16,"INVALID – completed after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f>
        <v>OPEN</v>
      </c>
      <c r="AI399" s="61" t="n">
        <f aca="false">IF(OR(AH399="N/A – RULE",AH399="N/A – JUSTIFIED"),0,1)</f>
        <v>1</v>
      </c>
      <c r="AJ399" s="61" t="n">
        <f aca="false">IF(LEFT(AH399,8)="COMPLETE",1,0)</f>
        <v>0</v>
      </c>
      <c r="AK399" s="61" t="n">
        <f aca="false">IF(AND(AI399=1,AJ399=0,AsOfUTC&gt;Q399),1,0)</f>
        <v>0</v>
      </c>
      <c r="AL399" s="61" t="n">
        <f aca="false">IF(AND(AI399=1,OR(TRIM(U399)="Fail",AB399="Open",AND(ISNUMBER(AF399),AF399&lt;&gt;0,TRIM(U399)&lt;&gt;"Pass after CA"))),1,0)</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1</v>
      </c>
    </row>
    <row r="400" customFormat="false" ht="41.25" hidden="false" customHeight="true" outlineLevel="0" collapsed="false">
      <c r="A400" s="57" t="s">
        <v>982</v>
      </c>
      <c r="B400" s="57" t="s">
        <v>251</v>
      </c>
      <c r="C400" s="57" t="str">
        <f aca="false">Flights!$F$16</f>
        <v>MH0139</v>
      </c>
      <c r="D400" s="58" t="n">
        <f aca="false">Flights!$D$16</f>
        <v>46307</v>
      </c>
      <c r="E400" s="57" t="str">
        <f aca="false">Flights!$G$16&amp;"-"&amp;Flights!$H$16</f>
        <v>KUL-ADL</v>
      </c>
      <c r="F400" s="57" t="str">
        <f aca="false">Flights!$K$16</f>
        <v>BC</v>
      </c>
      <c r="G400" s="57" t="s">
        <v>383</v>
      </c>
      <c r="H400" s="57" t="s">
        <v>341</v>
      </c>
      <c r="I400" s="57" t="s">
        <v>462</v>
      </c>
      <c r="J400" s="57" t="s">
        <v>468</v>
      </c>
      <c r="K400" s="67" t="s">
        <v>464</v>
      </c>
      <c r="L400" s="67" t="s">
        <v>983</v>
      </c>
      <c r="M400" s="67" t="s">
        <v>414</v>
      </c>
      <c r="N400" s="67" t="s">
        <v>346</v>
      </c>
      <c r="O400" s="67" t="s">
        <v>466</v>
      </c>
      <c r="P400" s="57" t="s">
        <v>177</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IF(N400="N/A – rule","N/A – RULE",IF(TRIM(U400)="N/A",IF(AT400=0,"INVALID – N/A not permitted for this mandatory check",IF(AND(TRIM(AC400)&lt;&gt;"",TRIM(AE400)&lt;&gt;"",TRIM(T400)&lt;&gt;""),"N/A – JUSTIFIED","INVALID – N/A needs justification, PIC and verifier")),IF(OR(TRIM(U400)="Pass",TRIM(U400)="Pass after CA"),IF(NOT(ISNUMBER(AD400)),"INVALID – completion time missing",IF(TRIM(T400)="","INVALID – PIC missing",IF(TRIM(Z400)="","INVALID – evidence missing",IF(TRIM(AE400)="","INVALID – verifier missing",IF(AND(AQ400=1,TRIM(W400)=""),"INVALID – batch ID missing",IF(AND(AR400=1,OR(NOT(ISNUMBER(X400)),NOT(ISNUMBER(Y400)))),"INVALID – expected/actual qty missing",IF(IF(AND(TRIM(U400)="Pass",ISNUMBER(AF400)),IF(AF400&lt;&gt;0,"INVALID – qty variance: use Fail or Pass after CA",""),"")&amp;IF(AND(TRIM(U400)="Pass",AB400="Open"),"INVALID – corrective action still open: use Fail, then Pass after CA","")&amp;IF(AND(TRIM(U400)="Pass after CA",OR(TRIM(AA400)="",AB400&lt;&gt;"Closed")),"INVALID – corrective action not recorded/closed","")&lt;&gt;"",IF(AND(TRIM(U400)="Pass",ISNUMBER(AF400)),IF(AF400&lt;&gt;0,"INVALID – qty variance: use Fail or Pass after CA",""),"")&amp;IF(AND(TRIM(U400)="Pass",AB400="Open"),"INVALID – corrective action still open: use Fail, then Pass after CA","")&amp;IF(AND(TRIM(U400)="Pass after CA",OR(TRIM(AA400)="",AB400&lt;&gt;"Closed")),"INVALID – corrective action not recorded/closed",""),IF(AND(AS400=1,Documents!$J$16&lt;&gt;"ON FILE"),"INVALID – GLD not on file (Documents sheet)",IF(AND(AS400=2,Documents!$O$16&lt;&gt;"ON FILE"),"INVALID – menu checklist not on file (Documents sheet)",IF(AND(AS400=3,NOT(ISNUMBER(Flights!$AX$16))),"INVALID – enter carrying flight KUL departure (Flights AX)",IF(AG400&gt;AsOfUTC,"INVALID – completion time is in the future",IF(AND(ISNUMBER(S400),AG400&lt;S400),IF(H400="Physical uplift","INVALID – before uplift window (cannot confirm loading)","INVALID – before valid window"),IF(AG400&gt;Flights!$AA$16,"INVALID – completed after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f>
        <v>OPEN</v>
      </c>
      <c r="AI400" s="61" t="n">
        <f aca="false">IF(OR(AH400="N/A – RULE",AH400="N/A – JUSTIFIED"),0,1)</f>
        <v>1</v>
      </c>
      <c r="AJ400" s="61" t="n">
        <f aca="false">IF(LEFT(AH400,8)="COMPLETE",1,0)</f>
        <v>0</v>
      </c>
      <c r="AK400" s="61" t="n">
        <f aca="false">IF(AND(AI400=1,AJ400=0,AsOfUTC&gt;Q400),1,0)</f>
        <v>0</v>
      </c>
      <c r="AL400" s="61" t="n">
        <f aca="false">IF(AND(AI400=1,OR(TRIM(U400)="Fail",AB400="Open",AND(ISNUMBER(AF400),AF400&lt;&gt;0,TRIM(U400)&lt;&gt;"Pass after CA"))),1,0)</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1</v>
      </c>
    </row>
    <row r="401" customFormat="false" ht="41.25" hidden="false" customHeight="true" outlineLevel="0" collapsed="false">
      <c r="A401" s="57" t="s">
        <v>984</v>
      </c>
      <c r="B401" s="57" t="s">
        <v>251</v>
      </c>
      <c r="C401" s="57" t="str">
        <f aca="false">Flights!$F$16</f>
        <v>MH0139</v>
      </c>
      <c r="D401" s="58" t="n">
        <f aca="false">Flights!$D$16</f>
        <v>46307</v>
      </c>
      <c r="E401" s="57" t="str">
        <f aca="false">Flights!$G$16&amp;"-"&amp;Flights!$H$16</f>
        <v>KUL-ADL</v>
      </c>
      <c r="F401" s="57" t="str">
        <f aca="false">Flights!$K$16</f>
        <v>BC</v>
      </c>
      <c r="G401" s="57" t="s">
        <v>383</v>
      </c>
      <c r="H401" s="57" t="s">
        <v>341</v>
      </c>
      <c r="I401" s="57" t="s">
        <v>462</v>
      </c>
      <c r="J401" s="57" t="s">
        <v>471</v>
      </c>
      <c r="K401" s="67" t="s">
        <v>464</v>
      </c>
      <c r="L401" s="67" t="s">
        <v>985</v>
      </c>
      <c r="M401" s="67" t="s">
        <v>414</v>
      </c>
      <c r="N401" s="67" t="s">
        <v>346</v>
      </c>
      <c r="O401" s="67" t="s">
        <v>466</v>
      </c>
      <c r="P401" s="57" t="s">
        <v>177</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IF(N401="N/A – rule","N/A – RULE",IF(TRIM(U401)="N/A",IF(AT401=0,"INVALID – N/A not permitted for this mandatory check",IF(AND(TRIM(AC401)&lt;&gt;"",TRIM(AE401)&lt;&gt;"",TRIM(T401)&lt;&gt;""),"N/A – JUSTIFIED","INVALID – N/A needs justification, PIC and verifier")),IF(OR(TRIM(U401)="Pass",TRIM(U401)="Pass after CA"),IF(NOT(ISNUMBER(AD401)),"INVALID – completion time missing",IF(TRIM(T401)="","INVALID – PIC missing",IF(TRIM(Z401)="","INVALID – evidence missing",IF(TRIM(AE401)="","INVALID – verifier missing",IF(AND(AQ401=1,TRIM(W401)=""),"INVALID – batch ID missing",IF(AND(AR401=1,OR(NOT(ISNUMBER(X401)),NOT(ISNUMBER(Y401)))),"INVALID – expected/actual qty missing",IF(IF(AND(TRIM(U401)="Pass",ISNUMBER(AF401)),IF(AF401&lt;&gt;0,"INVALID – qty variance: use Fail or Pass after CA",""),"")&amp;IF(AND(TRIM(U401)="Pass",AB401="Open"),"INVALID – corrective action still open: use Fail, then Pass after CA","")&amp;IF(AND(TRIM(U401)="Pass after CA",OR(TRIM(AA401)="",AB401&lt;&gt;"Closed")),"INVALID – corrective action not recorded/closed","")&lt;&gt;"",IF(AND(TRIM(U401)="Pass",ISNUMBER(AF401)),IF(AF401&lt;&gt;0,"INVALID – qty variance: use Fail or Pass after CA",""),"")&amp;IF(AND(TRIM(U401)="Pass",AB401="Open"),"INVALID – corrective action still open: use Fail, then Pass after CA","")&amp;IF(AND(TRIM(U401)="Pass after CA",OR(TRIM(AA401)="",AB401&lt;&gt;"Closed")),"INVALID – corrective action not recorded/closed",""),IF(AND(AS401=1,Documents!$J$16&lt;&gt;"ON FILE"),"INVALID – GLD not on file (Documents sheet)",IF(AND(AS401=2,Documents!$O$16&lt;&gt;"ON FILE"),"INVALID – menu checklist not on file (Documents sheet)",IF(AND(AS401=3,NOT(ISNUMBER(Flights!$AX$16))),"INVALID – enter carrying flight KUL departure (Flights AX)",IF(AG401&gt;AsOfUTC,"INVALID – completion time is in the future",IF(AND(ISNUMBER(S401),AG401&lt;S401),IF(H401="Physical uplift","INVALID – before uplift window (cannot confirm loading)","INVALID – before valid window"),IF(AG401&gt;Flights!$AA$16,"INVALID – completed after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f>
        <v>OPEN</v>
      </c>
      <c r="AI401" s="61" t="n">
        <f aca="false">IF(OR(AH401="N/A – RULE",AH401="N/A – JUSTIFIED"),0,1)</f>
        <v>1</v>
      </c>
      <c r="AJ401" s="61" t="n">
        <f aca="false">IF(LEFT(AH401,8)="COMPLETE",1,0)</f>
        <v>0</v>
      </c>
      <c r="AK401" s="61" t="n">
        <f aca="false">IF(AND(AI401=1,AJ401=0,AsOfUTC&gt;Q401),1,0)</f>
        <v>0</v>
      </c>
      <c r="AL401" s="61" t="n">
        <f aca="false">IF(AND(AI401=1,OR(TRIM(U401)="Fail",AB401="Open",AND(ISNUMBER(AF401),AF401&lt;&gt;0,TRIM(U401)&lt;&gt;"Pass after CA"))),1,0)</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1</v>
      </c>
    </row>
    <row r="402" customFormat="false" ht="41.25" hidden="false" customHeight="true" outlineLevel="0" collapsed="false">
      <c r="A402" s="57" t="s">
        <v>986</v>
      </c>
      <c r="B402" s="57" t="s">
        <v>251</v>
      </c>
      <c r="C402" s="57" t="str">
        <f aca="false">Flights!$F$16</f>
        <v>MH0139</v>
      </c>
      <c r="D402" s="58" t="n">
        <f aca="false">Flights!$D$16</f>
        <v>46307</v>
      </c>
      <c r="E402" s="57" t="str">
        <f aca="false">Flights!$G$16&amp;"-"&amp;Flights!$H$16</f>
        <v>KUL-ADL</v>
      </c>
      <c r="F402" s="57" t="str">
        <f aca="false">Flights!$K$16</f>
        <v>BC</v>
      </c>
      <c r="G402" s="57" t="s">
        <v>383</v>
      </c>
      <c r="H402" s="57" t="s">
        <v>341</v>
      </c>
      <c r="I402" s="57" t="s">
        <v>462</v>
      </c>
      <c r="J402" s="57" t="s">
        <v>474</v>
      </c>
      <c r="K402" s="67" t="s">
        <v>464</v>
      </c>
      <c r="L402" s="67" t="s">
        <v>987</v>
      </c>
      <c r="M402" s="67" t="s">
        <v>414</v>
      </c>
      <c r="N402" s="67" t="s">
        <v>346</v>
      </c>
      <c r="O402" s="67" t="s">
        <v>466</v>
      </c>
      <c r="P402" s="57" t="s">
        <v>177</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IF(N402="N/A – rule","N/A – RULE",IF(TRIM(U402)="N/A",IF(AT402=0,"INVALID – N/A not permitted for this mandatory check",IF(AND(TRIM(AC402)&lt;&gt;"",TRIM(AE402)&lt;&gt;"",TRIM(T402)&lt;&gt;""),"N/A – JUSTIFIED","INVALID – N/A needs justification, PIC and verifier")),IF(OR(TRIM(U402)="Pass",TRIM(U402)="Pass after CA"),IF(NOT(ISNUMBER(AD402)),"INVALID – completion time missing",IF(TRIM(T402)="","INVALID – PIC missing",IF(TRIM(Z402)="","INVALID – evidence missing",IF(TRIM(AE402)="","INVALID – verifier missing",IF(AND(AQ402=1,TRIM(W402)=""),"INVALID – batch ID missing",IF(AND(AR402=1,OR(NOT(ISNUMBER(X402)),NOT(ISNUMBER(Y402)))),"INVALID – expected/actual qty missing",IF(IF(AND(TRIM(U402)="Pass",ISNUMBER(AF402)),IF(AF402&lt;&gt;0,"INVALID – qty variance: use Fail or Pass after CA",""),"")&amp;IF(AND(TRIM(U402)="Pass",AB402="Open"),"INVALID – corrective action still open: use Fail, then Pass after CA","")&amp;IF(AND(TRIM(U402)="Pass after CA",OR(TRIM(AA402)="",AB402&lt;&gt;"Closed")),"INVALID – corrective action not recorded/closed","")&lt;&gt;"",IF(AND(TRIM(U402)="Pass",ISNUMBER(AF402)),IF(AF402&lt;&gt;0,"INVALID – qty variance: use Fail or Pass after CA",""),"")&amp;IF(AND(TRIM(U402)="Pass",AB402="Open"),"INVALID – corrective action still open: use Fail, then Pass after CA","")&amp;IF(AND(TRIM(U402)="Pass after CA",OR(TRIM(AA402)="",AB402&lt;&gt;"Closed")),"INVALID – corrective action not recorded/closed",""),IF(AND(AS402=1,Documents!$J$16&lt;&gt;"ON FILE"),"INVALID – GLD not on file (Documents sheet)",IF(AND(AS402=2,Documents!$O$16&lt;&gt;"ON FILE"),"INVALID – menu checklist not on file (Documents sheet)",IF(AND(AS402=3,NOT(ISNUMBER(Flights!$AX$16))),"INVALID – enter carrying flight KUL departure (Flights AX)",IF(AG402&gt;AsOfUTC,"INVALID – completion time is in the future",IF(AND(ISNUMBER(S402),AG402&lt;S402),IF(H402="Physical uplift","INVALID – before uplift window (cannot confirm loading)","INVALID – before valid window"),IF(AG402&gt;Flights!$AA$16,"INVALID – completed after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f>
        <v>OPEN</v>
      </c>
      <c r="AI402" s="61" t="n">
        <f aca="false">IF(OR(AH402="N/A – RULE",AH402="N/A – JUSTIFIED"),0,1)</f>
        <v>1</v>
      </c>
      <c r="AJ402" s="61" t="n">
        <f aca="false">IF(LEFT(AH402,8)="COMPLETE",1,0)</f>
        <v>0</v>
      </c>
      <c r="AK402" s="61" t="n">
        <f aca="false">IF(AND(AI402=1,AJ402=0,AsOfUTC&gt;Q402),1,0)</f>
        <v>0</v>
      </c>
      <c r="AL402" s="61" t="n">
        <f aca="false">IF(AND(AI402=1,OR(TRIM(U402)="Fail",AB402="Open",AND(ISNUMBER(AF402),AF402&lt;&gt;0,TRIM(U402)&lt;&gt;"Pass after CA"))),1,0)</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1</v>
      </c>
    </row>
    <row r="403" customFormat="false" ht="41.25" hidden="false" customHeight="true" outlineLevel="0" collapsed="false">
      <c r="A403" s="57" t="s">
        <v>988</v>
      </c>
      <c r="B403" s="57" t="s">
        <v>251</v>
      </c>
      <c r="C403" s="57" t="str">
        <f aca="false">Flights!$F$16</f>
        <v>MH0139</v>
      </c>
      <c r="D403" s="58" t="n">
        <f aca="false">Flights!$D$16</f>
        <v>46307</v>
      </c>
      <c r="E403" s="57" t="str">
        <f aca="false">Flights!$G$16&amp;"-"&amp;Flights!$H$16</f>
        <v>KUL-ADL</v>
      </c>
      <c r="F403" s="57" t="str">
        <f aca="false">Flights!$K$16</f>
        <v>BC</v>
      </c>
      <c r="G403" s="57" t="s">
        <v>383</v>
      </c>
      <c r="H403" s="57" t="s">
        <v>341</v>
      </c>
      <c r="I403" s="57" t="s">
        <v>462</v>
      </c>
      <c r="J403" s="57" t="s">
        <v>478</v>
      </c>
      <c r="K403" s="67" t="s">
        <v>464</v>
      </c>
      <c r="L403" s="67" t="s">
        <v>989</v>
      </c>
      <c r="M403" s="67" t="s">
        <v>414</v>
      </c>
      <c r="N403" s="67" t="s">
        <v>346</v>
      </c>
      <c r="O403" s="67" t="s">
        <v>466</v>
      </c>
      <c r="P403" s="57" t="s">
        <v>177</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IF(N403="N/A – rule","N/A – RULE",IF(TRIM(U403)="N/A",IF(AT403=0,"INVALID – N/A not permitted for this mandatory check",IF(AND(TRIM(AC403)&lt;&gt;"",TRIM(AE403)&lt;&gt;"",TRIM(T403)&lt;&gt;""),"N/A – JUSTIFIED","INVALID – N/A needs justification, PIC and verifier")),IF(OR(TRIM(U403)="Pass",TRIM(U403)="Pass after CA"),IF(NOT(ISNUMBER(AD403)),"INVALID – completion time missing",IF(TRIM(T403)="","INVALID – PIC missing",IF(TRIM(Z403)="","INVALID – evidence missing",IF(TRIM(AE403)="","INVALID – verifier missing",IF(AND(AQ403=1,TRIM(W403)=""),"INVALID – batch ID missing",IF(AND(AR403=1,OR(NOT(ISNUMBER(X403)),NOT(ISNUMBER(Y403)))),"INVALID – expected/actual qty missing",IF(IF(AND(TRIM(U403)="Pass",ISNUMBER(AF403)),IF(AF403&lt;&gt;0,"INVALID – qty variance: use Fail or Pass after CA",""),"")&amp;IF(AND(TRIM(U403)="Pass",AB403="Open"),"INVALID – corrective action still open: use Fail, then Pass after CA","")&amp;IF(AND(TRIM(U403)="Pass after CA",OR(TRIM(AA403)="",AB403&lt;&gt;"Closed")),"INVALID – corrective action not recorded/closed","")&lt;&gt;"",IF(AND(TRIM(U403)="Pass",ISNUMBER(AF403)),IF(AF403&lt;&gt;0,"INVALID – qty variance: use Fail or Pass after CA",""),"")&amp;IF(AND(TRIM(U403)="Pass",AB403="Open"),"INVALID – corrective action still open: use Fail, then Pass after CA","")&amp;IF(AND(TRIM(U403)="Pass after CA",OR(TRIM(AA403)="",AB403&lt;&gt;"Closed")),"INVALID – corrective action not recorded/closed",""),IF(AND(AS403=1,Documents!$J$16&lt;&gt;"ON FILE"),"INVALID – GLD not on file (Documents sheet)",IF(AND(AS403=2,Documents!$O$16&lt;&gt;"ON FILE"),"INVALID – menu checklist not on file (Documents sheet)",IF(AND(AS403=3,NOT(ISNUMBER(Flights!$AX$16))),"INVALID – enter carrying flight KUL departure (Flights AX)",IF(AG403&gt;AsOfUTC,"INVALID – completion time is in the future",IF(AND(ISNUMBER(S403),AG403&lt;S403),IF(H403="Physical uplift","INVALID – before uplift window (cannot confirm loading)","INVALID – before valid window"),IF(AG403&gt;Flights!$AA$16,"INVALID – completed after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f>
        <v>OPEN</v>
      </c>
      <c r="AI403" s="61" t="n">
        <f aca="false">IF(OR(AH403="N/A – RULE",AH403="N/A – JUSTIFIED"),0,1)</f>
        <v>1</v>
      </c>
      <c r="AJ403" s="61" t="n">
        <f aca="false">IF(LEFT(AH403,8)="COMPLETE",1,0)</f>
        <v>0</v>
      </c>
      <c r="AK403" s="61" t="n">
        <f aca="false">IF(AND(AI403=1,AJ403=0,AsOfUTC&gt;Q403),1,0)</f>
        <v>0</v>
      </c>
      <c r="AL403" s="61" t="n">
        <f aca="false">IF(AND(AI403=1,OR(TRIM(U403)="Fail",AB403="Open",AND(ISNUMBER(AF403),AF403&lt;&gt;0,TRIM(U403)&lt;&gt;"Pass after CA"))),1,0)</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1</v>
      </c>
    </row>
    <row r="404" customFormat="false" ht="54" hidden="false" customHeight="true" outlineLevel="0" collapsed="false">
      <c r="A404" s="57" t="s">
        <v>990</v>
      </c>
      <c r="B404" s="57" t="s">
        <v>251</v>
      </c>
      <c r="C404" s="57" t="str">
        <f aca="false">Flights!$F$16</f>
        <v>MH0139</v>
      </c>
      <c r="D404" s="58" t="n">
        <f aca="false">Flights!$D$16</f>
        <v>46307</v>
      </c>
      <c r="E404" s="57" t="str">
        <f aca="false">Flights!$G$16&amp;"-"&amp;Flights!$H$16</f>
        <v>KUL-ADL</v>
      </c>
      <c r="F404" s="57" t="str">
        <f aca="false">Flights!$K$16</f>
        <v>BC</v>
      </c>
      <c r="G404" s="57" t="s">
        <v>383</v>
      </c>
      <c r="H404" s="57" t="s">
        <v>341</v>
      </c>
      <c r="I404" s="57" t="s">
        <v>462</v>
      </c>
      <c r="J404" s="57" t="s">
        <v>481</v>
      </c>
      <c r="K404" s="67" t="s">
        <v>579</v>
      </c>
      <c r="L404" s="67" t="s">
        <v>991</v>
      </c>
      <c r="M404" s="67" t="s">
        <v>414</v>
      </c>
      <c r="N404" s="67" t="s">
        <v>346</v>
      </c>
      <c r="O404" s="67" t="s">
        <v>484</v>
      </c>
      <c r="P404" s="57" t="s">
        <v>177</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IF(N404="N/A – rule","N/A – RULE",IF(TRIM(U404)="N/A",IF(AT404=0,"INVALID – N/A not permitted for this mandatory check",IF(AND(TRIM(AC404)&lt;&gt;"",TRIM(AE404)&lt;&gt;"",TRIM(T404)&lt;&gt;""),"N/A – JUSTIFIED","INVALID – N/A needs justification, PIC and verifier")),IF(OR(TRIM(U404)="Pass",TRIM(U404)="Pass after CA"),IF(NOT(ISNUMBER(AD404)),"INVALID – completion time missing",IF(TRIM(T404)="","INVALID – PIC missing",IF(TRIM(Z404)="","INVALID – evidence missing",IF(TRIM(AE404)="","INVALID – verifier missing",IF(AND(AQ404=1,TRIM(W404)=""),"INVALID – batch ID missing",IF(AND(AR404=1,OR(NOT(ISNUMBER(X404)),NOT(ISNUMBER(Y404)))),"INVALID – expected/actual qty missing",IF(IF(AND(TRIM(U404)="Pass",ISNUMBER(AF404)),IF(AF404&lt;&gt;0,"INVALID – qty variance: use Fail or Pass after CA",""),"")&amp;IF(AND(TRIM(U404)="Pass",AB404="Open"),"INVALID – corrective action still open: use Fail, then Pass after CA","")&amp;IF(AND(TRIM(U404)="Pass after CA",OR(TRIM(AA404)="",AB404&lt;&gt;"Closed")),"INVALID – corrective action not recorded/closed","")&lt;&gt;"",IF(AND(TRIM(U404)="Pass",ISNUMBER(AF404)),IF(AF404&lt;&gt;0,"INVALID – qty variance: use Fail or Pass after CA",""),"")&amp;IF(AND(TRIM(U404)="Pass",AB404="Open"),"INVALID – corrective action still open: use Fail, then Pass after CA","")&amp;IF(AND(TRIM(U404)="Pass after CA",OR(TRIM(AA404)="",AB404&lt;&gt;"Closed")),"INVALID – corrective action not recorded/closed",""),IF(AND(AS404=1,Documents!$J$16&lt;&gt;"ON FILE"),"INVALID – GLD not on file (Documents sheet)",IF(AND(AS404=2,Documents!$O$16&lt;&gt;"ON FILE"),"INVALID – menu checklist not on file (Documents sheet)",IF(AND(AS404=3,NOT(ISNUMBER(Flights!$AX$16))),"INVALID – enter carrying flight KUL departure (Flights AX)",IF(AG404&gt;AsOfUTC,"INVALID – completion time is in the future",IF(AND(ISNUMBER(S404),AG404&lt;S404),IF(H404="Physical uplift","INVALID – before uplift window (cannot confirm loading)","INVALID – before valid window"),IF(AG404&gt;Flights!$AA$16,"INVALID – completed after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f>
        <v>OPEN</v>
      </c>
      <c r="AI404" s="61" t="n">
        <f aca="false">IF(OR(AH404="N/A – RULE",AH404="N/A – JUSTIFIED"),0,1)</f>
        <v>1</v>
      </c>
      <c r="AJ404" s="61" t="n">
        <f aca="false">IF(LEFT(AH404,8)="COMPLETE",1,0)</f>
        <v>0</v>
      </c>
      <c r="AK404" s="61" t="n">
        <f aca="false">IF(AND(AI404=1,AJ404=0,AsOfUTC&gt;Q404),1,0)</f>
        <v>0</v>
      </c>
      <c r="AL404" s="61" t="n">
        <f aca="false">IF(AND(AI404=1,OR(TRIM(U404)="Fail",AB404="Open",AND(ISNUMBER(AF404),AF404&lt;&gt;0,TRIM(U404)&lt;&gt;"Pass after CA"))),1,0)</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1</v>
      </c>
    </row>
    <row r="405" customFormat="false" ht="41.25" hidden="false" customHeight="true" outlineLevel="0" collapsed="false">
      <c r="A405" s="57" t="s">
        <v>992</v>
      </c>
      <c r="B405" s="57" t="s">
        <v>251</v>
      </c>
      <c r="C405" s="57" t="str">
        <f aca="false">Flights!$F$16</f>
        <v>MH0139</v>
      </c>
      <c r="D405" s="58" t="n">
        <f aca="false">Flights!$D$16</f>
        <v>46307</v>
      </c>
      <c r="E405" s="57" t="str">
        <f aca="false">Flights!$G$16&amp;"-"&amp;Flights!$H$16</f>
        <v>KUL-ADL</v>
      </c>
      <c r="F405" s="57" t="str">
        <f aca="false">Flights!$K$16</f>
        <v>BC</v>
      </c>
      <c r="G405" s="57" t="s">
        <v>383</v>
      </c>
      <c r="H405" s="57" t="s">
        <v>341</v>
      </c>
      <c r="I405" s="57" t="s">
        <v>462</v>
      </c>
      <c r="J405" s="57" t="s">
        <v>486</v>
      </c>
      <c r="K405" s="67" t="s">
        <v>464</v>
      </c>
      <c r="L405" s="67" t="s">
        <v>993</v>
      </c>
      <c r="M405" s="67" t="s">
        <v>414</v>
      </c>
      <c r="N405" s="67" t="s">
        <v>346</v>
      </c>
      <c r="O405" s="67" t="s">
        <v>466</v>
      </c>
      <c r="P405" s="57" t="s">
        <v>177</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IF(N405="N/A – rule","N/A – RULE",IF(TRIM(U405)="N/A",IF(AT405=0,"INVALID – N/A not permitted for this mandatory check",IF(AND(TRIM(AC405)&lt;&gt;"",TRIM(AE405)&lt;&gt;"",TRIM(T405)&lt;&gt;""),"N/A – JUSTIFIED","INVALID – N/A needs justification, PIC and verifier")),IF(OR(TRIM(U405)="Pass",TRIM(U405)="Pass after CA"),IF(NOT(ISNUMBER(AD405)),"INVALID – completion time missing",IF(TRIM(T405)="","INVALID – PIC missing",IF(TRIM(Z405)="","INVALID – evidence missing",IF(TRIM(AE405)="","INVALID – verifier missing",IF(AND(AQ405=1,TRIM(W405)=""),"INVALID – batch ID missing",IF(AND(AR405=1,OR(NOT(ISNUMBER(X405)),NOT(ISNUMBER(Y405)))),"INVALID – expected/actual qty missing",IF(IF(AND(TRIM(U405)="Pass",ISNUMBER(AF405)),IF(AF405&lt;&gt;0,"INVALID – qty variance: use Fail or Pass after CA",""),"")&amp;IF(AND(TRIM(U405)="Pass",AB405="Open"),"INVALID – corrective action still open: use Fail, then Pass after CA","")&amp;IF(AND(TRIM(U405)="Pass after CA",OR(TRIM(AA405)="",AB405&lt;&gt;"Closed")),"INVALID – corrective action not recorded/closed","")&lt;&gt;"",IF(AND(TRIM(U405)="Pass",ISNUMBER(AF405)),IF(AF405&lt;&gt;0,"INVALID – qty variance: use Fail or Pass after CA",""),"")&amp;IF(AND(TRIM(U405)="Pass",AB405="Open"),"INVALID – corrective action still open: use Fail, then Pass after CA","")&amp;IF(AND(TRIM(U405)="Pass after CA",OR(TRIM(AA405)="",AB405&lt;&gt;"Closed")),"INVALID – corrective action not recorded/closed",""),IF(AND(AS405=1,Documents!$J$16&lt;&gt;"ON FILE"),"INVALID – GLD not on file (Documents sheet)",IF(AND(AS405=2,Documents!$O$16&lt;&gt;"ON FILE"),"INVALID – menu checklist not on file (Documents sheet)",IF(AND(AS405=3,NOT(ISNUMBER(Flights!$AX$16))),"INVALID – enter carrying flight KUL departure (Flights AX)",IF(AG405&gt;AsOfUTC,"INVALID – completion time is in the future",IF(AND(ISNUMBER(S405),AG405&lt;S405),IF(H405="Physical uplift","INVALID – before uplift window (cannot confirm loading)","INVALID – before valid window"),IF(AG405&gt;Flights!$AA$16,"INVALID – completed after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f>
        <v>OPEN</v>
      </c>
      <c r="AI405" s="61" t="n">
        <f aca="false">IF(OR(AH405="N/A – RULE",AH405="N/A – JUSTIFIED"),0,1)</f>
        <v>1</v>
      </c>
      <c r="AJ405" s="61" t="n">
        <f aca="false">IF(LEFT(AH405,8)="COMPLETE",1,0)</f>
        <v>0</v>
      </c>
      <c r="AK405" s="61" t="n">
        <f aca="false">IF(AND(AI405=1,AJ405=0,AsOfUTC&gt;Q405),1,0)</f>
        <v>0</v>
      </c>
      <c r="AL405" s="61" t="n">
        <f aca="false">IF(AND(AI405=1,OR(TRIM(U405)="Fail",AB405="Open",AND(ISNUMBER(AF405),AF405&lt;&gt;0,TRIM(U405)&lt;&gt;"Pass after CA"))),1,0)</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1</v>
      </c>
    </row>
    <row r="406" customFormat="false" ht="41.25" hidden="false" customHeight="true" outlineLevel="0" collapsed="false">
      <c r="A406" s="57" t="s">
        <v>994</v>
      </c>
      <c r="B406" s="57" t="s">
        <v>251</v>
      </c>
      <c r="C406" s="57" t="str">
        <f aca="false">Flights!$F$16</f>
        <v>MH0139</v>
      </c>
      <c r="D406" s="58" t="n">
        <f aca="false">Flights!$D$16</f>
        <v>46307</v>
      </c>
      <c r="E406" s="57" t="str">
        <f aca="false">Flights!$G$16&amp;"-"&amp;Flights!$H$16</f>
        <v>KUL-ADL</v>
      </c>
      <c r="F406" s="57" t="str">
        <f aca="false">Flights!$K$16</f>
        <v>BC</v>
      </c>
      <c r="G406" s="57" t="s">
        <v>383</v>
      </c>
      <c r="H406" s="57" t="s">
        <v>341</v>
      </c>
      <c r="I406" s="57" t="s">
        <v>410</v>
      </c>
      <c r="J406" s="57" t="s">
        <v>489</v>
      </c>
      <c r="K406" s="67" t="s">
        <v>412</v>
      </c>
      <c r="L406" s="67" t="s">
        <v>995</v>
      </c>
      <c r="M406" s="67" t="s">
        <v>414</v>
      </c>
      <c r="N406" s="67" t="s">
        <v>346</v>
      </c>
      <c r="O406" s="67" t="s">
        <v>466</v>
      </c>
      <c r="P406" s="57" t="s">
        <v>177</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IF(N406="N/A – rule","N/A – RULE",IF(TRIM(U406)="N/A",IF(AT406=0,"INVALID – N/A not permitted for this mandatory check",IF(AND(TRIM(AC406)&lt;&gt;"",TRIM(AE406)&lt;&gt;"",TRIM(T406)&lt;&gt;""),"N/A – JUSTIFIED","INVALID – N/A needs justification, PIC and verifier")),IF(OR(TRIM(U406)="Pass",TRIM(U406)="Pass after CA"),IF(NOT(ISNUMBER(AD406)),"INVALID – completion time missing",IF(TRIM(T406)="","INVALID – PIC missing",IF(TRIM(Z406)="","INVALID – evidence missing",IF(TRIM(AE406)="","INVALID – verifier missing",IF(AND(AQ406=1,TRIM(W406)=""),"INVALID – batch ID missing",IF(AND(AR406=1,OR(NOT(ISNUMBER(X406)),NOT(ISNUMBER(Y406)))),"INVALID – expected/actual qty missing",IF(IF(AND(TRIM(U406)="Pass",ISNUMBER(AF406)),IF(AF406&lt;&gt;0,"INVALID – qty variance: use Fail or Pass after CA",""),"")&amp;IF(AND(TRIM(U406)="Pass",AB406="Open"),"INVALID – corrective action still open: use Fail, then Pass after CA","")&amp;IF(AND(TRIM(U406)="Pass after CA",OR(TRIM(AA406)="",AB406&lt;&gt;"Closed")),"INVALID – corrective action not recorded/closed","")&lt;&gt;"",IF(AND(TRIM(U406)="Pass",ISNUMBER(AF406)),IF(AF406&lt;&gt;0,"INVALID – qty variance: use Fail or Pass after CA",""),"")&amp;IF(AND(TRIM(U406)="Pass",AB406="Open"),"INVALID – corrective action still open: use Fail, then Pass after CA","")&amp;IF(AND(TRIM(U406)="Pass after CA",OR(TRIM(AA406)="",AB406&lt;&gt;"Closed")),"INVALID – corrective action not recorded/closed",""),IF(AND(AS406=1,Documents!$J$16&lt;&gt;"ON FILE"),"INVALID – GLD not on file (Documents sheet)",IF(AND(AS406=2,Documents!$O$16&lt;&gt;"ON FILE"),"INVALID – menu checklist not on file (Documents sheet)",IF(AND(AS406=3,NOT(ISNUMBER(Flights!$AX$16))),"INVALID – enter carrying flight KUL departure (Flights AX)",IF(AG406&gt;AsOfUTC,"INVALID – completion time is in the future",IF(AND(ISNUMBER(S406),AG406&lt;S406),IF(H406="Physical uplift","INVALID – before uplift window (cannot confirm loading)","INVALID – before valid window"),IF(AG406&gt;Flights!$AA$16,"INVALID – completed after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f>
        <v>OPEN</v>
      </c>
      <c r="AI406" s="61" t="n">
        <f aca="false">IF(OR(AH406="N/A – RULE",AH406="N/A – JUSTIFIED"),0,1)</f>
        <v>1</v>
      </c>
      <c r="AJ406" s="61" t="n">
        <f aca="false">IF(LEFT(AH406,8)="COMPLETE",1,0)</f>
        <v>0</v>
      </c>
      <c r="AK406" s="61" t="n">
        <f aca="false">IF(AND(AI406=1,AJ406=0,AsOfUTC&gt;Q406),1,0)</f>
        <v>0</v>
      </c>
      <c r="AL406" s="61" t="n">
        <f aca="false">IF(AND(AI406=1,OR(TRIM(U406)="Fail",AB406="Open",AND(ISNUMBER(AF406),AF406&lt;&gt;0,TRIM(U406)&lt;&gt;"Pass after CA"))),1,0)</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1</v>
      </c>
    </row>
    <row r="407" customFormat="false" ht="41.25" hidden="false" customHeight="true" outlineLevel="0" collapsed="false">
      <c r="A407" s="57" t="s">
        <v>996</v>
      </c>
      <c r="B407" s="57" t="s">
        <v>251</v>
      </c>
      <c r="C407" s="57" t="str">
        <f aca="false">Flights!$F$16</f>
        <v>MH0139</v>
      </c>
      <c r="D407" s="58" t="n">
        <f aca="false">Flights!$D$16</f>
        <v>46307</v>
      </c>
      <c r="E407" s="57" t="str">
        <f aca="false">Flights!$G$16&amp;"-"&amp;Flights!$H$16</f>
        <v>KUL-ADL</v>
      </c>
      <c r="F407" s="57" t="str">
        <f aca="false">Flights!$K$16</f>
        <v>BC</v>
      </c>
      <c r="G407" s="57" t="s">
        <v>383</v>
      </c>
      <c r="H407" s="57" t="s">
        <v>341</v>
      </c>
      <c r="I407" s="57" t="s">
        <v>410</v>
      </c>
      <c r="J407" s="57" t="s">
        <v>586</v>
      </c>
      <c r="K407" s="67" t="s">
        <v>412</v>
      </c>
      <c r="L407" s="67" t="s">
        <v>997</v>
      </c>
      <c r="M407" s="67" t="s">
        <v>414</v>
      </c>
      <c r="N407" s="67" t="s">
        <v>346</v>
      </c>
      <c r="O407" s="67" t="s">
        <v>466</v>
      </c>
      <c r="P407" s="57" t="s">
        <v>177</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IF(N407="N/A – rule","N/A – RULE",IF(TRIM(U407)="N/A",IF(AT407=0,"INVALID – N/A not permitted for this mandatory check",IF(AND(TRIM(AC407)&lt;&gt;"",TRIM(AE407)&lt;&gt;"",TRIM(T407)&lt;&gt;""),"N/A – JUSTIFIED","INVALID – N/A needs justification, PIC and verifier")),IF(OR(TRIM(U407)="Pass",TRIM(U407)="Pass after CA"),IF(NOT(ISNUMBER(AD407)),"INVALID – completion time missing",IF(TRIM(T407)="","INVALID – PIC missing",IF(TRIM(Z407)="","INVALID – evidence missing",IF(TRIM(AE407)="","INVALID – verifier missing",IF(AND(AQ407=1,TRIM(W407)=""),"INVALID – batch ID missing",IF(AND(AR407=1,OR(NOT(ISNUMBER(X407)),NOT(ISNUMBER(Y407)))),"INVALID – expected/actual qty missing",IF(IF(AND(TRIM(U407)="Pass",ISNUMBER(AF407)),IF(AF407&lt;&gt;0,"INVALID – qty variance: use Fail or Pass after CA",""),"")&amp;IF(AND(TRIM(U407)="Pass",AB407="Open"),"INVALID – corrective action still open: use Fail, then Pass after CA","")&amp;IF(AND(TRIM(U407)="Pass after CA",OR(TRIM(AA407)="",AB407&lt;&gt;"Closed")),"INVALID – corrective action not recorded/closed","")&lt;&gt;"",IF(AND(TRIM(U407)="Pass",ISNUMBER(AF407)),IF(AF407&lt;&gt;0,"INVALID – qty variance: use Fail or Pass after CA",""),"")&amp;IF(AND(TRIM(U407)="Pass",AB407="Open"),"INVALID – corrective action still open: use Fail, then Pass after CA","")&amp;IF(AND(TRIM(U407)="Pass after CA",OR(TRIM(AA407)="",AB407&lt;&gt;"Closed")),"INVALID – corrective action not recorded/closed",""),IF(AND(AS407=1,Documents!$J$16&lt;&gt;"ON FILE"),"INVALID – GLD not on file (Documents sheet)",IF(AND(AS407=2,Documents!$O$16&lt;&gt;"ON FILE"),"INVALID – menu checklist not on file (Documents sheet)",IF(AND(AS407=3,NOT(ISNUMBER(Flights!$AX$16))),"INVALID – enter carrying flight KUL departure (Flights AX)",IF(AG407&gt;AsOfUTC,"INVALID – completion time is in the future",IF(AND(ISNUMBER(S407),AG407&lt;S407),IF(H407="Physical uplift","INVALID – before uplift window (cannot confirm loading)","INVALID – before valid window"),IF(AG407&gt;Flights!$AA$16,"INVALID – completed after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f>
        <v>OPEN</v>
      </c>
      <c r="AI407" s="61" t="n">
        <f aca="false">IF(OR(AH407="N/A – RULE",AH407="N/A – JUSTIFIED"),0,1)</f>
        <v>1</v>
      </c>
      <c r="AJ407" s="61" t="n">
        <f aca="false">IF(LEFT(AH407,8)="COMPLETE",1,0)</f>
        <v>0</v>
      </c>
      <c r="AK407" s="61" t="n">
        <f aca="false">IF(AND(AI407=1,AJ407=0,AsOfUTC&gt;Q407),1,0)</f>
        <v>0</v>
      </c>
      <c r="AL407" s="61" t="n">
        <f aca="false">IF(AND(AI407=1,OR(TRIM(U407)="Fail",AB407="Open",AND(ISNUMBER(AF407),AF407&lt;&gt;0,TRIM(U407)&lt;&gt;"Pass after CA"))),1,0)</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1</v>
      </c>
    </row>
    <row r="408" customFormat="false" ht="41.25" hidden="false" customHeight="true" outlineLevel="0" collapsed="false">
      <c r="A408" s="57" t="s">
        <v>998</v>
      </c>
      <c r="B408" s="57" t="s">
        <v>251</v>
      </c>
      <c r="C408" s="57" t="str">
        <f aca="false">Flights!$F$16</f>
        <v>MH0139</v>
      </c>
      <c r="D408" s="58" t="n">
        <f aca="false">Flights!$D$16</f>
        <v>46307</v>
      </c>
      <c r="E408" s="57" t="str">
        <f aca="false">Flights!$G$16&amp;"-"&amp;Flights!$H$16</f>
        <v>KUL-ADL</v>
      </c>
      <c r="F408" s="57" t="str">
        <f aca="false">Flights!$K$16</f>
        <v>BC</v>
      </c>
      <c r="G408" s="57" t="s">
        <v>383</v>
      </c>
      <c r="H408" s="57" t="s">
        <v>341</v>
      </c>
      <c r="I408" s="57" t="s">
        <v>410</v>
      </c>
      <c r="J408" s="57" t="s">
        <v>589</v>
      </c>
      <c r="K408" s="67" t="s">
        <v>412</v>
      </c>
      <c r="L408" s="67" t="s">
        <v>999</v>
      </c>
      <c r="M408" s="67" t="s">
        <v>414</v>
      </c>
      <c r="N408" s="67" t="s">
        <v>346</v>
      </c>
      <c r="O408" s="67" t="s">
        <v>466</v>
      </c>
      <c r="P408" s="57" t="s">
        <v>177</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IF(N408="N/A – rule","N/A – RULE",IF(TRIM(U408)="N/A",IF(AT408=0,"INVALID – N/A not permitted for this mandatory check",IF(AND(TRIM(AC408)&lt;&gt;"",TRIM(AE408)&lt;&gt;"",TRIM(T408)&lt;&gt;""),"N/A – JUSTIFIED","INVALID – N/A needs justification, PIC and verifier")),IF(OR(TRIM(U408)="Pass",TRIM(U408)="Pass after CA"),IF(NOT(ISNUMBER(AD408)),"INVALID – completion time missing",IF(TRIM(T408)="","INVALID – PIC missing",IF(TRIM(Z408)="","INVALID – evidence missing",IF(TRIM(AE408)="","INVALID – verifier missing",IF(AND(AQ408=1,TRIM(W408)=""),"INVALID – batch ID missing",IF(AND(AR408=1,OR(NOT(ISNUMBER(X408)),NOT(ISNUMBER(Y408)))),"INVALID – expected/actual qty missing",IF(IF(AND(TRIM(U408)="Pass",ISNUMBER(AF408)),IF(AF408&lt;&gt;0,"INVALID – qty variance: use Fail or Pass after CA",""),"")&amp;IF(AND(TRIM(U408)="Pass",AB408="Open"),"INVALID – corrective action still open: use Fail, then Pass after CA","")&amp;IF(AND(TRIM(U408)="Pass after CA",OR(TRIM(AA408)="",AB408&lt;&gt;"Closed")),"INVALID – corrective action not recorded/closed","")&lt;&gt;"",IF(AND(TRIM(U408)="Pass",ISNUMBER(AF408)),IF(AF408&lt;&gt;0,"INVALID – qty variance: use Fail or Pass after CA",""),"")&amp;IF(AND(TRIM(U408)="Pass",AB408="Open"),"INVALID – corrective action still open: use Fail, then Pass after CA","")&amp;IF(AND(TRIM(U408)="Pass after CA",OR(TRIM(AA408)="",AB408&lt;&gt;"Closed")),"INVALID – corrective action not recorded/closed",""),IF(AND(AS408=1,Documents!$J$16&lt;&gt;"ON FILE"),"INVALID – GLD not on file (Documents sheet)",IF(AND(AS408=2,Documents!$O$16&lt;&gt;"ON FILE"),"INVALID – menu checklist not on file (Documents sheet)",IF(AND(AS408=3,NOT(ISNUMBER(Flights!$AX$16))),"INVALID – enter carrying flight KUL departure (Flights AX)",IF(AG408&gt;AsOfUTC,"INVALID – completion time is in the future",IF(AND(ISNUMBER(S408),AG408&lt;S408),IF(H408="Physical uplift","INVALID – before uplift window (cannot confirm loading)","INVALID – before valid window"),IF(AG408&gt;Flights!$AA$16,"INVALID – completed after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f>
        <v>OPEN</v>
      </c>
      <c r="AI408" s="61" t="n">
        <f aca="false">IF(OR(AH408="N/A – RULE",AH408="N/A – JUSTIFIED"),0,1)</f>
        <v>1</v>
      </c>
      <c r="AJ408" s="61" t="n">
        <f aca="false">IF(LEFT(AH408,8)="COMPLETE",1,0)</f>
        <v>0</v>
      </c>
      <c r="AK408" s="61" t="n">
        <f aca="false">IF(AND(AI408=1,AJ408=0,AsOfUTC&gt;Q408),1,0)</f>
        <v>0</v>
      </c>
      <c r="AL408" s="61" t="n">
        <f aca="false">IF(AND(AI408=1,OR(TRIM(U408)="Fail",AB408="Open",AND(ISNUMBER(AF408),AF408&lt;&gt;0,TRIM(U408)&lt;&gt;"Pass after CA"))),1,0)</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1</v>
      </c>
    </row>
    <row r="409" customFormat="false" ht="39.75" hidden="false" customHeight="true" outlineLevel="0" collapsed="false">
      <c r="A409" s="57" t="s">
        <v>1000</v>
      </c>
      <c r="B409" s="57" t="s">
        <v>251</v>
      </c>
      <c r="C409" s="57" t="str">
        <f aca="false">Flights!$F$16</f>
        <v>MH0139</v>
      </c>
      <c r="D409" s="58" t="n">
        <f aca="false">Flights!$D$16</f>
        <v>46307</v>
      </c>
      <c r="E409" s="57" t="str">
        <f aca="false">Flights!$G$16&amp;"-"&amp;Flights!$H$16</f>
        <v>KUL-ADL</v>
      </c>
      <c r="F409" s="57" t="str">
        <f aca="false">Flights!$K$16</f>
        <v>BC</v>
      </c>
      <c r="G409" s="57" t="s">
        <v>383</v>
      </c>
      <c r="H409" s="57" t="s">
        <v>341</v>
      </c>
      <c r="I409" s="57" t="s">
        <v>592</v>
      </c>
      <c r="J409" s="57" t="s">
        <v>593</v>
      </c>
      <c r="K409" s="67" t="s">
        <v>464</v>
      </c>
      <c r="L409" s="67" t="s">
        <v>1001</v>
      </c>
      <c r="M409" s="67" t="s">
        <v>177</v>
      </c>
      <c r="N409" s="67" t="s">
        <v>346</v>
      </c>
      <c r="O409" s="67" t="s">
        <v>595</v>
      </c>
      <c r="P409" s="57" t="s">
        <v>177</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IF(N409="N/A – rule","N/A – RULE",IF(TRIM(U409)="N/A",IF(AT409=0,"INVALID – N/A not permitted for this mandatory check",IF(AND(TRIM(AC409)&lt;&gt;"",TRIM(AE409)&lt;&gt;"",TRIM(T409)&lt;&gt;""),"N/A – JUSTIFIED","INVALID – N/A needs justification, PIC and verifier")),IF(OR(TRIM(U409)="Pass",TRIM(U409)="Pass after CA"),IF(NOT(ISNUMBER(AD409)),"INVALID – completion time missing",IF(TRIM(T409)="","INVALID – PIC missing",IF(TRIM(Z409)="","INVALID – evidence missing",IF(TRIM(AE409)="","INVALID – verifier missing",IF(AND(AQ409=1,TRIM(W409)=""),"INVALID – batch ID missing",IF(AND(AR409=1,OR(NOT(ISNUMBER(X409)),NOT(ISNUMBER(Y409)))),"INVALID – expected/actual qty missing",IF(IF(AND(TRIM(U409)="Pass",ISNUMBER(AF409)),IF(AF409&lt;&gt;0,"INVALID – qty variance: use Fail or Pass after CA",""),"")&amp;IF(AND(TRIM(U409)="Pass",AB409="Open"),"INVALID – corrective action still open: use Fail, then Pass after CA","")&amp;IF(AND(TRIM(U409)="Pass after CA",OR(TRIM(AA409)="",AB409&lt;&gt;"Closed")),"INVALID – corrective action not recorded/closed","")&lt;&gt;"",IF(AND(TRIM(U409)="Pass",ISNUMBER(AF409)),IF(AF409&lt;&gt;0,"INVALID – qty variance: use Fail or Pass after CA",""),"")&amp;IF(AND(TRIM(U409)="Pass",AB409="Open"),"INVALID – corrective action still open: use Fail, then Pass after CA","")&amp;IF(AND(TRIM(U409)="Pass after CA",OR(TRIM(AA409)="",AB409&lt;&gt;"Closed")),"INVALID – corrective action not recorded/closed",""),IF(AND(AS409=1,Documents!$J$16&lt;&gt;"ON FILE"),"INVALID – GLD not on file (Documents sheet)",IF(AND(AS409=2,Documents!$O$16&lt;&gt;"ON FILE"),"INVALID – menu checklist not on file (Documents sheet)",IF(AND(AS409=3,NOT(ISNUMBER(Flights!$AX$16))),"INVALID – enter carrying flight KUL departure (Flights AX)",IF(AG409&gt;AsOfUTC,"INVALID – completion time is in the future",IF(AND(ISNUMBER(S409),AG409&lt;S409),IF(H409="Physical uplift","INVALID – before uplift window (cannot confirm loading)","INVALID – before valid window"),IF(AG409&gt;Flights!$AA$16,"INVALID – completed after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f>
        <v>OPEN</v>
      </c>
      <c r="AI409" s="61" t="n">
        <f aca="false">IF(OR(AH409="N/A – RULE",AH409="N/A – JUSTIFIED"),0,1)</f>
        <v>1</v>
      </c>
      <c r="AJ409" s="61" t="n">
        <f aca="false">IF(LEFT(AH409,8)="COMPLETE",1,0)</f>
        <v>0</v>
      </c>
      <c r="AK409" s="61" t="n">
        <f aca="false">IF(AND(AI409=1,AJ409=0,AsOfUTC&gt;Q409),1,0)</f>
        <v>0</v>
      </c>
      <c r="AL409" s="61" t="n">
        <f aca="false">IF(AND(AI409=1,OR(TRIM(U409)="Fail",AB409="Open",AND(ISNUMBER(AF409),AF409&lt;&gt;0,TRIM(U409)&lt;&gt;"Pass after CA"))),1,0)</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1</v>
      </c>
    </row>
    <row r="410" customFormat="false" ht="41.25" hidden="false" customHeight="true" outlineLevel="0" collapsed="false">
      <c r="A410" s="57" t="s">
        <v>1002</v>
      </c>
      <c r="B410" s="57" t="s">
        <v>251</v>
      </c>
      <c r="C410" s="57" t="str">
        <f aca="false">Flights!$F$16</f>
        <v>MH0139</v>
      </c>
      <c r="D410" s="58" t="n">
        <f aca="false">Flights!$D$16</f>
        <v>46307</v>
      </c>
      <c r="E410" s="57" t="str">
        <f aca="false">Flights!$G$16&amp;"-"&amp;Flights!$H$16</f>
        <v>KUL-ADL</v>
      </c>
      <c r="F410" s="57" t="str">
        <f aca="false">Flights!$K$16</f>
        <v>BC</v>
      </c>
      <c r="G410" s="57" t="s">
        <v>383</v>
      </c>
      <c r="H410" s="57" t="s">
        <v>341</v>
      </c>
      <c r="I410" s="57" t="s">
        <v>597</v>
      </c>
      <c r="J410" s="57" t="s">
        <v>598</v>
      </c>
      <c r="K410" s="67" t="s">
        <v>1003</v>
      </c>
      <c r="L410" s="67" t="s">
        <v>1004</v>
      </c>
      <c r="M410" s="67" t="s">
        <v>414</v>
      </c>
      <c r="N410" s="67" t="s">
        <v>346</v>
      </c>
      <c r="O410" s="67" t="s">
        <v>1005</v>
      </c>
      <c r="P410" s="57" t="s">
        <v>177</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IF(N410="N/A – rule","N/A – RULE",IF(TRIM(U410)="N/A",IF(AT410=0,"INVALID – N/A not permitted for this mandatory check",IF(AND(TRIM(AC410)&lt;&gt;"",TRIM(AE410)&lt;&gt;"",TRIM(T410)&lt;&gt;""),"N/A – JUSTIFIED","INVALID – N/A needs justification, PIC and verifier")),IF(OR(TRIM(U410)="Pass",TRIM(U410)="Pass after CA"),IF(NOT(ISNUMBER(AD410)),"INVALID – completion time missing",IF(TRIM(T410)="","INVALID – PIC missing",IF(TRIM(Z410)="","INVALID – evidence missing",IF(TRIM(AE410)="","INVALID – verifier missing",IF(AND(AQ410=1,TRIM(W410)=""),"INVALID – batch ID missing",IF(AND(AR410=1,OR(NOT(ISNUMBER(X410)),NOT(ISNUMBER(Y410)))),"INVALID – expected/actual qty missing",IF(IF(AND(TRIM(U410)="Pass",ISNUMBER(AF410)),IF(AF410&lt;&gt;0,"INVALID – qty variance: use Fail or Pass after CA",""),"")&amp;IF(AND(TRIM(U410)="Pass",AB410="Open"),"INVALID – corrective action still open: use Fail, then Pass after CA","")&amp;IF(AND(TRIM(U410)="Pass after CA",OR(TRIM(AA410)="",AB410&lt;&gt;"Closed")),"INVALID – corrective action not recorded/closed","")&lt;&gt;"",IF(AND(TRIM(U410)="Pass",ISNUMBER(AF410)),IF(AF410&lt;&gt;0,"INVALID – qty variance: use Fail or Pass after CA",""),"")&amp;IF(AND(TRIM(U410)="Pass",AB410="Open"),"INVALID – corrective action still open: use Fail, then Pass after CA","")&amp;IF(AND(TRIM(U410)="Pass after CA",OR(TRIM(AA410)="",AB410&lt;&gt;"Closed")),"INVALID – corrective action not recorded/closed",""),IF(AND(AS410=1,Documents!$J$16&lt;&gt;"ON FILE"),"INVALID – GLD not on file (Documents sheet)",IF(AND(AS410=2,Documents!$O$16&lt;&gt;"ON FILE"),"INVALID – menu checklist not on file (Documents sheet)",IF(AND(AS410=3,NOT(ISNUMBER(Flights!$AX$16))),"INVALID – enter carrying flight KUL departure (Flights AX)",IF(AG410&gt;AsOfUTC,"INVALID – completion time is in the future",IF(AND(ISNUMBER(S410),AG410&lt;S410),IF(H410="Physical uplift","INVALID – before uplift window (cannot confirm loading)","INVALID – before valid window"),IF(AG410&gt;Flights!$AA$16,"INVALID – completed after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f>
        <v>OPEN</v>
      </c>
      <c r="AI410" s="61" t="n">
        <f aca="false">IF(OR(AH410="N/A – RULE",AH410="N/A – JUSTIFIED"),0,1)</f>
        <v>1</v>
      </c>
      <c r="AJ410" s="61" t="n">
        <f aca="false">IF(LEFT(AH410,8)="COMPLETE",1,0)</f>
        <v>0</v>
      </c>
      <c r="AK410" s="61" t="n">
        <f aca="false">IF(AND(AI410=1,AJ410=0,AsOfUTC&gt;Q410),1,0)</f>
        <v>0</v>
      </c>
      <c r="AL410" s="61" t="n">
        <f aca="false">IF(AND(AI410=1,OR(TRIM(U410)="Fail",AB410="Open",AND(ISNUMBER(AF410),AF410&lt;&gt;0,TRIM(U410)&lt;&gt;"Pass after CA"))),1,0)</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1</v>
      </c>
    </row>
    <row r="411" customFormat="false" ht="39.75" hidden="false" customHeight="true" outlineLevel="0" collapsed="false">
      <c r="A411" s="57" t="s">
        <v>1006</v>
      </c>
      <c r="B411" s="57" t="s">
        <v>251</v>
      </c>
      <c r="C411" s="57" t="str">
        <f aca="false">Flights!$F$16</f>
        <v>MH0139</v>
      </c>
      <c r="D411" s="58" t="n">
        <f aca="false">Flights!$D$16</f>
        <v>46307</v>
      </c>
      <c r="E411" s="57" t="str">
        <f aca="false">Flights!$G$16&amp;"-"&amp;Flights!$H$16</f>
        <v>KUL-ADL</v>
      </c>
      <c r="F411" s="57" t="str">
        <f aca="false">Flights!$K$16</f>
        <v>BC</v>
      </c>
      <c r="G411" s="57" t="s">
        <v>422</v>
      </c>
      <c r="H411" s="57" t="s">
        <v>423</v>
      </c>
      <c r="I411" s="57" t="s">
        <v>342</v>
      </c>
      <c r="J411" s="57" t="s">
        <v>424</v>
      </c>
      <c r="K411" s="67" t="s">
        <v>389</v>
      </c>
      <c r="L411" s="67" t="s">
        <v>425</v>
      </c>
      <c r="M411" s="67"/>
      <c r="N411" s="67" t="s">
        <v>346</v>
      </c>
      <c r="O411" s="67" t="s">
        <v>426</v>
      </c>
      <c r="P411" s="57" t="s">
        <v>177</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IF(N411="N/A – rule","N/A – RULE",IF(TRIM(U411)="N/A",IF(AT411=0,"INVALID – N/A not permitted for this mandatory check",IF(AND(TRIM(AC411)&lt;&gt;"",TRIM(AE411)&lt;&gt;"",TRIM(T411)&lt;&gt;""),"N/A – JUSTIFIED","INVALID – N/A needs justification, PIC and verifier")),IF(OR(TRIM(U411)="Pass",TRIM(U411)="Pass after CA"),IF(NOT(ISNUMBER(AD411)),"INVALID – completion time missing",IF(TRIM(T411)="","INVALID – PIC missing",IF(TRIM(Z411)="","INVALID – evidence missing",IF(TRIM(AE411)="","INVALID – verifier missing",IF(AND(AQ411=1,TRIM(W411)=""),"INVALID – batch ID missing",IF(AND(AR411=1,OR(NOT(ISNUMBER(X411)),NOT(ISNUMBER(Y411)))),"INVALID – expected/actual qty missing",IF(IF(AND(TRIM(U411)="Pass",ISNUMBER(AF411)),IF(AF411&lt;&gt;0,"INVALID – qty variance: use Fail or Pass after CA",""),"")&amp;IF(AND(TRIM(U411)="Pass",AB411="Open"),"INVALID – corrective action still open: use Fail, then Pass after CA","")&amp;IF(AND(TRIM(U411)="Pass after CA",OR(TRIM(AA411)="",AB411&lt;&gt;"Closed")),"INVALID – corrective action not recorded/closed","")&lt;&gt;"",IF(AND(TRIM(U411)="Pass",ISNUMBER(AF411)),IF(AF411&lt;&gt;0,"INVALID – qty variance: use Fail or Pass after CA",""),"")&amp;IF(AND(TRIM(U411)="Pass",AB411="Open"),"INVALID – corrective action still open: use Fail, then Pass after CA","")&amp;IF(AND(TRIM(U411)="Pass after CA",OR(TRIM(AA411)="",AB411&lt;&gt;"Closed")),"INVALID – corrective action not recorded/closed",""),IF(AND(AS411=1,Documents!$J$16&lt;&gt;"ON FILE"),"INVALID – GLD not on file (Documents sheet)",IF(AND(AS411=2,Documents!$O$16&lt;&gt;"ON FILE"),"INVALID – menu checklist not on file (Documents sheet)",IF(AND(AS411=3,NOT(ISNUMBER(Flights!$AX$16))),"INVALID – enter carrying flight KUL departure (Flights AX)",IF(AG411&gt;AsOfUTC,"INVALID – completion time is in the future",IF(AND(ISNUMBER(S411),AG411&lt;S411),IF(H411="Physical uplift","INVALID – before uplift window (cannot confirm loading)","INVALID – before valid window"),IF(AG411&gt;Flights!$AA$16,"INVALID – completed after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f>
        <v>OPEN</v>
      </c>
      <c r="AI411" s="61" t="n">
        <f aca="false">IF(OR(AH411="N/A – RULE",AH411="N/A – JUSTIFIED"),0,1)</f>
        <v>1</v>
      </c>
      <c r="AJ411" s="61" t="n">
        <f aca="false">IF(LEFT(AH411,8)="COMPLETE",1,0)</f>
        <v>0</v>
      </c>
      <c r="AK411" s="61" t="n">
        <f aca="false">IF(AND(AI411=1,AJ411=0,AsOfUTC&gt;Q411),1,0)</f>
        <v>0</v>
      </c>
      <c r="AL411" s="61" t="n">
        <f aca="false">IF(AND(AI411=1,OR(TRIM(U411)="Fail",AB411="Open",AND(ISNUMBER(AF411),AF411&lt;&gt;0,TRIM(U411)&lt;&gt;"Pass after CA"))),1,0)</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row>
    <row r="412" customFormat="false" ht="39.75" hidden="false" customHeight="true" outlineLevel="0" collapsed="false">
      <c r="A412" s="57" t="s">
        <v>1007</v>
      </c>
      <c r="B412" s="57" t="s">
        <v>251</v>
      </c>
      <c r="C412" s="57" t="str">
        <f aca="false">Flights!$F$16</f>
        <v>MH0139</v>
      </c>
      <c r="D412" s="58" t="n">
        <f aca="false">Flights!$D$16</f>
        <v>46307</v>
      </c>
      <c r="E412" s="57" t="str">
        <f aca="false">Flights!$G$16&amp;"-"&amp;Flights!$H$16</f>
        <v>KUL-ADL</v>
      </c>
      <c r="F412" s="57" t="str">
        <f aca="false">Flights!$K$16</f>
        <v>BC</v>
      </c>
      <c r="G412" s="57" t="s">
        <v>422</v>
      </c>
      <c r="H412" s="57" t="s">
        <v>423</v>
      </c>
      <c r="I412" s="57" t="s">
        <v>391</v>
      </c>
      <c r="J412" s="57" t="s">
        <v>428</v>
      </c>
      <c r="K412" s="67" t="s">
        <v>389</v>
      </c>
      <c r="L412" s="67" t="s">
        <v>425</v>
      </c>
      <c r="M412" s="67"/>
      <c r="N412" s="67" t="s">
        <v>346</v>
      </c>
      <c r="O412" s="67" t="s">
        <v>426</v>
      </c>
      <c r="P412" s="57" t="s">
        <v>177</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IF(N412="N/A – rule","N/A – RULE",IF(TRIM(U412)="N/A",IF(AT412=0,"INVALID – N/A not permitted for this mandatory check",IF(AND(TRIM(AC412)&lt;&gt;"",TRIM(AE412)&lt;&gt;"",TRIM(T412)&lt;&gt;""),"N/A – JUSTIFIED","INVALID – N/A needs justification, PIC and verifier")),IF(OR(TRIM(U412)="Pass",TRIM(U412)="Pass after CA"),IF(NOT(ISNUMBER(AD412)),"INVALID – completion time missing",IF(TRIM(T412)="","INVALID – PIC missing",IF(TRIM(Z412)="","INVALID – evidence missing",IF(TRIM(AE412)="","INVALID – verifier missing",IF(AND(AQ412=1,TRIM(W412)=""),"INVALID – batch ID missing",IF(AND(AR412=1,OR(NOT(ISNUMBER(X412)),NOT(ISNUMBER(Y412)))),"INVALID – expected/actual qty missing",IF(IF(AND(TRIM(U412)="Pass",ISNUMBER(AF412)),IF(AF412&lt;&gt;0,"INVALID – qty variance: use Fail or Pass after CA",""),"")&amp;IF(AND(TRIM(U412)="Pass",AB412="Open"),"INVALID – corrective action still open: use Fail, then Pass after CA","")&amp;IF(AND(TRIM(U412)="Pass after CA",OR(TRIM(AA412)="",AB412&lt;&gt;"Closed")),"INVALID – corrective action not recorded/closed","")&lt;&gt;"",IF(AND(TRIM(U412)="Pass",ISNUMBER(AF412)),IF(AF412&lt;&gt;0,"INVALID – qty variance: use Fail or Pass after CA",""),"")&amp;IF(AND(TRIM(U412)="Pass",AB412="Open"),"INVALID – corrective action still open: use Fail, then Pass after CA","")&amp;IF(AND(TRIM(U412)="Pass after CA",OR(TRIM(AA412)="",AB412&lt;&gt;"Closed")),"INVALID – corrective action not recorded/closed",""),IF(AND(AS412=1,Documents!$J$16&lt;&gt;"ON FILE"),"INVALID – GLD not on file (Documents sheet)",IF(AND(AS412=2,Documents!$O$16&lt;&gt;"ON FILE"),"INVALID – menu checklist not on file (Documents sheet)",IF(AND(AS412=3,NOT(ISNUMBER(Flights!$AX$16))),"INVALID – enter carrying flight KUL departure (Flights AX)",IF(AG412&gt;AsOfUTC,"INVALID – completion time is in the future",IF(AND(ISNUMBER(S412),AG412&lt;S412),IF(H412="Physical uplift","INVALID – before uplift window (cannot confirm loading)","INVALID – before valid window"),IF(AG412&gt;Flights!$AA$16,"INVALID – completed after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f>
        <v>OPEN</v>
      </c>
      <c r="AI412" s="61" t="n">
        <f aca="false">IF(OR(AH412="N/A – RULE",AH412="N/A – JUSTIFIED"),0,1)</f>
        <v>1</v>
      </c>
      <c r="AJ412" s="61" t="n">
        <f aca="false">IF(LEFT(AH412,8)="COMPLETE",1,0)</f>
        <v>0</v>
      </c>
      <c r="AK412" s="61" t="n">
        <f aca="false">IF(AND(AI412=1,AJ412=0,AsOfUTC&gt;Q412),1,0)</f>
        <v>0</v>
      </c>
      <c r="AL412" s="61" t="n">
        <f aca="false">IF(AND(AI412=1,OR(TRIM(U412)="Fail",AB412="Open",AND(ISNUMBER(AF412),AF412&lt;&gt;0,TRIM(U412)&lt;&gt;"Pass after CA"))),1,0)</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row>
    <row r="413" customFormat="false" ht="39.75" hidden="false" customHeight="true" outlineLevel="0" collapsed="false">
      <c r="A413" s="57" t="s">
        <v>1008</v>
      </c>
      <c r="B413" s="57" t="s">
        <v>251</v>
      </c>
      <c r="C413" s="57" t="str">
        <f aca="false">Flights!$F$16</f>
        <v>MH0139</v>
      </c>
      <c r="D413" s="58" t="n">
        <f aca="false">Flights!$D$16</f>
        <v>46307</v>
      </c>
      <c r="E413" s="57" t="str">
        <f aca="false">Flights!$G$16&amp;"-"&amp;Flights!$H$16</f>
        <v>KUL-ADL</v>
      </c>
      <c r="F413" s="57" t="str">
        <f aca="false">Flights!$K$16</f>
        <v>BC</v>
      </c>
      <c r="G413" s="57" t="s">
        <v>422</v>
      </c>
      <c r="H413" s="57" t="s">
        <v>423</v>
      </c>
      <c r="I413" s="57" t="s">
        <v>403</v>
      </c>
      <c r="J413" s="57" t="s">
        <v>430</v>
      </c>
      <c r="K413" s="67" t="s">
        <v>464</v>
      </c>
      <c r="L413" s="67" t="s">
        <v>977</v>
      </c>
      <c r="M413" s="67" t="s">
        <v>177</v>
      </c>
      <c r="N413" s="67" t="s">
        <v>346</v>
      </c>
      <c r="O413" s="67"/>
      <c r="P413" s="57" t="s">
        <v>177</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IF(N413="N/A – rule","N/A – RULE",IF(TRIM(U413)="N/A",IF(AT413=0,"INVALID – N/A not permitted for this mandatory check",IF(AND(TRIM(AC413)&lt;&gt;"",TRIM(AE413)&lt;&gt;"",TRIM(T413)&lt;&gt;""),"N/A – JUSTIFIED","INVALID – N/A needs justification, PIC and verifier")),IF(OR(TRIM(U413)="Pass",TRIM(U413)="Pass after CA"),IF(NOT(ISNUMBER(AD413)),"INVALID – completion time missing",IF(TRIM(T413)="","INVALID – PIC missing",IF(TRIM(Z413)="","INVALID – evidence missing",IF(TRIM(AE413)="","INVALID – verifier missing",IF(AND(AQ413=1,TRIM(W413)=""),"INVALID – batch ID missing",IF(AND(AR413=1,OR(NOT(ISNUMBER(X413)),NOT(ISNUMBER(Y413)))),"INVALID – expected/actual qty missing",IF(IF(AND(TRIM(U413)="Pass",ISNUMBER(AF413)),IF(AF413&lt;&gt;0,"INVALID – qty variance: use Fail or Pass after CA",""),"")&amp;IF(AND(TRIM(U413)="Pass",AB413="Open"),"INVALID – corrective action still open: use Fail, then Pass after CA","")&amp;IF(AND(TRIM(U413)="Pass after CA",OR(TRIM(AA413)="",AB413&lt;&gt;"Closed")),"INVALID – corrective action not recorded/closed","")&lt;&gt;"",IF(AND(TRIM(U413)="Pass",ISNUMBER(AF413)),IF(AF413&lt;&gt;0,"INVALID – qty variance: use Fail or Pass after CA",""),"")&amp;IF(AND(TRIM(U413)="Pass",AB413="Open"),"INVALID – corrective action still open: use Fail, then Pass after CA","")&amp;IF(AND(TRIM(U413)="Pass after CA",OR(TRIM(AA413)="",AB413&lt;&gt;"Closed")),"INVALID – corrective action not recorded/closed",""),IF(AND(AS413=1,Documents!$J$16&lt;&gt;"ON FILE"),"INVALID – GLD not on file (Documents sheet)",IF(AND(AS413=2,Documents!$O$16&lt;&gt;"ON FILE"),"INVALID – menu checklist not on file (Documents sheet)",IF(AND(AS413=3,NOT(ISNUMBER(Flights!$AX$16))),"INVALID – enter carrying flight KUL departure (Flights AX)",IF(AG413&gt;AsOfUTC,"INVALID – completion time is in the future",IF(AND(ISNUMBER(S413),AG413&lt;S413),IF(H413="Physical uplift","INVALID – before uplift window (cannot confirm loading)","INVALID – before valid window"),IF(AG413&gt;Flights!$AA$16,"INVALID – completed after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f>
        <v>OPEN</v>
      </c>
      <c r="AI413" s="61" t="n">
        <f aca="false">IF(OR(AH413="N/A – RULE",AH413="N/A – JUSTIFIED"),0,1)</f>
        <v>1</v>
      </c>
      <c r="AJ413" s="61" t="n">
        <f aca="false">IF(LEFT(AH413,8)="COMPLETE",1,0)</f>
        <v>0</v>
      </c>
      <c r="AK413" s="61" t="n">
        <f aca="false">IF(AND(AI413=1,AJ413=0,AsOfUTC&gt;Q413),1,0)</f>
        <v>0</v>
      </c>
      <c r="AL413" s="61" t="n">
        <f aca="false">IF(AND(AI413=1,OR(TRIM(U413)="Fail",AB413="Open",AND(ISNUMBER(AF413),AF413&lt;&gt;0,TRIM(U413)&lt;&gt;"Pass after CA"))),1,0)</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1</v>
      </c>
    </row>
    <row r="414" customFormat="false" ht="39.75" hidden="false" customHeight="true" outlineLevel="0" collapsed="false">
      <c r="A414" s="57" t="s">
        <v>1009</v>
      </c>
      <c r="B414" s="57" t="s">
        <v>251</v>
      </c>
      <c r="C414" s="57" t="str">
        <f aca="false">Flights!$F$16</f>
        <v>MH0139</v>
      </c>
      <c r="D414" s="58" t="n">
        <f aca="false">Flights!$D$16</f>
        <v>46307</v>
      </c>
      <c r="E414" s="57" t="str">
        <f aca="false">Flights!$G$16&amp;"-"&amp;Flights!$H$16</f>
        <v>KUL-ADL</v>
      </c>
      <c r="F414" s="57" t="str">
        <f aca="false">Flights!$K$16</f>
        <v>BC</v>
      </c>
      <c r="G414" s="57" t="s">
        <v>422</v>
      </c>
      <c r="H414" s="57" t="s">
        <v>423</v>
      </c>
      <c r="I414" s="57" t="s">
        <v>403</v>
      </c>
      <c r="J414" s="57" t="s">
        <v>606</v>
      </c>
      <c r="K414" s="67" t="s">
        <v>464</v>
      </c>
      <c r="L414" s="67" t="s">
        <v>979</v>
      </c>
      <c r="M414" s="67" t="s">
        <v>177</v>
      </c>
      <c r="N414" s="67" t="s">
        <v>346</v>
      </c>
      <c r="O414" s="67"/>
      <c r="P414" s="57" t="s">
        <v>177</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IF(N414="N/A – rule","N/A – RULE",IF(TRIM(U414)="N/A",IF(AT414=0,"INVALID – N/A not permitted for this mandatory check",IF(AND(TRIM(AC414)&lt;&gt;"",TRIM(AE414)&lt;&gt;"",TRIM(T414)&lt;&gt;""),"N/A – JUSTIFIED","INVALID – N/A needs justification, PIC and verifier")),IF(OR(TRIM(U414)="Pass",TRIM(U414)="Pass after CA"),IF(NOT(ISNUMBER(AD414)),"INVALID – completion time missing",IF(TRIM(T414)="","INVALID – PIC missing",IF(TRIM(Z414)="","INVALID – evidence missing",IF(TRIM(AE414)="","INVALID – verifier missing",IF(AND(AQ414=1,TRIM(W414)=""),"INVALID – batch ID missing",IF(AND(AR414=1,OR(NOT(ISNUMBER(X414)),NOT(ISNUMBER(Y414)))),"INVALID – expected/actual qty missing",IF(IF(AND(TRIM(U414)="Pass",ISNUMBER(AF414)),IF(AF414&lt;&gt;0,"INVALID – qty variance: use Fail or Pass after CA",""),"")&amp;IF(AND(TRIM(U414)="Pass",AB414="Open"),"INVALID – corrective action still open: use Fail, then Pass after CA","")&amp;IF(AND(TRIM(U414)="Pass after CA",OR(TRIM(AA414)="",AB414&lt;&gt;"Closed")),"INVALID – corrective action not recorded/closed","")&lt;&gt;"",IF(AND(TRIM(U414)="Pass",ISNUMBER(AF414)),IF(AF414&lt;&gt;0,"INVALID – qty variance: use Fail or Pass after CA",""),"")&amp;IF(AND(TRIM(U414)="Pass",AB414="Open"),"INVALID – corrective action still open: use Fail, then Pass after CA","")&amp;IF(AND(TRIM(U414)="Pass after CA",OR(TRIM(AA414)="",AB414&lt;&gt;"Closed")),"INVALID – corrective action not recorded/closed",""),IF(AND(AS414=1,Documents!$J$16&lt;&gt;"ON FILE"),"INVALID – GLD not on file (Documents sheet)",IF(AND(AS414=2,Documents!$O$16&lt;&gt;"ON FILE"),"INVALID – menu checklist not on file (Documents sheet)",IF(AND(AS414=3,NOT(ISNUMBER(Flights!$AX$16))),"INVALID – enter carrying flight KUL departure (Flights AX)",IF(AG414&gt;AsOfUTC,"INVALID – completion time is in the future",IF(AND(ISNUMBER(S414),AG414&lt;S414),IF(H414="Physical uplift","INVALID – before uplift window (cannot confirm loading)","INVALID – before valid window"),IF(AG414&gt;Flights!$AA$16,"INVALID – completed after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f>
        <v>OPEN</v>
      </c>
      <c r="AI414" s="61" t="n">
        <f aca="false">IF(OR(AH414="N/A – RULE",AH414="N/A – JUSTIFIED"),0,1)</f>
        <v>1</v>
      </c>
      <c r="AJ414" s="61" t="n">
        <f aca="false">IF(LEFT(AH414,8)="COMPLETE",1,0)</f>
        <v>0</v>
      </c>
      <c r="AK414" s="61" t="n">
        <f aca="false">IF(AND(AI414=1,AJ414=0,AsOfUTC&gt;Q414),1,0)</f>
        <v>0</v>
      </c>
      <c r="AL414" s="61" t="n">
        <f aca="false">IF(AND(AI414=1,OR(TRIM(U414)="Fail",AB414="Open",AND(ISNUMBER(AF414),AF414&lt;&gt;0,TRIM(U414)&lt;&gt;"Pass after CA"))),1,0)</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1</v>
      </c>
    </row>
    <row r="415" customFormat="false" ht="39.75" hidden="false" customHeight="true" outlineLevel="0" collapsed="false">
      <c r="A415" s="57" t="s">
        <v>1010</v>
      </c>
      <c r="B415" s="57" t="s">
        <v>251</v>
      </c>
      <c r="C415" s="57" t="str">
        <f aca="false">Flights!$F$16</f>
        <v>MH0139</v>
      </c>
      <c r="D415" s="58" t="n">
        <f aca="false">Flights!$D$16</f>
        <v>46307</v>
      </c>
      <c r="E415" s="57" t="str">
        <f aca="false">Flights!$G$16&amp;"-"&amp;Flights!$H$16</f>
        <v>KUL-ADL</v>
      </c>
      <c r="F415" s="57" t="str">
        <f aca="false">Flights!$K$16</f>
        <v>BC</v>
      </c>
      <c r="G415" s="57" t="s">
        <v>422</v>
      </c>
      <c r="H415" s="57" t="s">
        <v>423</v>
      </c>
      <c r="I415" s="57" t="s">
        <v>462</v>
      </c>
      <c r="J415" s="57" t="s">
        <v>500</v>
      </c>
      <c r="K415" s="67" t="s">
        <v>464</v>
      </c>
      <c r="L415" s="67" t="s">
        <v>981</v>
      </c>
      <c r="M415" s="67" t="s">
        <v>414</v>
      </c>
      <c r="N415" s="67" t="s">
        <v>346</v>
      </c>
      <c r="O415" s="67"/>
      <c r="P415" s="57" t="s">
        <v>177</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IF(N415="N/A – rule","N/A – RULE",IF(TRIM(U415)="N/A",IF(AT415=0,"INVALID – N/A not permitted for this mandatory check",IF(AND(TRIM(AC415)&lt;&gt;"",TRIM(AE415)&lt;&gt;"",TRIM(T415)&lt;&gt;""),"N/A – JUSTIFIED","INVALID – N/A needs justification, PIC and verifier")),IF(OR(TRIM(U415)="Pass",TRIM(U415)="Pass after CA"),IF(NOT(ISNUMBER(AD415)),"INVALID – completion time missing",IF(TRIM(T415)="","INVALID – PIC missing",IF(TRIM(Z415)="","INVALID – evidence missing",IF(TRIM(AE415)="","INVALID – verifier missing",IF(AND(AQ415=1,TRIM(W415)=""),"INVALID – batch ID missing",IF(AND(AR415=1,OR(NOT(ISNUMBER(X415)),NOT(ISNUMBER(Y415)))),"INVALID – expected/actual qty missing",IF(IF(AND(TRIM(U415)="Pass",ISNUMBER(AF415)),IF(AF415&lt;&gt;0,"INVALID – qty variance: use Fail or Pass after CA",""),"")&amp;IF(AND(TRIM(U415)="Pass",AB415="Open"),"INVALID – corrective action still open: use Fail, then Pass after CA","")&amp;IF(AND(TRIM(U415)="Pass after CA",OR(TRIM(AA415)="",AB415&lt;&gt;"Closed")),"INVALID – corrective action not recorded/closed","")&lt;&gt;"",IF(AND(TRIM(U415)="Pass",ISNUMBER(AF415)),IF(AF415&lt;&gt;0,"INVALID – qty variance: use Fail or Pass after CA",""),"")&amp;IF(AND(TRIM(U415)="Pass",AB415="Open"),"INVALID – corrective action still open: use Fail, then Pass after CA","")&amp;IF(AND(TRIM(U415)="Pass after CA",OR(TRIM(AA415)="",AB415&lt;&gt;"Closed")),"INVALID – corrective action not recorded/closed",""),IF(AND(AS415=1,Documents!$J$16&lt;&gt;"ON FILE"),"INVALID – GLD not on file (Documents sheet)",IF(AND(AS415=2,Documents!$O$16&lt;&gt;"ON FILE"),"INVALID – menu checklist not on file (Documents sheet)",IF(AND(AS415=3,NOT(ISNUMBER(Flights!$AX$16))),"INVALID – enter carrying flight KUL departure (Flights AX)",IF(AG415&gt;AsOfUTC,"INVALID – completion time is in the future",IF(AND(ISNUMBER(S415),AG415&lt;S415),IF(H415="Physical uplift","INVALID – before uplift window (cannot confirm loading)","INVALID – before valid window"),IF(AG415&gt;Flights!$AA$16,"INVALID – completed after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f>
        <v>OPEN</v>
      </c>
      <c r="AI415" s="61" t="n">
        <f aca="false">IF(OR(AH415="N/A – RULE",AH415="N/A – JUSTIFIED"),0,1)</f>
        <v>1</v>
      </c>
      <c r="AJ415" s="61" t="n">
        <f aca="false">IF(LEFT(AH415,8)="COMPLETE",1,0)</f>
        <v>0</v>
      </c>
      <c r="AK415" s="61" t="n">
        <f aca="false">IF(AND(AI415=1,AJ415=0,AsOfUTC&gt;Q415),1,0)</f>
        <v>0</v>
      </c>
      <c r="AL415" s="61" t="n">
        <f aca="false">IF(AND(AI415=1,OR(TRIM(U415)="Fail",AB415="Open",AND(ISNUMBER(AF415),AF415&lt;&gt;0,TRIM(U415)&lt;&gt;"Pass after CA"))),1,0)</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1</v>
      </c>
    </row>
    <row r="416" customFormat="false" ht="39.75" hidden="false" customHeight="true" outlineLevel="0" collapsed="false">
      <c r="A416" s="57" t="s">
        <v>1011</v>
      </c>
      <c r="B416" s="57" t="s">
        <v>251</v>
      </c>
      <c r="C416" s="57" t="str">
        <f aca="false">Flights!$F$16</f>
        <v>MH0139</v>
      </c>
      <c r="D416" s="58" t="n">
        <f aca="false">Flights!$D$16</f>
        <v>46307</v>
      </c>
      <c r="E416" s="57" t="str">
        <f aca="false">Flights!$G$16&amp;"-"&amp;Flights!$H$16</f>
        <v>KUL-ADL</v>
      </c>
      <c r="F416" s="57" t="str">
        <f aca="false">Flights!$K$16</f>
        <v>BC</v>
      </c>
      <c r="G416" s="57" t="s">
        <v>422</v>
      </c>
      <c r="H416" s="57" t="s">
        <v>423</v>
      </c>
      <c r="I416" s="57" t="s">
        <v>462</v>
      </c>
      <c r="J416" s="57" t="s">
        <v>502</v>
      </c>
      <c r="K416" s="67" t="s">
        <v>464</v>
      </c>
      <c r="L416" s="67" t="s">
        <v>983</v>
      </c>
      <c r="M416" s="67" t="s">
        <v>414</v>
      </c>
      <c r="N416" s="67" t="s">
        <v>346</v>
      </c>
      <c r="O416" s="67"/>
      <c r="P416" s="57" t="s">
        <v>177</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IF(N416="N/A – rule","N/A – RULE",IF(TRIM(U416)="N/A",IF(AT416=0,"INVALID – N/A not permitted for this mandatory check",IF(AND(TRIM(AC416)&lt;&gt;"",TRIM(AE416)&lt;&gt;"",TRIM(T416)&lt;&gt;""),"N/A – JUSTIFIED","INVALID – N/A needs justification, PIC and verifier")),IF(OR(TRIM(U416)="Pass",TRIM(U416)="Pass after CA"),IF(NOT(ISNUMBER(AD416)),"INVALID – completion time missing",IF(TRIM(T416)="","INVALID – PIC missing",IF(TRIM(Z416)="","INVALID – evidence missing",IF(TRIM(AE416)="","INVALID – verifier missing",IF(AND(AQ416=1,TRIM(W416)=""),"INVALID – batch ID missing",IF(AND(AR416=1,OR(NOT(ISNUMBER(X416)),NOT(ISNUMBER(Y416)))),"INVALID – expected/actual qty missing",IF(IF(AND(TRIM(U416)="Pass",ISNUMBER(AF416)),IF(AF416&lt;&gt;0,"INVALID – qty variance: use Fail or Pass after CA",""),"")&amp;IF(AND(TRIM(U416)="Pass",AB416="Open"),"INVALID – corrective action still open: use Fail, then Pass after CA","")&amp;IF(AND(TRIM(U416)="Pass after CA",OR(TRIM(AA416)="",AB416&lt;&gt;"Closed")),"INVALID – corrective action not recorded/closed","")&lt;&gt;"",IF(AND(TRIM(U416)="Pass",ISNUMBER(AF416)),IF(AF416&lt;&gt;0,"INVALID – qty variance: use Fail or Pass after CA",""),"")&amp;IF(AND(TRIM(U416)="Pass",AB416="Open"),"INVALID – corrective action still open: use Fail, then Pass after CA","")&amp;IF(AND(TRIM(U416)="Pass after CA",OR(TRIM(AA416)="",AB416&lt;&gt;"Closed")),"INVALID – corrective action not recorded/closed",""),IF(AND(AS416=1,Documents!$J$16&lt;&gt;"ON FILE"),"INVALID – GLD not on file (Documents sheet)",IF(AND(AS416=2,Documents!$O$16&lt;&gt;"ON FILE"),"INVALID – menu checklist not on file (Documents sheet)",IF(AND(AS416=3,NOT(ISNUMBER(Flights!$AX$16))),"INVALID – enter carrying flight KUL departure (Flights AX)",IF(AG416&gt;AsOfUTC,"INVALID – completion time is in the future",IF(AND(ISNUMBER(S416),AG416&lt;S416),IF(H416="Physical uplift","INVALID – before uplift window (cannot confirm loading)","INVALID – before valid window"),IF(AG416&gt;Flights!$AA$16,"INVALID – completed after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f>
        <v>OPEN</v>
      </c>
      <c r="AI416" s="61" t="n">
        <f aca="false">IF(OR(AH416="N/A – RULE",AH416="N/A – JUSTIFIED"),0,1)</f>
        <v>1</v>
      </c>
      <c r="AJ416" s="61" t="n">
        <f aca="false">IF(LEFT(AH416,8)="COMPLETE",1,0)</f>
        <v>0</v>
      </c>
      <c r="AK416" s="61" t="n">
        <f aca="false">IF(AND(AI416=1,AJ416=0,AsOfUTC&gt;Q416),1,0)</f>
        <v>0</v>
      </c>
      <c r="AL416" s="61" t="n">
        <f aca="false">IF(AND(AI416=1,OR(TRIM(U416)="Fail",AB416="Open",AND(ISNUMBER(AF416),AF416&lt;&gt;0,TRIM(U416)&lt;&gt;"Pass after CA"))),1,0)</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1</v>
      </c>
    </row>
    <row r="417" customFormat="false" ht="39.75" hidden="false" customHeight="true" outlineLevel="0" collapsed="false">
      <c r="A417" s="57" t="s">
        <v>1012</v>
      </c>
      <c r="B417" s="57" t="s">
        <v>251</v>
      </c>
      <c r="C417" s="57" t="str">
        <f aca="false">Flights!$F$16</f>
        <v>MH0139</v>
      </c>
      <c r="D417" s="58" t="n">
        <f aca="false">Flights!$D$16</f>
        <v>46307</v>
      </c>
      <c r="E417" s="57" t="str">
        <f aca="false">Flights!$G$16&amp;"-"&amp;Flights!$H$16</f>
        <v>KUL-ADL</v>
      </c>
      <c r="F417" s="57" t="str">
        <f aca="false">Flights!$K$16</f>
        <v>BC</v>
      </c>
      <c r="G417" s="57" t="s">
        <v>422</v>
      </c>
      <c r="H417" s="57" t="s">
        <v>423</v>
      </c>
      <c r="I417" s="57" t="s">
        <v>462</v>
      </c>
      <c r="J417" s="57" t="s">
        <v>504</v>
      </c>
      <c r="K417" s="67" t="s">
        <v>464</v>
      </c>
      <c r="L417" s="67" t="s">
        <v>985</v>
      </c>
      <c r="M417" s="67" t="s">
        <v>414</v>
      </c>
      <c r="N417" s="67" t="s">
        <v>346</v>
      </c>
      <c r="O417" s="67"/>
      <c r="P417" s="57" t="s">
        <v>177</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IF(N417="N/A – rule","N/A – RULE",IF(TRIM(U417)="N/A",IF(AT417=0,"INVALID – N/A not permitted for this mandatory check",IF(AND(TRIM(AC417)&lt;&gt;"",TRIM(AE417)&lt;&gt;"",TRIM(T417)&lt;&gt;""),"N/A – JUSTIFIED","INVALID – N/A needs justification, PIC and verifier")),IF(OR(TRIM(U417)="Pass",TRIM(U417)="Pass after CA"),IF(NOT(ISNUMBER(AD417)),"INVALID – completion time missing",IF(TRIM(T417)="","INVALID – PIC missing",IF(TRIM(Z417)="","INVALID – evidence missing",IF(TRIM(AE417)="","INVALID – verifier missing",IF(AND(AQ417=1,TRIM(W417)=""),"INVALID – batch ID missing",IF(AND(AR417=1,OR(NOT(ISNUMBER(X417)),NOT(ISNUMBER(Y417)))),"INVALID – expected/actual qty missing",IF(IF(AND(TRIM(U417)="Pass",ISNUMBER(AF417)),IF(AF417&lt;&gt;0,"INVALID – qty variance: use Fail or Pass after CA",""),"")&amp;IF(AND(TRIM(U417)="Pass",AB417="Open"),"INVALID – corrective action still open: use Fail, then Pass after CA","")&amp;IF(AND(TRIM(U417)="Pass after CA",OR(TRIM(AA417)="",AB417&lt;&gt;"Closed")),"INVALID – corrective action not recorded/closed","")&lt;&gt;"",IF(AND(TRIM(U417)="Pass",ISNUMBER(AF417)),IF(AF417&lt;&gt;0,"INVALID – qty variance: use Fail or Pass after CA",""),"")&amp;IF(AND(TRIM(U417)="Pass",AB417="Open"),"INVALID – corrective action still open: use Fail, then Pass after CA","")&amp;IF(AND(TRIM(U417)="Pass after CA",OR(TRIM(AA417)="",AB417&lt;&gt;"Closed")),"INVALID – corrective action not recorded/closed",""),IF(AND(AS417=1,Documents!$J$16&lt;&gt;"ON FILE"),"INVALID – GLD not on file (Documents sheet)",IF(AND(AS417=2,Documents!$O$16&lt;&gt;"ON FILE"),"INVALID – menu checklist not on file (Documents sheet)",IF(AND(AS417=3,NOT(ISNUMBER(Flights!$AX$16))),"INVALID – enter carrying flight KUL departure (Flights AX)",IF(AG417&gt;AsOfUTC,"INVALID – completion time is in the future",IF(AND(ISNUMBER(S417),AG417&lt;S417),IF(H417="Physical uplift","INVALID – before uplift window (cannot confirm loading)","INVALID – before valid window"),IF(AG417&gt;Flights!$AA$16,"INVALID – completed after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f>
        <v>OPEN</v>
      </c>
      <c r="AI417" s="61" t="n">
        <f aca="false">IF(OR(AH417="N/A – RULE",AH417="N/A – JUSTIFIED"),0,1)</f>
        <v>1</v>
      </c>
      <c r="AJ417" s="61" t="n">
        <f aca="false">IF(LEFT(AH417,8)="COMPLETE",1,0)</f>
        <v>0</v>
      </c>
      <c r="AK417" s="61" t="n">
        <f aca="false">IF(AND(AI417=1,AJ417=0,AsOfUTC&gt;Q417),1,0)</f>
        <v>0</v>
      </c>
      <c r="AL417" s="61" t="n">
        <f aca="false">IF(AND(AI417=1,OR(TRIM(U417)="Fail",AB417="Open",AND(ISNUMBER(AF417),AF417&lt;&gt;0,TRIM(U417)&lt;&gt;"Pass after CA"))),1,0)</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1</v>
      </c>
    </row>
    <row r="418" customFormat="false" ht="39.75" hidden="false" customHeight="true" outlineLevel="0" collapsed="false">
      <c r="A418" s="57" t="s">
        <v>1013</v>
      </c>
      <c r="B418" s="57" t="s">
        <v>251</v>
      </c>
      <c r="C418" s="57" t="str">
        <f aca="false">Flights!$F$16</f>
        <v>MH0139</v>
      </c>
      <c r="D418" s="58" t="n">
        <f aca="false">Flights!$D$16</f>
        <v>46307</v>
      </c>
      <c r="E418" s="57" t="str">
        <f aca="false">Flights!$G$16&amp;"-"&amp;Flights!$H$16</f>
        <v>KUL-ADL</v>
      </c>
      <c r="F418" s="57" t="str">
        <f aca="false">Flights!$K$16</f>
        <v>BC</v>
      </c>
      <c r="G418" s="57" t="s">
        <v>422</v>
      </c>
      <c r="H418" s="57" t="s">
        <v>423</v>
      </c>
      <c r="I418" s="57" t="s">
        <v>462</v>
      </c>
      <c r="J418" s="57" t="s">
        <v>506</v>
      </c>
      <c r="K418" s="67" t="s">
        <v>464</v>
      </c>
      <c r="L418" s="67" t="s">
        <v>987</v>
      </c>
      <c r="M418" s="67" t="s">
        <v>414</v>
      </c>
      <c r="N418" s="67" t="s">
        <v>346</v>
      </c>
      <c r="O418" s="67"/>
      <c r="P418" s="57" t="s">
        <v>177</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IF(N418="N/A – rule","N/A – RULE",IF(TRIM(U418)="N/A",IF(AT418=0,"INVALID – N/A not permitted for this mandatory check",IF(AND(TRIM(AC418)&lt;&gt;"",TRIM(AE418)&lt;&gt;"",TRIM(T418)&lt;&gt;""),"N/A – JUSTIFIED","INVALID – N/A needs justification, PIC and verifier")),IF(OR(TRIM(U418)="Pass",TRIM(U418)="Pass after CA"),IF(NOT(ISNUMBER(AD418)),"INVALID – completion time missing",IF(TRIM(T418)="","INVALID – PIC missing",IF(TRIM(Z418)="","INVALID – evidence missing",IF(TRIM(AE418)="","INVALID – verifier missing",IF(AND(AQ418=1,TRIM(W418)=""),"INVALID – batch ID missing",IF(AND(AR418=1,OR(NOT(ISNUMBER(X418)),NOT(ISNUMBER(Y418)))),"INVALID – expected/actual qty missing",IF(IF(AND(TRIM(U418)="Pass",ISNUMBER(AF418)),IF(AF418&lt;&gt;0,"INVALID – qty variance: use Fail or Pass after CA",""),"")&amp;IF(AND(TRIM(U418)="Pass",AB418="Open"),"INVALID – corrective action still open: use Fail, then Pass after CA","")&amp;IF(AND(TRIM(U418)="Pass after CA",OR(TRIM(AA418)="",AB418&lt;&gt;"Closed")),"INVALID – corrective action not recorded/closed","")&lt;&gt;"",IF(AND(TRIM(U418)="Pass",ISNUMBER(AF418)),IF(AF418&lt;&gt;0,"INVALID – qty variance: use Fail or Pass after CA",""),"")&amp;IF(AND(TRIM(U418)="Pass",AB418="Open"),"INVALID – corrective action still open: use Fail, then Pass after CA","")&amp;IF(AND(TRIM(U418)="Pass after CA",OR(TRIM(AA418)="",AB418&lt;&gt;"Closed")),"INVALID – corrective action not recorded/closed",""),IF(AND(AS418=1,Documents!$J$16&lt;&gt;"ON FILE"),"INVALID – GLD not on file (Documents sheet)",IF(AND(AS418=2,Documents!$O$16&lt;&gt;"ON FILE"),"INVALID – menu checklist not on file (Documents sheet)",IF(AND(AS418=3,NOT(ISNUMBER(Flights!$AX$16))),"INVALID – enter carrying flight KUL departure (Flights AX)",IF(AG418&gt;AsOfUTC,"INVALID – completion time is in the future",IF(AND(ISNUMBER(S418),AG418&lt;S418),IF(H418="Physical uplift","INVALID – before uplift window (cannot confirm loading)","INVALID – before valid window"),IF(AG418&gt;Flights!$AA$16,"INVALID – completed after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f>
        <v>OPEN</v>
      </c>
      <c r="AI418" s="61" t="n">
        <f aca="false">IF(OR(AH418="N/A – RULE",AH418="N/A – JUSTIFIED"),0,1)</f>
        <v>1</v>
      </c>
      <c r="AJ418" s="61" t="n">
        <f aca="false">IF(LEFT(AH418,8)="COMPLETE",1,0)</f>
        <v>0</v>
      </c>
      <c r="AK418" s="61" t="n">
        <f aca="false">IF(AND(AI418=1,AJ418=0,AsOfUTC&gt;Q418),1,0)</f>
        <v>0</v>
      </c>
      <c r="AL418" s="61" t="n">
        <f aca="false">IF(AND(AI418=1,OR(TRIM(U418)="Fail",AB418="Open",AND(ISNUMBER(AF418),AF418&lt;&gt;0,TRIM(U418)&lt;&gt;"Pass after CA"))),1,0)</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1</v>
      </c>
    </row>
    <row r="419" customFormat="false" ht="39.75" hidden="false" customHeight="true" outlineLevel="0" collapsed="false">
      <c r="A419" s="57" t="s">
        <v>1014</v>
      </c>
      <c r="B419" s="57" t="s">
        <v>251</v>
      </c>
      <c r="C419" s="57" t="str">
        <f aca="false">Flights!$F$16</f>
        <v>MH0139</v>
      </c>
      <c r="D419" s="58" t="n">
        <f aca="false">Flights!$D$16</f>
        <v>46307</v>
      </c>
      <c r="E419" s="57" t="str">
        <f aca="false">Flights!$G$16&amp;"-"&amp;Flights!$H$16</f>
        <v>KUL-ADL</v>
      </c>
      <c r="F419" s="57" t="str">
        <f aca="false">Flights!$K$16</f>
        <v>BC</v>
      </c>
      <c r="G419" s="57" t="s">
        <v>422</v>
      </c>
      <c r="H419" s="57" t="s">
        <v>423</v>
      </c>
      <c r="I419" s="57" t="s">
        <v>462</v>
      </c>
      <c r="J419" s="57" t="s">
        <v>509</v>
      </c>
      <c r="K419" s="67" t="s">
        <v>464</v>
      </c>
      <c r="L419" s="67" t="s">
        <v>989</v>
      </c>
      <c r="M419" s="67" t="s">
        <v>414</v>
      </c>
      <c r="N419" s="67" t="s">
        <v>346</v>
      </c>
      <c r="O419" s="67"/>
      <c r="P419" s="57" t="s">
        <v>177</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IF(N419="N/A – rule","N/A – RULE",IF(TRIM(U419)="N/A",IF(AT419=0,"INVALID – N/A not permitted for this mandatory check",IF(AND(TRIM(AC419)&lt;&gt;"",TRIM(AE419)&lt;&gt;"",TRIM(T419)&lt;&gt;""),"N/A – JUSTIFIED","INVALID – N/A needs justification, PIC and verifier")),IF(OR(TRIM(U419)="Pass",TRIM(U419)="Pass after CA"),IF(NOT(ISNUMBER(AD419)),"INVALID – completion time missing",IF(TRIM(T419)="","INVALID – PIC missing",IF(TRIM(Z419)="","INVALID – evidence missing",IF(TRIM(AE419)="","INVALID – verifier missing",IF(AND(AQ419=1,TRIM(W419)=""),"INVALID – batch ID missing",IF(AND(AR419=1,OR(NOT(ISNUMBER(X419)),NOT(ISNUMBER(Y419)))),"INVALID – expected/actual qty missing",IF(IF(AND(TRIM(U419)="Pass",ISNUMBER(AF419)),IF(AF419&lt;&gt;0,"INVALID – qty variance: use Fail or Pass after CA",""),"")&amp;IF(AND(TRIM(U419)="Pass",AB419="Open"),"INVALID – corrective action still open: use Fail, then Pass after CA","")&amp;IF(AND(TRIM(U419)="Pass after CA",OR(TRIM(AA419)="",AB419&lt;&gt;"Closed")),"INVALID – corrective action not recorded/closed","")&lt;&gt;"",IF(AND(TRIM(U419)="Pass",ISNUMBER(AF419)),IF(AF419&lt;&gt;0,"INVALID – qty variance: use Fail or Pass after CA",""),"")&amp;IF(AND(TRIM(U419)="Pass",AB419="Open"),"INVALID – corrective action still open: use Fail, then Pass after CA","")&amp;IF(AND(TRIM(U419)="Pass after CA",OR(TRIM(AA419)="",AB419&lt;&gt;"Closed")),"INVALID – corrective action not recorded/closed",""),IF(AND(AS419=1,Documents!$J$16&lt;&gt;"ON FILE"),"INVALID – GLD not on file (Documents sheet)",IF(AND(AS419=2,Documents!$O$16&lt;&gt;"ON FILE"),"INVALID – menu checklist not on file (Documents sheet)",IF(AND(AS419=3,NOT(ISNUMBER(Flights!$AX$16))),"INVALID – enter carrying flight KUL departure (Flights AX)",IF(AG419&gt;AsOfUTC,"INVALID – completion time is in the future",IF(AND(ISNUMBER(S419),AG419&lt;S419),IF(H419="Physical uplift","INVALID – before uplift window (cannot confirm loading)","INVALID – before valid window"),IF(AG419&gt;Flights!$AA$16,"INVALID – completed after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f>
        <v>OPEN</v>
      </c>
      <c r="AI419" s="61" t="n">
        <f aca="false">IF(OR(AH419="N/A – RULE",AH419="N/A – JUSTIFIED"),0,1)</f>
        <v>1</v>
      </c>
      <c r="AJ419" s="61" t="n">
        <f aca="false">IF(LEFT(AH419,8)="COMPLETE",1,0)</f>
        <v>0</v>
      </c>
      <c r="AK419" s="61" t="n">
        <f aca="false">IF(AND(AI419=1,AJ419=0,AsOfUTC&gt;Q419),1,0)</f>
        <v>0</v>
      </c>
      <c r="AL419" s="61" t="n">
        <f aca="false">IF(AND(AI419=1,OR(TRIM(U419)="Fail",AB419="Open",AND(ISNUMBER(AF419),AF419&lt;&gt;0,TRIM(U419)&lt;&gt;"Pass after CA"))),1,0)</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1</v>
      </c>
    </row>
    <row r="420" customFormat="false" ht="39.75" hidden="false" customHeight="true" outlineLevel="0" collapsed="false">
      <c r="A420" s="57" t="s">
        <v>1015</v>
      </c>
      <c r="B420" s="57" t="s">
        <v>251</v>
      </c>
      <c r="C420" s="57" t="str">
        <f aca="false">Flights!$F$16</f>
        <v>MH0139</v>
      </c>
      <c r="D420" s="58" t="n">
        <f aca="false">Flights!$D$16</f>
        <v>46307</v>
      </c>
      <c r="E420" s="57" t="str">
        <f aca="false">Flights!$G$16&amp;"-"&amp;Flights!$H$16</f>
        <v>KUL-ADL</v>
      </c>
      <c r="F420" s="57" t="str">
        <f aca="false">Flights!$K$16</f>
        <v>BC</v>
      </c>
      <c r="G420" s="57" t="s">
        <v>422</v>
      </c>
      <c r="H420" s="57" t="s">
        <v>423</v>
      </c>
      <c r="I420" s="57" t="s">
        <v>462</v>
      </c>
      <c r="J420" s="57" t="s">
        <v>511</v>
      </c>
      <c r="K420" s="67" t="s">
        <v>579</v>
      </c>
      <c r="L420" s="67" t="s">
        <v>991</v>
      </c>
      <c r="M420" s="67" t="s">
        <v>414</v>
      </c>
      <c r="N420" s="67" t="s">
        <v>346</v>
      </c>
      <c r="O420" s="67" t="s">
        <v>512</v>
      </c>
      <c r="P420" s="57" t="s">
        <v>177</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IF(N420="N/A – rule","N/A – RULE",IF(TRIM(U420)="N/A",IF(AT420=0,"INVALID – N/A not permitted for this mandatory check",IF(AND(TRIM(AC420)&lt;&gt;"",TRIM(AE420)&lt;&gt;"",TRIM(T420)&lt;&gt;""),"N/A – JUSTIFIED","INVALID – N/A needs justification, PIC and verifier")),IF(OR(TRIM(U420)="Pass",TRIM(U420)="Pass after CA"),IF(NOT(ISNUMBER(AD420)),"INVALID – completion time missing",IF(TRIM(T420)="","INVALID – PIC missing",IF(TRIM(Z420)="","INVALID – evidence missing",IF(TRIM(AE420)="","INVALID – verifier missing",IF(AND(AQ420=1,TRIM(W420)=""),"INVALID – batch ID missing",IF(AND(AR420=1,OR(NOT(ISNUMBER(X420)),NOT(ISNUMBER(Y420)))),"INVALID – expected/actual qty missing",IF(IF(AND(TRIM(U420)="Pass",ISNUMBER(AF420)),IF(AF420&lt;&gt;0,"INVALID – qty variance: use Fail or Pass after CA",""),"")&amp;IF(AND(TRIM(U420)="Pass",AB420="Open"),"INVALID – corrective action still open: use Fail, then Pass after CA","")&amp;IF(AND(TRIM(U420)="Pass after CA",OR(TRIM(AA420)="",AB420&lt;&gt;"Closed")),"INVALID – corrective action not recorded/closed","")&lt;&gt;"",IF(AND(TRIM(U420)="Pass",ISNUMBER(AF420)),IF(AF420&lt;&gt;0,"INVALID – qty variance: use Fail or Pass after CA",""),"")&amp;IF(AND(TRIM(U420)="Pass",AB420="Open"),"INVALID – corrective action still open: use Fail, then Pass after CA","")&amp;IF(AND(TRIM(U420)="Pass after CA",OR(TRIM(AA420)="",AB420&lt;&gt;"Closed")),"INVALID – corrective action not recorded/closed",""),IF(AND(AS420=1,Documents!$J$16&lt;&gt;"ON FILE"),"INVALID – GLD not on file (Documents sheet)",IF(AND(AS420=2,Documents!$O$16&lt;&gt;"ON FILE"),"INVALID – menu checklist not on file (Documents sheet)",IF(AND(AS420=3,NOT(ISNUMBER(Flights!$AX$16))),"INVALID – enter carrying flight KUL departure (Flights AX)",IF(AG420&gt;AsOfUTC,"INVALID – completion time is in the future",IF(AND(ISNUMBER(S420),AG420&lt;S420),IF(H420="Physical uplift","INVALID – before uplift window (cannot confirm loading)","INVALID – before valid window"),IF(AG420&gt;Flights!$AA$16,"INVALID – completed after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f>
        <v>OPEN</v>
      </c>
      <c r="AI420" s="61" t="n">
        <f aca="false">IF(OR(AH420="N/A – RULE",AH420="N/A – JUSTIFIED"),0,1)</f>
        <v>1</v>
      </c>
      <c r="AJ420" s="61" t="n">
        <f aca="false">IF(LEFT(AH420,8)="COMPLETE",1,0)</f>
        <v>0</v>
      </c>
      <c r="AK420" s="61" t="n">
        <f aca="false">IF(AND(AI420=1,AJ420=0,AsOfUTC&gt;Q420),1,0)</f>
        <v>0</v>
      </c>
      <c r="AL420" s="61" t="n">
        <f aca="false">IF(AND(AI420=1,OR(TRIM(U420)="Fail",AB420="Open",AND(ISNUMBER(AF420),AF420&lt;&gt;0,TRIM(U420)&lt;&gt;"Pass after CA"))),1,0)</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1</v>
      </c>
    </row>
    <row r="421" customFormat="false" ht="39.75" hidden="false" customHeight="true" outlineLevel="0" collapsed="false">
      <c r="A421" s="57" t="s">
        <v>1016</v>
      </c>
      <c r="B421" s="57" t="s">
        <v>251</v>
      </c>
      <c r="C421" s="57" t="str">
        <f aca="false">Flights!$F$16</f>
        <v>MH0139</v>
      </c>
      <c r="D421" s="58" t="n">
        <f aca="false">Flights!$D$16</f>
        <v>46307</v>
      </c>
      <c r="E421" s="57" t="str">
        <f aca="false">Flights!$G$16&amp;"-"&amp;Flights!$H$16</f>
        <v>KUL-ADL</v>
      </c>
      <c r="F421" s="57" t="str">
        <f aca="false">Flights!$K$16</f>
        <v>BC</v>
      </c>
      <c r="G421" s="57" t="s">
        <v>422</v>
      </c>
      <c r="H421" s="57" t="s">
        <v>423</v>
      </c>
      <c r="I421" s="57" t="s">
        <v>462</v>
      </c>
      <c r="J421" s="57" t="s">
        <v>514</v>
      </c>
      <c r="K421" s="67" t="s">
        <v>464</v>
      </c>
      <c r="L421" s="67" t="s">
        <v>993</v>
      </c>
      <c r="M421" s="67" t="s">
        <v>414</v>
      </c>
      <c r="N421" s="67" t="s">
        <v>346</v>
      </c>
      <c r="O421" s="67"/>
      <c r="P421" s="57" t="s">
        <v>177</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IF(N421="N/A – rule","N/A – RULE",IF(TRIM(U421)="N/A",IF(AT421=0,"INVALID – N/A not permitted for this mandatory check",IF(AND(TRIM(AC421)&lt;&gt;"",TRIM(AE421)&lt;&gt;"",TRIM(T421)&lt;&gt;""),"N/A – JUSTIFIED","INVALID – N/A needs justification, PIC and verifier")),IF(OR(TRIM(U421)="Pass",TRIM(U421)="Pass after CA"),IF(NOT(ISNUMBER(AD421)),"INVALID – completion time missing",IF(TRIM(T421)="","INVALID – PIC missing",IF(TRIM(Z421)="","INVALID – evidence missing",IF(TRIM(AE421)="","INVALID – verifier missing",IF(AND(AQ421=1,TRIM(W421)=""),"INVALID – batch ID missing",IF(AND(AR421=1,OR(NOT(ISNUMBER(X421)),NOT(ISNUMBER(Y421)))),"INVALID – expected/actual qty missing",IF(IF(AND(TRIM(U421)="Pass",ISNUMBER(AF421)),IF(AF421&lt;&gt;0,"INVALID – qty variance: use Fail or Pass after CA",""),"")&amp;IF(AND(TRIM(U421)="Pass",AB421="Open"),"INVALID – corrective action still open: use Fail, then Pass after CA","")&amp;IF(AND(TRIM(U421)="Pass after CA",OR(TRIM(AA421)="",AB421&lt;&gt;"Closed")),"INVALID – corrective action not recorded/closed","")&lt;&gt;"",IF(AND(TRIM(U421)="Pass",ISNUMBER(AF421)),IF(AF421&lt;&gt;0,"INVALID – qty variance: use Fail or Pass after CA",""),"")&amp;IF(AND(TRIM(U421)="Pass",AB421="Open"),"INVALID – corrective action still open: use Fail, then Pass after CA","")&amp;IF(AND(TRIM(U421)="Pass after CA",OR(TRIM(AA421)="",AB421&lt;&gt;"Closed")),"INVALID – corrective action not recorded/closed",""),IF(AND(AS421=1,Documents!$J$16&lt;&gt;"ON FILE"),"INVALID – GLD not on file (Documents sheet)",IF(AND(AS421=2,Documents!$O$16&lt;&gt;"ON FILE"),"INVALID – menu checklist not on file (Documents sheet)",IF(AND(AS421=3,NOT(ISNUMBER(Flights!$AX$16))),"INVALID – enter carrying flight KUL departure (Flights AX)",IF(AG421&gt;AsOfUTC,"INVALID – completion time is in the future",IF(AND(ISNUMBER(S421),AG421&lt;S421),IF(H421="Physical uplift","INVALID – before uplift window (cannot confirm loading)","INVALID – before valid window"),IF(AG421&gt;Flights!$AA$16,"INVALID – completed after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f>
        <v>OPEN</v>
      </c>
      <c r="AI421" s="61" t="n">
        <f aca="false">IF(OR(AH421="N/A – RULE",AH421="N/A – JUSTIFIED"),0,1)</f>
        <v>1</v>
      </c>
      <c r="AJ421" s="61" t="n">
        <f aca="false">IF(LEFT(AH421,8)="COMPLETE",1,0)</f>
        <v>0</v>
      </c>
      <c r="AK421" s="61" t="n">
        <f aca="false">IF(AND(AI421=1,AJ421=0,AsOfUTC&gt;Q421),1,0)</f>
        <v>0</v>
      </c>
      <c r="AL421" s="61" t="n">
        <f aca="false">IF(AND(AI421=1,OR(TRIM(U421)="Fail",AB421="Open",AND(ISNUMBER(AF421),AF421&lt;&gt;0,TRIM(U421)&lt;&gt;"Pass after CA"))),1,0)</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1</v>
      </c>
    </row>
    <row r="422" customFormat="false" ht="39.75" hidden="false" customHeight="true" outlineLevel="0" collapsed="false">
      <c r="A422" s="57" t="s">
        <v>1017</v>
      </c>
      <c r="B422" s="57" t="s">
        <v>251</v>
      </c>
      <c r="C422" s="57" t="str">
        <f aca="false">Flights!$F$16</f>
        <v>MH0139</v>
      </c>
      <c r="D422" s="58" t="n">
        <f aca="false">Flights!$D$16</f>
        <v>46307</v>
      </c>
      <c r="E422" s="57" t="str">
        <f aca="false">Flights!$G$16&amp;"-"&amp;Flights!$H$16</f>
        <v>KUL-ADL</v>
      </c>
      <c r="F422" s="57" t="str">
        <f aca="false">Flights!$K$16</f>
        <v>BC</v>
      </c>
      <c r="G422" s="57" t="s">
        <v>422</v>
      </c>
      <c r="H422" s="57" t="s">
        <v>423</v>
      </c>
      <c r="I422" s="57" t="s">
        <v>410</v>
      </c>
      <c r="J422" s="57" t="s">
        <v>516</v>
      </c>
      <c r="K422" s="67" t="s">
        <v>412</v>
      </c>
      <c r="L422" s="67" t="s">
        <v>995</v>
      </c>
      <c r="M422" s="67" t="s">
        <v>414</v>
      </c>
      <c r="N422" s="67" t="s">
        <v>346</v>
      </c>
      <c r="O422" s="67"/>
      <c r="P422" s="57" t="s">
        <v>177</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IF(N422="N/A – rule","N/A – RULE",IF(TRIM(U422)="N/A",IF(AT422=0,"INVALID – N/A not permitted for this mandatory check",IF(AND(TRIM(AC422)&lt;&gt;"",TRIM(AE422)&lt;&gt;"",TRIM(T422)&lt;&gt;""),"N/A – JUSTIFIED","INVALID – N/A needs justification, PIC and verifier")),IF(OR(TRIM(U422)="Pass",TRIM(U422)="Pass after CA"),IF(NOT(ISNUMBER(AD422)),"INVALID – completion time missing",IF(TRIM(T422)="","INVALID – PIC missing",IF(TRIM(Z422)="","INVALID – evidence missing",IF(TRIM(AE422)="","INVALID – verifier missing",IF(AND(AQ422=1,TRIM(W422)=""),"INVALID – batch ID missing",IF(AND(AR422=1,OR(NOT(ISNUMBER(X422)),NOT(ISNUMBER(Y422)))),"INVALID – expected/actual qty missing",IF(IF(AND(TRIM(U422)="Pass",ISNUMBER(AF422)),IF(AF422&lt;&gt;0,"INVALID – qty variance: use Fail or Pass after CA",""),"")&amp;IF(AND(TRIM(U422)="Pass",AB422="Open"),"INVALID – corrective action still open: use Fail, then Pass after CA","")&amp;IF(AND(TRIM(U422)="Pass after CA",OR(TRIM(AA422)="",AB422&lt;&gt;"Closed")),"INVALID – corrective action not recorded/closed","")&lt;&gt;"",IF(AND(TRIM(U422)="Pass",ISNUMBER(AF422)),IF(AF422&lt;&gt;0,"INVALID – qty variance: use Fail or Pass after CA",""),"")&amp;IF(AND(TRIM(U422)="Pass",AB422="Open"),"INVALID – corrective action still open: use Fail, then Pass after CA","")&amp;IF(AND(TRIM(U422)="Pass after CA",OR(TRIM(AA422)="",AB422&lt;&gt;"Closed")),"INVALID – corrective action not recorded/closed",""),IF(AND(AS422=1,Documents!$J$16&lt;&gt;"ON FILE"),"INVALID – GLD not on file (Documents sheet)",IF(AND(AS422=2,Documents!$O$16&lt;&gt;"ON FILE"),"INVALID – menu checklist not on file (Documents sheet)",IF(AND(AS422=3,NOT(ISNUMBER(Flights!$AX$16))),"INVALID – enter carrying flight KUL departure (Flights AX)",IF(AG422&gt;AsOfUTC,"INVALID – completion time is in the future",IF(AND(ISNUMBER(S422),AG422&lt;S422),IF(H422="Physical uplift","INVALID – before uplift window (cannot confirm loading)","INVALID – before valid window"),IF(AG422&gt;Flights!$AA$16,"INVALID – completed after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f>
        <v>OPEN</v>
      </c>
      <c r="AI422" s="61" t="n">
        <f aca="false">IF(OR(AH422="N/A – RULE",AH422="N/A – JUSTIFIED"),0,1)</f>
        <v>1</v>
      </c>
      <c r="AJ422" s="61" t="n">
        <f aca="false">IF(LEFT(AH422,8)="COMPLETE",1,0)</f>
        <v>0</v>
      </c>
      <c r="AK422" s="61" t="n">
        <f aca="false">IF(AND(AI422=1,AJ422=0,AsOfUTC&gt;Q422),1,0)</f>
        <v>0</v>
      </c>
      <c r="AL422" s="61" t="n">
        <f aca="false">IF(AND(AI422=1,OR(TRIM(U422)="Fail",AB422="Open",AND(ISNUMBER(AF422),AF422&lt;&gt;0,TRIM(U422)&lt;&gt;"Pass after CA"))),1,0)</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1</v>
      </c>
    </row>
    <row r="423" customFormat="false" ht="39.75" hidden="false" customHeight="true" outlineLevel="0" collapsed="false">
      <c r="A423" s="57" t="s">
        <v>1018</v>
      </c>
      <c r="B423" s="57" t="s">
        <v>251</v>
      </c>
      <c r="C423" s="57" t="str">
        <f aca="false">Flights!$F$16</f>
        <v>MH0139</v>
      </c>
      <c r="D423" s="58" t="n">
        <f aca="false">Flights!$D$16</f>
        <v>46307</v>
      </c>
      <c r="E423" s="57" t="str">
        <f aca="false">Flights!$G$16&amp;"-"&amp;Flights!$H$16</f>
        <v>KUL-ADL</v>
      </c>
      <c r="F423" s="57" t="str">
        <f aca="false">Flights!$K$16</f>
        <v>BC</v>
      </c>
      <c r="G423" s="57" t="s">
        <v>422</v>
      </c>
      <c r="H423" s="57" t="s">
        <v>423</v>
      </c>
      <c r="I423" s="57" t="s">
        <v>410</v>
      </c>
      <c r="J423" s="57" t="s">
        <v>616</v>
      </c>
      <c r="K423" s="67" t="s">
        <v>412</v>
      </c>
      <c r="L423" s="67" t="s">
        <v>997</v>
      </c>
      <c r="M423" s="67" t="s">
        <v>414</v>
      </c>
      <c r="N423" s="67" t="s">
        <v>346</v>
      </c>
      <c r="O423" s="67"/>
      <c r="P423" s="57" t="s">
        <v>177</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IF(N423="N/A – rule","N/A – RULE",IF(TRIM(U423)="N/A",IF(AT423=0,"INVALID – N/A not permitted for this mandatory check",IF(AND(TRIM(AC423)&lt;&gt;"",TRIM(AE423)&lt;&gt;"",TRIM(T423)&lt;&gt;""),"N/A – JUSTIFIED","INVALID – N/A needs justification, PIC and verifier")),IF(OR(TRIM(U423)="Pass",TRIM(U423)="Pass after CA"),IF(NOT(ISNUMBER(AD423)),"INVALID – completion time missing",IF(TRIM(T423)="","INVALID – PIC missing",IF(TRIM(Z423)="","INVALID – evidence missing",IF(TRIM(AE423)="","INVALID – verifier missing",IF(AND(AQ423=1,TRIM(W423)=""),"INVALID – batch ID missing",IF(AND(AR423=1,OR(NOT(ISNUMBER(X423)),NOT(ISNUMBER(Y423)))),"INVALID – expected/actual qty missing",IF(IF(AND(TRIM(U423)="Pass",ISNUMBER(AF423)),IF(AF423&lt;&gt;0,"INVALID – qty variance: use Fail or Pass after CA",""),"")&amp;IF(AND(TRIM(U423)="Pass",AB423="Open"),"INVALID – corrective action still open: use Fail, then Pass after CA","")&amp;IF(AND(TRIM(U423)="Pass after CA",OR(TRIM(AA423)="",AB423&lt;&gt;"Closed")),"INVALID – corrective action not recorded/closed","")&lt;&gt;"",IF(AND(TRIM(U423)="Pass",ISNUMBER(AF423)),IF(AF423&lt;&gt;0,"INVALID – qty variance: use Fail or Pass after CA",""),"")&amp;IF(AND(TRIM(U423)="Pass",AB423="Open"),"INVALID – corrective action still open: use Fail, then Pass after CA","")&amp;IF(AND(TRIM(U423)="Pass after CA",OR(TRIM(AA423)="",AB423&lt;&gt;"Closed")),"INVALID – corrective action not recorded/closed",""),IF(AND(AS423=1,Documents!$J$16&lt;&gt;"ON FILE"),"INVALID – GLD not on file (Documents sheet)",IF(AND(AS423=2,Documents!$O$16&lt;&gt;"ON FILE"),"INVALID – menu checklist not on file (Documents sheet)",IF(AND(AS423=3,NOT(ISNUMBER(Flights!$AX$16))),"INVALID – enter carrying flight KUL departure (Flights AX)",IF(AG423&gt;AsOfUTC,"INVALID – completion time is in the future",IF(AND(ISNUMBER(S423),AG423&lt;S423),IF(H423="Physical uplift","INVALID – before uplift window (cannot confirm loading)","INVALID – before valid window"),IF(AG423&gt;Flights!$AA$16,"INVALID – completed after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f>
        <v>OPEN</v>
      </c>
      <c r="AI423" s="61" t="n">
        <f aca="false">IF(OR(AH423="N/A – RULE",AH423="N/A – JUSTIFIED"),0,1)</f>
        <v>1</v>
      </c>
      <c r="AJ423" s="61" t="n">
        <f aca="false">IF(LEFT(AH423,8)="COMPLETE",1,0)</f>
        <v>0</v>
      </c>
      <c r="AK423" s="61" t="n">
        <f aca="false">IF(AND(AI423=1,AJ423=0,AsOfUTC&gt;Q423),1,0)</f>
        <v>0</v>
      </c>
      <c r="AL423" s="61" t="n">
        <f aca="false">IF(AND(AI423=1,OR(TRIM(U423)="Fail",AB423="Open",AND(ISNUMBER(AF423),AF423&lt;&gt;0,TRIM(U423)&lt;&gt;"Pass after CA"))),1,0)</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1</v>
      </c>
    </row>
    <row r="424" customFormat="false" ht="39.75" hidden="false" customHeight="true" outlineLevel="0" collapsed="false">
      <c r="A424" s="57" t="s">
        <v>1019</v>
      </c>
      <c r="B424" s="57" t="s">
        <v>251</v>
      </c>
      <c r="C424" s="57" t="str">
        <f aca="false">Flights!$F$16</f>
        <v>MH0139</v>
      </c>
      <c r="D424" s="58" t="n">
        <f aca="false">Flights!$D$16</f>
        <v>46307</v>
      </c>
      <c r="E424" s="57" t="str">
        <f aca="false">Flights!$G$16&amp;"-"&amp;Flights!$H$16</f>
        <v>KUL-ADL</v>
      </c>
      <c r="F424" s="57" t="str">
        <f aca="false">Flights!$K$16</f>
        <v>BC</v>
      </c>
      <c r="G424" s="57" t="s">
        <v>422</v>
      </c>
      <c r="H424" s="57" t="s">
        <v>423</v>
      </c>
      <c r="I424" s="57" t="s">
        <v>410</v>
      </c>
      <c r="J424" s="57" t="s">
        <v>618</v>
      </c>
      <c r="K424" s="67" t="s">
        <v>412</v>
      </c>
      <c r="L424" s="67" t="s">
        <v>999</v>
      </c>
      <c r="M424" s="67" t="s">
        <v>414</v>
      </c>
      <c r="N424" s="67" t="s">
        <v>346</v>
      </c>
      <c r="O424" s="67"/>
      <c r="P424" s="57" t="s">
        <v>177</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IF(N424="N/A – rule","N/A – RULE",IF(TRIM(U424)="N/A",IF(AT424=0,"INVALID – N/A not permitted for this mandatory check",IF(AND(TRIM(AC424)&lt;&gt;"",TRIM(AE424)&lt;&gt;"",TRIM(T424)&lt;&gt;""),"N/A – JUSTIFIED","INVALID – N/A needs justification, PIC and verifier")),IF(OR(TRIM(U424)="Pass",TRIM(U424)="Pass after CA"),IF(NOT(ISNUMBER(AD424)),"INVALID – completion time missing",IF(TRIM(T424)="","INVALID – PIC missing",IF(TRIM(Z424)="","INVALID – evidence missing",IF(TRIM(AE424)="","INVALID – verifier missing",IF(AND(AQ424=1,TRIM(W424)=""),"INVALID – batch ID missing",IF(AND(AR424=1,OR(NOT(ISNUMBER(X424)),NOT(ISNUMBER(Y424)))),"INVALID – expected/actual qty missing",IF(IF(AND(TRIM(U424)="Pass",ISNUMBER(AF424)),IF(AF424&lt;&gt;0,"INVALID – qty variance: use Fail or Pass after CA",""),"")&amp;IF(AND(TRIM(U424)="Pass",AB424="Open"),"INVALID – corrective action still open: use Fail, then Pass after CA","")&amp;IF(AND(TRIM(U424)="Pass after CA",OR(TRIM(AA424)="",AB424&lt;&gt;"Closed")),"INVALID – corrective action not recorded/closed","")&lt;&gt;"",IF(AND(TRIM(U424)="Pass",ISNUMBER(AF424)),IF(AF424&lt;&gt;0,"INVALID – qty variance: use Fail or Pass after CA",""),"")&amp;IF(AND(TRIM(U424)="Pass",AB424="Open"),"INVALID – corrective action still open: use Fail, then Pass after CA","")&amp;IF(AND(TRIM(U424)="Pass after CA",OR(TRIM(AA424)="",AB424&lt;&gt;"Closed")),"INVALID – corrective action not recorded/closed",""),IF(AND(AS424=1,Documents!$J$16&lt;&gt;"ON FILE"),"INVALID – GLD not on file (Documents sheet)",IF(AND(AS424=2,Documents!$O$16&lt;&gt;"ON FILE"),"INVALID – menu checklist not on file (Documents sheet)",IF(AND(AS424=3,NOT(ISNUMBER(Flights!$AX$16))),"INVALID – enter carrying flight KUL departure (Flights AX)",IF(AG424&gt;AsOfUTC,"INVALID – completion time is in the future",IF(AND(ISNUMBER(S424),AG424&lt;S424),IF(H424="Physical uplift","INVALID – before uplift window (cannot confirm loading)","INVALID – before valid window"),IF(AG424&gt;Flights!$AA$16,"INVALID – completed after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f>
        <v>OPEN</v>
      </c>
      <c r="AI424" s="61" t="n">
        <f aca="false">IF(OR(AH424="N/A – RULE",AH424="N/A – JUSTIFIED"),0,1)</f>
        <v>1</v>
      </c>
      <c r="AJ424" s="61" t="n">
        <f aca="false">IF(LEFT(AH424,8)="COMPLETE",1,0)</f>
        <v>0</v>
      </c>
      <c r="AK424" s="61" t="n">
        <f aca="false">IF(AND(AI424=1,AJ424=0,AsOfUTC&gt;Q424),1,0)</f>
        <v>0</v>
      </c>
      <c r="AL424" s="61" t="n">
        <f aca="false">IF(AND(AI424=1,OR(TRIM(U424)="Fail",AB424="Open",AND(ISNUMBER(AF424),AF424&lt;&gt;0,TRIM(U424)&lt;&gt;"Pass after CA"))),1,0)</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1</v>
      </c>
    </row>
    <row r="425" customFormat="false" ht="39.75" hidden="false" customHeight="true" outlineLevel="0" collapsed="false">
      <c r="A425" s="57" t="s">
        <v>1020</v>
      </c>
      <c r="B425" s="57" t="s">
        <v>251</v>
      </c>
      <c r="C425" s="57" t="str">
        <f aca="false">Flights!$F$16</f>
        <v>MH0139</v>
      </c>
      <c r="D425" s="58" t="n">
        <f aca="false">Flights!$D$16</f>
        <v>46307</v>
      </c>
      <c r="E425" s="57" t="str">
        <f aca="false">Flights!$G$16&amp;"-"&amp;Flights!$H$16</f>
        <v>KUL-ADL</v>
      </c>
      <c r="F425" s="57" t="str">
        <f aca="false">Flights!$K$16</f>
        <v>BC</v>
      </c>
      <c r="G425" s="57" t="s">
        <v>422</v>
      </c>
      <c r="H425" s="57" t="s">
        <v>423</v>
      </c>
      <c r="I425" s="57" t="s">
        <v>592</v>
      </c>
      <c r="J425" s="57" t="s">
        <v>620</v>
      </c>
      <c r="K425" s="67" t="s">
        <v>464</v>
      </c>
      <c r="L425" s="67" t="s">
        <v>1001</v>
      </c>
      <c r="M425" s="67" t="s">
        <v>177</v>
      </c>
      <c r="N425" s="67" t="s">
        <v>346</v>
      </c>
      <c r="O425" s="67" t="s">
        <v>595</v>
      </c>
      <c r="P425" s="57" t="s">
        <v>177</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IF(N425="N/A – rule","N/A – RULE",IF(TRIM(U425)="N/A",IF(AT425=0,"INVALID – N/A not permitted for this mandatory check",IF(AND(TRIM(AC425)&lt;&gt;"",TRIM(AE425)&lt;&gt;"",TRIM(T425)&lt;&gt;""),"N/A – JUSTIFIED","INVALID – N/A needs justification, PIC and verifier")),IF(OR(TRIM(U425)="Pass",TRIM(U425)="Pass after CA"),IF(NOT(ISNUMBER(AD425)),"INVALID – completion time missing",IF(TRIM(T425)="","INVALID – PIC missing",IF(TRIM(Z425)="","INVALID – evidence missing",IF(TRIM(AE425)="","INVALID – verifier missing",IF(AND(AQ425=1,TRIM(W425)=""),"INVALID – batch ID missing",IF(AND(AR425=1,OR(NOT(ISNUMBER(X425)),NOT(ISNUMBER(Y425)))),"INVALID – expected/actual qty missing",IF(IF(AND(TRIM(U425)="Pass",ISNUMBER(AF425)),IF(AF425&lt;&gt;0,"INVALID – qty variance: use Fail or Pass after CA",""),"")&amp;IF(AND(TRIM(U425)="Pass",AB425="Open"),"INVALID – corrective action still open: use Fail, then Pass after CA","")&amp;IF(AND(TRIM(U425)="Pass after CA",OR(TRIM(AA425)="",AB425&lt;&gt;"Closed")),"INVALID – corrective action not recorded/closed","")&lt;&gt;"",IF(AND(TRIM(U425)="Pass",ISNUMBER(AF425)),IF(AF425&lt;&gt;0,"INVALID – qty variance: use Fail or Pass after CA",""),"")&amp;IF(AND(TRIM(U425)="Pass",AB425="Open"),"INVALID – corrective action still open: use Fail, then Pass after CA","")&amp;IF(AND(TRIM(U425)="Pass after CA",OR(TRIM(AA425)="",AB425&lt;&gt;"Closed")),"INVALID – corrective action not recorded/closed",""),IF(AND(AS425=1,Documents!$J$16&lt;&gt;"ON FILE"),"INVALID – GLD not on file (Documents sheet)",IF(AND(AS425=2,Documents!$O$16&lt;&gt;"ON FILE"),"INVALID – menu checklist not on file (Documents sheet)",IF(AND(AS425=3,NOT(ISNUMBER(Flights!$AX$16))),"INVALID – enter carrying flight KUL departure (Flights AX)",IF(AG425&gt;AsOfUTC,"INVALID – completion time is in the future",IF(AND(ISNUMBER(S425),AG425&lt;S425),IF(H425="Physical uplift","INVALID – before uplift window (cannot confirm loading)","INVALID – before valid window"),IF(AG425&gt;Flights!$AA$16,"INVALID – completed after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f>
        <v>OPEN</v>
      </c>
      <c r="AI425" s="61" t="n">
        <f aca="false">IF(OR(AH425="N/A – RULE",AH425="N/A – JUSTIFIED"),0,1)</f>
        <v>1</v>
      </c>
      <c r="AJ425" s="61" t="n">
        <f aca="false">IF(LEFT(AH425,8)="COMPLETE",1,0)</f>
        <v>0</v>
      </c>
      <c r="AK425" s="61" t="n">
        <f aca="false">IF(AND(AI425=1,AJ425=0,AsOfUTC&gt;Q425),1,0)</f>
        <v>0</v>
      </c>
      <c r="AL425" s="61" t="n">
        <f aca="false">IF(AND(AI425=1,OR(TRIM(U425)="Fail",AB425="Open",AND(ISNUMBER(AF425),AF425&lt;&gt;0,TRIM(U425)&lt;&gt;"Pass after CA"))),1,0)</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1</v>
      </c>
    </row>
    <row r="426" customFormat="false" ht="39.75" hidden="false" customHeight="true" outlineLevel="0" collapsed="false">
      <c r="A426" s="57" t="s">
        <v>1021</v>
      </c>
      <c r="B426" s="57" t="s">
        <v>251</v>
      </c>
      <c r="C426" s="57" t="str">
        <f aca="false">Flights!$F$16</f>
        <v>MH0139</v>
      </c>
      <c r="D426" s="58" t="n">
        <f aca="false">Flights!$D$16</f>
        <v>46307</v>
      </c>
      <c r="E426" s="57" t="str">
        <f aca="false">Flights!$G$16&amp;"-"&amp;Flights!$H$16</f>
        <v>KUL-ADL</v>
      </c>
      <c r="F426" s="57" t="str">
        <f aca="false">Flights!$K$16</f>
        <v>BC</v>
      </c>
      <c r="G426" s="57" t="s">
        <v>422</v>
      </c>
      <c r="H426" s="57" t="s">
        <v>423</v>
      </c>
      <c r="I426" s="57" t="s">
        <v>597</v>
      </c>
      <c r="J426" s="57" t="s">
        <v>622</v>
      </c>
      <c r="K426" s="67" t="s">
        <v>1003</v>
      </c>
      <c r="L426" s="67" t="s">
        <v>1004</v>
      </c>
      <c r="M426" s="67" t="s">
        <v>414</v>
      </c>
      <c r="N426" s="67" t="s">
        <v>346</v>
      </c>
      <c r="O426" s="67" t="s">
        <v>1022</v>
      </c>
      <c r="P426" s="57" t="s">
        <v>177</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IF(N426="N/A – rule","N/A – RULE",IF(TRIM(U426)="N/A",IF(AT426=0,"INVALID – N/A not permitted for this mandatory check",IF(AND(TRIM(AC426)&lt;&gt;"",TRIM(AE426)&lt;&gt;"",TRIM(T426)&lt;&gt;""),"N/A – JUSTIFIED","INVALID – N/A needs justification, PIC and verifier")),IF(OR(TRIM(U426)="Pass",TRIM(U426)="Pass after CA"),IF(NOT(ISNUMBER(AD426)),"INVALID – completion time missing",IF(TRIM(T426)="","INVALID – PIC missing",IF(TRIM(Z426)="","INVALID – evidence missing",IF(TRIM(AE426)="","INVALID – verifier missing",IF(AND(AQ426=1,TRIM(W426)=""),"INVALID – batch ID missing",IF(AND(AR426=1,OR(NOT(ISNUMBER(X426)),NOT(ISNUMBER(Y426)))),"INVALID – expected/actual qty missing",IF(IF(AND(TRIM(U426)="Pass",ISNUMBER(AF426)),IF(AF426&lt;&gt;0,"INVALID – qty variance: use Fail or Pass after CA",""),"")&amp;IF(AND(TRIM(U426)="Pass",AB426="Open"),"INVALID – corrective action still open: use Fail, then Pass after CA","")&amp;IF(AND(TRIM(U426)="Pass after CA",OR(TRIM(AA426)="",AB426&lt;&gt;"Closed")),"INVALID – corrective action not recorded/closed","")&lt;&gt;"",IF(AND(TRIM(U426)="Pass",ISNUMBER(AF426)),IF(AF426&lt;&gt;0,"INVALID – qty variance: use Fail or Pass after CA",""),"")&amp;IF(AND(TRIM(U426)="Pass",AB426="Open"),"INVALID – corrective action still open: use Fail, then Pass after CA","")&amp;IF(AND(TRIM(U426)="Pass after CA",OR(TRIM(AA426)="",AB426&lt;&gt;"Closed")),"INVALID – corrective action not recorded/closed",""),IF(AND(AS426=1,Documents!$J$16&lt;&gt;"ON FILE"),"INVALID – GLD not on file (Documents sheet)",IF(AND(AS426=2,Documents!$O$16&lt;&gt;"ON FILE"),"INVALID – menu checklist not on file (Documents sheet)",IF(AND(AS426=3,NOT(ISNUMBER(Flights!$AX$16))),"INVALID – enter carrying flight KUL departure (Flights AX)",IF(AG426&gt;AsOfUTC,"INVALID – completion time is in the future",IF(AND(ISNUMBER(S426),AG426&lt;S426),IF(H426="Physical uplift","INVALID – before uplift window (cannot confirm loading)","INVALID – before valid window"),IF(AG426&gt;Flights!$AA$16,"INVALID – completed after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f>
        <v>OPEN</v>
      </c>
      <c r="AI426" s="61" t="n">
        <f aca="false">IF(OR(AH426="N/A – RULE",AH426="N/A – JUSTIFIED"),0,1)</f>
        <v>1</v>
      </c>
      <c r="AJ426" s="61" t="n">
        <f aca="false">IF(LEFT(AH426,8)="COMPLETE",1,0)</f>
        <v>0</v>
      </c>
      <c r="AK426" s="61" t="n">
        <f aca="false">IF(AND(AI426=1,AJ426=0,AsOfUTC&gt;Q426),1,0)</f>
        <v>0</v>
      </c>
      <c r="AL426" s="61" t="n">
        <f aca="false">IF(AND(AI426=1,OR(TRIM(U426)="Fail",AB426="Open",AND(ISNUMBER(AF426),AF426&lt;&gt;0,TRIM(U426)&lt;&gt;"Pass after CA"))),1,0)</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1</v>
      </c>
    </row>
    <row r="427" customFormat="false" ht="39.75" hidden="false" customHeight="true" outlineLevel="0" collapsed="false">
      <c r="A427" s="57" t="s">
        <v>1023</v>
      </c>
      <c r="B427" s="57" t="s">
        <v>262</v>
      </c>
      <c r="C427" s="57" t="str">
        <f aca="false">Flights!$F$17</f>
        <v>MH0138</v>
      </c>
      <c r="D427" s="58" t="n">
        <f aca="false">Flights!$D$17</f>
        <v>46309</v>
      </c>
      <c r="E427" s="57" t="str">
        <f aca="false">Flights!$G$17&amp;"-"&amp;Flights!$H$17</f>
        <v>ADL-KUL</v>
      </c>
      <c r="F427" s="57" t="str">
        <f aca="false">Flights!$K$17</f>
        <v>EY</v>
      </c>
      <c r="G427" s="57" t="s">
        <v>74</v>
      </c>
      <c r="H427" s="57" t="s">
        <v>341</v>
      </c>
      <c r="I427" s="57" t="s">
        <v>342</v>
      </c>
      <c r="J427" s="57" t="s">
        <v>343</v>
      </c>
      <c r="K427" s="67" t="s">
        <v>344</v>
      </c>
      <c r="L427" s="67" t="s">
        <v>345</v>
      </c>
      <c r="M427" s="67"/>
      <c r="N427" s="67" t="s">
        <v>346</v>
      </c>
      <c r="O427" s="67"/>
      <c r="P427" s="57" t="s">
        <v>253</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IF(N427="N/A – rule","N/A – RULE",IF(TRIM(U427)="N/A",IF(AT427=0,"INVALID – N/A not permitted for this mandatory check",IF(AND(TRIM(AC427)&lt;&gt;"",TRIM(AE427)&lt;&gt;"",TRIM(T427)&lt;&gt;""),"N/A – JUSTIFIED","INVALID – N/A needs justification, PIC and verifier")),IF(OR(TRIM(U427)="Pass",TRIM(U427)="Pass after CA"),IF(NOT(ISNUMBER(AD427)),"INVALID – completion time missing",IF(TRIM(T427)="","INVALID – PIC missing",IF(TRIM(Z427)="","INVALID – evidence missing",IF(TRIM(AE427)="","INVALID – verifier missing",IF(AND(AQ427=1,TRIM(W427)=""),"INVALID – batch ID missing",IF(AND(AR427=1,OR(NOT(ISNUMBER(X427)),NOT(ISNUMBER(Y427)))),"INVALID – expected/actual qty missing",IF(IF(AND(TRIM(U427)="Pass",ISNUMBER(AF427)),IF(AF427&lt;&gt;0,"INVALID – qty variance: use Fail or Pass after CA",""),"")&amp;IF(AND(TRIM(U427)="Pass",AB427="Open"),"INVALID – corrective action still open: use Fail, then Pass after CA","")&amp;IF(AND(TRIM(U427)="Pass after CA",OR(TRIM(AA427)="",AB427&lt;&gt;"Closed")),"INVALID – corrective action not recorded/closed","")&lt;&gt;"",IF(AND(TRIM(U427)="Pass",ISNUMBER(AF427)),IF(AF427&lt;&gt;0,"INVALID – qty variance: use Fail or Pass after CA",""),"")&amp;IF(AND(TRIM(U427)="Pass",AB427="Open"),"INVALID – corrective action still open: use Fail, then Pass after CA","")&amp;IF(AND(TRIM(U427)="Pass after CA",OR(TRIM(AA427)="",AB427&lt;&gt;"Closed")),"INVALID – corrective action not recorded/closed",""),IF(AND(AS427=1,Documents!$J$17&lt;&gt;"ON FILE"),"INVALID – GLD not on file (Documents sheet)",IF(AND(AS427=2,Documents!$O$17&lt;&gt;"ON FILE"),"INVALID – menu checklist not on file (Documents sheet)",IF(AND(AS427=3,NOT(ISNUMBER(Flights!$AX$17))),"INVALID – enter carrying flight KUL departure (Flights AX)",IF(AG427&gt;AsOfUTC,"INVALID – completion time is in the future",IF(AND(ISNUMBER(S427),AG427&lt;S427),IF(H427="Physical uplift","INVALID – before uplift window (cannot confirm loading)","INVALID – before valid window"),IF(AG427&gt;Flights!$AA$17,"INVALID – completed after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f>
        <v>OPEN</v>
      </c>
      <c r="AI427" s="61" t="n">
        <f aca="false">IF(OR(AH427="N/A – RULE",AH427="N/A – JUSTIFIED"),0,1)</f>
        <v>1</v>
      </c>
      <c r="AJ427" s="61" t="n">
        <f aca="false">IF(LEFT(AH427,8)="COMPLETE",1,0)</f>
        <v>0</v>
      </c>
      <c r="AK427" s="61" t="n">
        <f aca="false">IF(AND(AI427=1,AJ427=0,AsOfUTC&gt;Q427),1,0)</f>
        <v>0</v>
      </c>
      <c r="AL427" s="61" t="n">
        <f aca="false">IF(AND(AI427=1,OR(TRIM(U427)="Fail",AB427="Open",AND(ISNUMBER(AF427),AF427&lt;&gt;0,TRIM(U427)&lt;&gt;"Pass after CA"))),1,0)</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row>
    <row r="428" customFormat="false" ht="39.75" hidden="false" customHeight="true" outlineLevel="0" collapsed="false">
      <c r="A428" s="57" t="s">
        <v>1024</v>
      </c>
      <c r="B428" s="57" t="s">
        <v>262</v>
      </c>
      <c r="C428" s="57" t="str">
        <f aca="false">Flights!$F$17</f>
        <v>MH0138</v>
      </c>
      <c r="D428" s="58" t="n">
        <f aca="false">Flights!$D$17</f>
        <v>46309</v>
      </c>
      <c r="E428" s="57" t="str">
        <f aca="false">Flights!$G$17&amp;"-"&amp;Flights!$H$17</f>
        <v>ADL-KUL</v>
      </c>
      <c r="F428" s="57" t="str">
        <f aca="false">Flights!$K$17</f>
        <v>EY</v>
      </c>
      <c r="G428" s="57" t="s">
        <v>74</v>
      </c>
      <c r="H428" s="57" t="s">
        <v>341</v>
      </c>
      <c r="I428" s="57" t="s">
        <v>348</v>
      </c>
      <c r="J428" s="57" t="s">
        <v>349</v>
      </c>
      <c r="K428" s="67" t="s">
        <v>350</v>
      </c>
      <c r="L428" s="67" t="s">
        <v>345</v>
      </c>
      <c r="M428" s="67"/>
      <c r="N428" s="67" t="s">
        <v>346</v>
      </c>
      <c r="O428" s="67"/>
      <c r="P428" s="57" t="s">
        <v>253</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IF(N428="N/A – rule","N/A – RULE",IF(TRIM(U428)="N/A",IF(AT428=0,"INVALID – N/A not permitted for this mandatory check",IF(AND(TRIM(AC428)&lt;&gt;"",TRIM(AE428)&lt;&gt;"",TRIM(T428)&lt;&gt;""),"N/A – JUSTIFIED","INVALID – N/A needs justification, PIC and verifier")),IF(OR(TRIM(U428)="Pass",TRIM(U428)="Pass after CA"),IF(NOT(ISNUMBER(AD428)),"INVALID – completion time missing",IF(TRIM(T428)="","INVALID – PIC missing",IF(TRIM(Z428)="","INVALID – evidence missing",IF(TRIM(AE428)="","INVALID – verifier missing",IF(AND(AQ428=1,TRIM(W428)=""),"INVALID – batch ID missing",IF(AND(AR428=1,OR(NOT(ISNUMBER(X428)),NOT(ISNUMBER(Y428)))),"INVALID – expected/actual qty missing",IF(IF(AND(TRIM(U428)="Pass",ISNUMBER(AF428)),IF(AF428&lt;&gt;0,"INVALID – qty variance: use Fail or Pass after CA",""),"")&amp;IF(AND(TRIM(U428)="Pass",AB428="Open"),"INVALID – corrective action still open: use Fail, then Pass after CA","")&amp;IF(AND(TRIM(U428)="Pass after CA",OR(TRIM(AA428)="",AB428&lt;&gt;"Closed")),"INVALID – corrective action not recorded/closed","")&lt;&gt;"",IF(AND(TRIM(U428)="Pass",ISNUMBER(AF428)),IF(AF428&lt;&gt;0,"INVALID – qty variance: use Fail or Pass after CA",""),"")&amp;IF(AND(TRIM(U428)="Pass",AB428="Open"),"INVALID – corrective action still open: use Fail, then Pass after CA","")&amp;IF(AND(TRIM(U428)="Pass after CA",OR(TRIM(AA428)="",AB428&lt;&gt;"Closed")),"INVALID – corrective action not recorded/closed",""),IF(AND(AS428=1,Documents!$J$17&lt;&gt;"ON FILE"),"INVALID – GLD not on file (Documents sheet)",IF(AND(AS428=2,Documents!$O$17&lt;&gt;"ON FILE"),"INVALID – menu checklist not on file (Documents sheet)",IF(AND(AS428=3,NOT(ISNUMBER(Flights!$AX$17))),"INVALID – enter carrying flight KUL departure (Flights AX)",IF(AG428&gt;AsOfUTC,"INVALID – completion time is in the future",IF(AND(ISNUMBER(S428),AG428&lt;S428),IF(H428="Physical uplift","INVALID – before uplift window (cannot confirm loading)","INVALID – before valid window"),IF(AG428&gt;Flights!$AA$17,"INVALID – completed after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f>
        <v>OPEN</v>
      </c>
      <c r="AI428" s="61" t="n">
        <f aca="false">IF(OR(AH428="N/A – RULE",AH428="N/A – JUSTIFIED"),0,1)</f>
        <v>1</v>
      </c>
      <c r="AJ428" s="61" t="n">
        <f aca="false">IF(LEFT(AH428,8)="COMPLETE",1,0)</f>
        <v>0</v>
      </c>
      <c r="AK428" s="61" t="n">
        <f aca="false">IF(AND(AI428=1,AJ428=0,AsOfUTC&gt;Q428),1,0)</f>
        <v>0</v>
      </c>
      <c r="AL428" s="61" t="n">
        <f aca="false">IF(AND(AI428=1,OR(TRIM(U428)="Fail",AB428="Open",AND(ISNUMBER(AF428),AF428&lt;&gt;0,TRIM(U428)&lt;&gt;"Pass after CA"))),1,0)</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1</v>
      </c>
    </row>
    <row r="429" customFormat="false" ht="41.25" hidden="false" customHeight="true" outlineLevel="0" collapsed="false">
      <c r="A429" s="57" t="s">
        <v>1025</v>
      </c>
      <c r="B429" s="57" t="s">
        <v>262</v>
      </c>
      <c r="C429" s="57" t="str">
        <f aca="false">Flights!$F$17</f>
        <v>MH0138</v>
      </c>
      <c r="D429" s="58" t="n">
        <f aca="false">Flights!$D$17</f>
        <v>46309</v>
      </c>
      <c r="E429" s="57" t="str">
        <f aca="false">Flights!$G$17&amp;"-"&amp;Flights!$H$17</f>
        <v>ADL-KUL</v>
      </c>
      <c r="F429" s="57" t="str">
        <f aca="false">Flights!$K$17</f>
        <v>EY</v>
      </c>
      <c r="G429" s="57" t="s">
        <v>74</v>
      </c>
      <c r="H429" s="57" t="s">
        <v>341</v>
      </c>
      <c r="I429" s="57" t="s">
        <v>352</v>
      </c>
      <c r="J429" s="57" t="s">
        <v>353</v>
      </c>
      <c r="K429" s="67" t="s">
        <v>354</v>
      </c>
      <c r="L429" s="67" t="s">
        <v>345</v>
      </c>
      <c r="M429" s="67"/>
      <c r="N429" s="67" t="str">
        <f aca="false">IF(TRIM(Flights!$L$17)="A339","Required","N/A – rule")</f>
        <v>Required</v>
      </c>
      <c r="O429" s="67" t="s">
        <v>355</v>
      </c>
      <c r="P429" s="57" t="s">
        <v>253</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IF(N429="N/A – rule","N/A – RULE",IF(TRIM(U429)="N/A",IF(AT429=0,"INVALID – N/A not permitted for this mandatory check",IF(AND(TRIM(AC429)&lt;&gt;"",TRIM(AE429)&lt;&gt;"",TRIM(T429)&lt;&gt;""),"N/A – JUSTIFIED","INVALID – N/A needs justification, PIC and verifier")),IF(OR(TRIM(U429)="Pass",TRIM(U429)="Pass after CA"),IF(NOT(ISNUMBER(AD429)),"INVALID – completion time missing",IF(TRIM(T429)="","INVALID – PIC missing",IF(TRIM(Z429)="","INVALID – evidence missing",IF(TRIM(AE429)="","INVALID – verifier missing",IF(AND(AQ429=1,TRIM(W429)=""),"INVALID – batch ID missing",IF(AND(AR429=1,OR(NOT(ISNUMBER(X429)),NOT(ISNUMBER(Y429)))),"INVALID – expected/actual qty missing",IF(IF(AND(TRIM(U429)="Pass",ISNUMBER(AF429)),IF(AF429&lt;&gt;0,"INVALID – qty variance: use Fail or Pass after CA",""),"")&amp;IF(AND(TRIM(U429)="Pass",AB429="Open"),"INVALID – corrective action still open: use Fail, then Pass after CA","")&amp;IF(AND(TRIM(U429)="Pass after CA",OR(TRIM(AA429)="",AB429&lt;&gt;"Closed")),"INVALID – corrective action not recorded/closed","")&lt;&gt;"",IF(AND(TRIM(U429)="Pass",ISNUMBER(AF429)),IF(AF429&lt;&gt;0,"INVALID – qty variance: use Fail or Pass after CA",""),"")&amp;IF(AND(TRIM(U429)="Pass",AB429="Open"),"INVALID – corrective action still open: use Fail, then Pass after CA","")&amp;IF(AND(TRIM(U429)="Pass after CA",OR(TRIM(AA429)="",AB429&lt;&gt;"Closed")),"INVALID – corrective action not recorded/closed",""),IF(AND(AS429=1,Documents!$J$17&lt;&gt;"ON FILE"),"INVALID – GLD not on file (Documents sheet)",IF(AND(AS429=2,Documents!$O$17&lt;&gt;"ON FILE"),"INVALID – menu checklist not on file (Documents sheet)",IF(AND(AS429=3,NOT(ISNUMBER(Flights!$AX$17))),"INVALID – enter carrying flight KUL departure (Flights AX)",IF(AG429&gt;AsOfUTC,"INVALID – completion time is in the future",IF(AND(ISNUMBER(S429),AG429&lt;S429),IF(H429="Physical uplift","INVALID – before uplift window (cannot confirm loading)","INVALID – before valid window"),IF(AG429&gt;Flights!$AA$17,"INVALID – completed after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f>
        <v>OPEN</v>
      </c>
      <c r="AI429" s="61" t="n">
        <f aca="false">IF(OR(AH429="N/A – RULE",AH429="N/A – JUSTIFIED"),0,1)</f>
        <v>1</v>
      </c>
      <c r="AJ429" s="61" t="n">
        <f aca="false">IF(LEFT(AH429,8)="COMPLETE",1,0)</f>
        <v>0</v>
      </c>
      <c r="AK429" s="61" t="n">
        <f aca="false">IF(AND(AI429=1,AJ429=0,AsOfUTC&gt;Q429),1,0)</f>
        <v>0</v>
      </c>
      <c r="AL429" s="61" t="n">
        <f aca="false">IF(AND(AI429=1,OR(TRIM(U429)="Fail",AB429="Open",AND(ISNUMBER(AF429),AF429&lt;&gt;0,TRIM(U429)&lt;&gt;"Pass after CA"))),1,0)</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row>
    <row r="430" customFormat="false" ht="39.75" hidden="false" customHeight="true" outlineLevel="0" collapsed="false">
      <c r="A430" s="57" t="s">
        <v>1026</v>
      </c>
      <c r="B430" s="57" t="s">
        <v>262</v>
      </c>
      <c r="C430" s="57" t="str">
        <f aca="false">Flights!$F$17</f>
        <v>MH0138</v>
      </c>
      <c r="D430" s="58" t="n">
        <f aca="false">Flights!$D$17</f>
        <v>46309</v>
      </c>
      <c r="E430" s="57" t="str">
        <f aca="false">Flights!$G$17&amp;"-"&amp;Flights!$H$17</f>
        <v>ADL-KUL</v>
      </c>
      <c r="F430" s="57" t="str">
        <f aca="false">Flights!$K$17</f>
        <v>EY</v>
      </c>
      <c r="G430" s="57" t="s">
        <v>74</v>
      </c>
      <c r="H430" s="57" t="s">
        <v>341</v>
      </c>
      <c r="I430" s="57" t="s">
        <v>357</v>
      </c>
      <c r="J430" s="57" t="s">
        <v>358</v>
      </c>
      <c r="K430" s="67" t="s">
        <v>359</v>
      </c>
      <c r="L430" s="67" t="s">
        <v>345</v>
      </c>
      <c r="M430" s="67"/>
      <c r="N430" s="67" t="s">
        <v>346</v>
      </c>
      <c r="O430" s="67"/>
      <c r="P430" s="57" t="s">
        <v>253</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IF(N430="N/A – rule","N/A – RULE",IF(TRIM(U430)="N/A",IF(AT430=0,"INVALID – N/A not permitted for this mandatory check",IF(AND(TRIM(AC430)&lt;&gt;"",TRIM(AE430)&lt;&gt;"",TRIM(T430)&lt;&gt;""),"N/A – JUSTIFIED","INVALID – N/A needs justification, PIC and verifier")),IF(OR(TRIM(U430)="Pass",TRIM(U430)="Pass after CA"),IF(NOT(ISNUMBER(AD430)),"INVALID – completion time missing",IF(TRIM(T430)="","INVALID – PIC missing",IF(TRIM(Z430)="","INVALID – evidence missing",IF(TRIM(AE430)="","INVALID – verifier missing",IF(AND(AQ430=1,TRIM(W430)=""),"INVALID – batch ID missing",IF(AND(AR430=1,OR(NOT(ISNUMBER(X430)),NOT(ISNUMBER(Y430)))),"INVALID – expected/actual qty missing",IF(IF(AND(TRIM(U430)="Pass",ISNUMBER(AF430)),IF(AF430&lt;&gt;0,"INVALID – qty variance: use Fail or Pass after CA",""),"")&amp;IF(AND(TRIM(U430)="Pass",AB430="Open"),"INVALID – corrective action still open: use Fail, then Pass after CA","")&amp;IF(AND(TRIM(U430)="Pass after CA",OR(TRIM(AA430)="",AB430&lt;&gt;"Closed")),"INVALID – corrective action not recorded/closed","")&lt;&gt;"",IF(AND(TRIM(U430)="Pass",ISNUMBER(AF430)),IF(AF430&lt;&gt;0,"INVALID – qty variance: use Fail or Pass after CA",""),"")&amp;IF(AND(TRIM(U430)="Pass",AB430="Open"),"INVALID – corrective action still open: use Fail, then Pass after CA","")&amp;IF(AND(TRIM(U430)="Pass after CA",OR(TRIM(AA430)="",AB430&lt;&gt;"Closed")),"INVALID – corrective action not recorded/closed",""),IF(AND(AS430=1,Documents!$J$17&lt;&gt;"ON FILE"),"INVALID – GLD not on file (Documents sheet)",IF(AND(AS430=2,Documents!$O$17&lt;&gt;"ON FILE"),"INVALID – menu checklist not on file (Documents sheet)",IF(AND(AS430=3,NOT(ISNUMBER(Flights!$AX$17))),"INVALID – enter carrying flight KUL departure (Flights AX)",IF(AG430&gt;AsOfUTC,"INVALID – completion time is in the future",IF(AND(ISNUMBER(S430),AG430&lt;S430),IF(H430="Physical uplift","INVALID – before uplift window (cannot confirm loading)","INVALID – before valid window"),IF(AG430&gt;Flights!$AA$17,"INVALID – completed after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f>
        <v>OPEN</v>
      </c>
      <c r="AI430" s="61" t="n">
        <f aca="false">IF(OR(AH430="N/A – RULE",AH430="N/A – JUSTIFIED"),0,1)</f>
        <v>1</v>
      </c>
      <c r="AJ430" s="61" t="n">
        <f aca="false">IF(LEFT(AH430,8)="COMPLETE",1,0)</f>
        <v>0</v>
      </c>
      <c r="AK430" s="61" t="n">
        <f aca="false">IF(AND(AI430=1,AJ430=0,AsOfUTC&gt;Q430),1,0)</f>
        <v>0</v>
      </c>
      <c r="AL430" s="61" t="n">
        <f aca="false">IF(AND(AI430=1,OR(TRIM(U430)="Fail",AB430="Open",AND(ISNUMBER(AF430),AF430&lt;&gt;0,TRIM(U430)&lt;&gt;"Pass after CA"))),1,0)</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row>
    <row r="431" customFormat="false" ht="39.75" hidden="false" customHeight="true" outlineLevel="0" collapsed="false">
      <c r="A431" s="57" t="s">
        <v>1027</v>
      </c>
      <c r="B431" s="57" t="s">
        <v>262</v>
      </c>
      <c r="C431" s="57" t="str">
        <f aca="false">Flights!$F$17</f>
        <v>MH0138</v>
      </c>
      <c r="D431" s="58" t="n">
        <f aca="false">Flights!$D$17</f>
        <v>46309</v>
      </c>
      <c r="E431" s="57" t="str">
        <f aca="false">Flights!$G$17&amp;"-"&amp;Flights!$H$17</f>
        <v>ADL-KUL</v>
      </c>
      <c r="F431" s="57" t="str">
        <f aca="false">Flights!$K$17</f>
        <v>EY</v>
      </c>
      <c r="G431" s="57" t="s">
        <v>74</v>
      </c>
      <c r="H431" s="57" t="s">
        <v>341</v>
      </c>
      <c r="I431" s="57" t="s">
        <v>361</v>
      </c>
      <c r="J431" s="57" t="s">
        <v>362</v>
      </c>
      <c r="K431" s="67" t="s">
        <v>363</v>
      </c>
      <c r="L431" s="67" t="s">
        <v>345</v>
      </c>
      <c r="M431" s="67"/>
      <c r="N431" s="67" t="s">
        <v>346</v>
      </c>
      <c r="O431" s="67"/>
      <c r="P431" s="57" t="s">
        <v>253</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IF(N431="N/A – rule","N/A – RULE",IF(TRIM(U431)="N/A",IF(AT431=0,"INVALID – N/A not permitted for this mandatory check",IF(AND(TRIM(AC431)&lt;&gt;"",TRIM(AE431)&lt;&gt;"",TRIM(T431)&lt;&gt;""),"N/A – JUSTIFIED","INVALID – N/A needs justification, PIC and verifier")),IF(OR(TRIM(U431)="Pass",TRIM(U431)="Pass after CA"),IF(NOT(ISNUMBER(AD431)),"INVALID – completion time missing",IF(TRIM(T431)="","INVALID – PIC missing",IF(TRIM(Z431)="","INVALID – evidence missing",IF(TRIM(AE431)="","INVALID – verifier missing",IF(AND(AQ431=1,TRIM(W431)=""),"INVALID – batch ID missing",IF(AND(AR431=1,OR(NOT(ISNUMBER(X431)),NOT(ISNUMBER(Y431)))),"INVALID – expected/actual qty missing",IF(IF(AND(TRIM(U431)="Pass",ISNUMBER(AF431)),IF(AF431&lt;&gt;0,"INVALID – qty variance: use Fail or Pass after CA",""),"")&amp;IF(AND(TRIM(U431)="Pass",AB431="Open"),"INVALID – corrective action still open: use Fail, then Pass after CA","")&amp;IF(AND(TRIM(U431)="Pass after CA",OR(TRIM(AA431)="",AB431&lt;&gt;"Closed")),"INVALID – corrective action not recorded/closed","")&lt;&gt;"",IF(AND(TRIM(U431)="Pass",ISNUMBER(AF431)),IF(AF431&lt;&gt;0,"INVALID – qty variance: use Fail or Pass after CA",""),"")&amp;IF(AND(TRIM(U431)="Pass",AB431="Open"),"INVALID – corrective action still open: use Fail, then Pass after CA","")&amp;IF(AND(TRIM(U431)="Pass after CA",OR(TRIM(AA431)="",AB431&lt;&gt;"Closed")),"INVALID – corrective action not recorded/closed",""),IF(AND(AS431=1,Documents!$J$17&lt;&gt;"ON FILE"),"INVALID – GLD not on file (Documents sheet)",IF(AND(AS431=2,Documents!$O$17&lt;&gt;"ON FILE"),"INVALID – menu checklist not on file (Documents sheet)",IF(AND(AS431=3,NOT(ISNUMBER(Flights!$AX$17))),"INVALID – enter carrying flight KUL departure (Flights AX)",IF(AG431&gt;AsOfUTC,"INVALID – completion time is in the future",IF(AND(ISNUMBER(S431),AG431&lt;S431),IF(H431="Physical uplift","INVALID – before uplift window (cannot confirm loading)","INVALID – before valid window"),IF(AG431&gt;Flights!$AA$17,"INVALID – completed after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f>
        <v>OPEN</v>
      </c>
      <c r="AI431" s="61" t="n">
        <f aca="false">IF(OR(AH431="N/A – RULE",AH431="N/A – JUSTIFIED"),0,1)</f>
        <v>1</v>
      </c>
      <c r="AJ431" s="61" t="n">
        <f aca="false">IF(LEFT(AH431,8)="COMPLETE",1,0)</f>
        <v>0</v>
      </c>
      <c r="AK431" s="61" t="n">
        <f aca="false">IF(AND(AI431=1,AJ431=0,AsOfUTC&gt;Q431),1,0)</f>
        <v>0</v>
      </c>
      <c r="AL431" s="61" t="n">
        <f aca="false">IF(AND(AI431=1,OR(TRIM(U431)="Fail",AB431="Open",AND(ISNUMBER(AF431),AF431&lt;&gt;0,TRIM(U431)&lt;&gt;"Pass after CA"))),1,0)</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row>
    <row r="432" customFormat="false" ht="39.75" hidden="false" customHeight="true" outlineLevel="0" collapsed="false">
      <c r="A432" s="57" t="s">
        <v>1028</v>
      </c>
      <c r="B432" s="57" t="s">
        <v>262</v>
      </c>
      <c r="C432" s="57" t="str">
        <f aca="false">Flights!$F$17</f>
        <v>MH0138</v>
      </c>
      <c r="D432" s="58" t="n">
        <f aca="false">Flights!$D$17</f>
        <v>46309</v>
      </c>
      <c r="E432" s="57" t="str">
        <f aca="false">Flights!$G$17&amp;"-"&amp;Flights!$H$17</f>
        <v>ADL-KUL</v>
      </c>
      <c r="F432" s="57" t="str">
        <f aca="false">Flights!$K$17</f>
        <v>EY</v>
      </c>
      <c r="G432" s="57" t="s">
        <v>74</v>
      </c>
      <c r="H432" s="57" t="s">
        <v>341</v>
      </c>
      <c r="I432" s="57" t="s">
        <v>361</v>
      </c>
      <c r="J432" s="57" t="s">
        <v>365</v>
      </c>
      <c r="K432" s="67" t="s">
        <v>366</v>
      </c>
      <c r="L432" s="67" t="s">
        <v>345</v>
      </c>
      <c r="M432" s="67"/>
      <c r="N432" s="67" t="s">
        <v>346</v>
      </c>
      <c r="O432" s="67"/>
      <c r="P432" s="57" t="s">
        <v>253</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IF(N432="N/A – rule","N/A – RULE",IF(TRIM(U432)="N/A",IF(AT432=0,"INVALID – N/A not permitted for this mandatory check",IF(AND(TRIM(AC432)&lt;&gt;"",TRIM(AE432)&lt;&gt;"",TRIM(T432)&lt;&gt;""),"N/A – JUSTIFIED","INVALID – N/A needs justification, PIC and verifier")),IF(OR(TRIM(U432)="Pass",TRIM(U432)="Pass after CA"),IF(NOT(ISNUMBER(AD432)),"INVALID – completion time missing",IF(TRIM(T432)="","INVALID – PIC missing",IF(TRIM(Z432)="","INVALID – evidence missing",IF(TRIM(AE432)="","INVALID – verifier missing",IF(AND(AQ432=1,TRIM(W432)=""),"INVALID – batch ID missing",IF(AND(AR432=1,OR(NOT(ISNUMBER(X432)),NOT(ISNUMBER(Y432)))),"INVALID – expected/actual qty missing",IF(IF(AND(TRIM(U432)="Pass",ISNUMBER(AF432)),IF(AF432&lt;&gt;0,"INVALID – qty variance: use Fail or Pass after CA",""),"")&amp;IF(AND(TRIM(U432)="Pass",AB432="Open"),"INVALID – corrective action still open: use Fail, then Pass after CA","")&amp;IF(AND(TRIM(U432)="Pass after CA",OR(TRIM(AA432)="",AB432&lt;&gt;"Closed")),"INVALID – corrective action not recorded/closed","")&lt;&gt;"",IF(AND(TRIM(U432)="Pass",ISNUMBER(AF432)),IF(AF432&lt;&gt;0,"INVALID – qty variance: use Fail or Pass after CA",""),"")&amp;IF(AND(TRIM(U432)="Pass",AB432="Open"),"INVALID – corrective action still open: use Fail, then Pass after CA","")&amp;IF(AND(TRIM(U432)="Pass after CA",OR(TRIM(AA432)="",AB432&lt;&gt;"Closed")),"INVALID – corrective action not recorded/closed",""),IF(AND(AS432=1,Documents!$J$17&lt;&gt;"ON FILE"),"INVALID – GLD not on file (Documents sheet)",IF(AND(AS432=2,Documents!$O$17&lt;&gt;"ON FILE"),"INVALID – menu checklist not on file (Documents sheet)",IF(AND(AS432=3,NOT(ISNUMBER(Flights!$AX$17))),"INVALID – enter carrying flight KUL departure (Flights AX)",IF(AG432&gt;AsOfUTC,"INVALID – completion time is in the future",IF(AND(ISNUMBER(S432),AG432&lt;S432),IF(H432="Physical uplift","INVALID – before uplift window (cannot confirm loading)","INVALID – before valid window"),IF(AG432&gt;Flights!$AA$17,"INVALID – completed after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f>
        <v>OPEN</v>
      </c>
      <c r="AI432" s="61" t="n">
        <f aca="false">IF(OR(AH432="N/A – RULE",AH432="N/A – JUSTIFIED"),0,1)</f>
        <v>1</v>
      </c>
      <c r="AJ432" s="61" t="n">
        <f aca="false">IF(LEFT(AH432,8)="COMPLETE",1,0)</f>
        <v>0</v>
      </c>
      <c r="AK432" s="61" t="n">
        <f aca="false">IF(AND(AI432=1,AJ432=0,AsOfUTC&gt;Q432),1,0)</f>
        <v>0</v>
      </c>
      <c r="AL432" s="61" t="n">
        <f aca="false">IF(AND(AI432=1,OR(TRIM(U432)="Fail",AB432="Open",AND(ISNUMBER(AF432),AF432&lt;&gt;0,TRIM(U432)&lt;&gt;"Pass after CA"))),1,0)</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row>
    <row r="433" customFormat="false" ht="39.75" hidden="false" customHeight="true" outlineLevel="0" collapsed="false">
      <c r="A433" s="57" t="s">
        <v>1029</v>
      </c>
      <c r="B433" s="57" t="s">
        <v>262</v>
      </c>
      <c r="C433" s="57" t="str">
        <f aca="false">Flights!$F$17</f>
        <v>MH0138</v>
      </c>
      <c r="D433" s="58" t="n">
        <f aca="false">Flights!$D$17</f>
        <v>46309</v>
      </c>
      <c r="E433" s="57" t="str">
        <f aca="false">Flights!$G$17&amp;"-"&amp;Flights!$H$17</f>
        <v>ADL-KUL</v>
      </c>
      <c r="F433" s="57" t="str">
        <f aca="false">Flights!$K$17</f>
        <v>EY</v>
      </c>
      <c r="G433" s="57" t="s">
        <v>74</v>
      </c>
      <c r="H433" s="57" t="s">
        <v>341</v>
      </c>
      <c r="I433" s="57" t="s">
        <v>368</v>
      </c>
      <c r="J433" s="57" t="s">
        <v>369</v>
      </c>
      <c r="K433" s="67" t="s">
        <v>370</v>
      </c>
      <c r="L433" s="67" t="s">
        <v>345</v>
      </c>
      <c r="M433" s="67"/>
      <c r="N433" s="67" t="s">
        <v>346</v>
      </c>
      <c r="O433" s="67"/>
      <c r="P433" s="57" t="s">
        <v>253</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IF(N433="N/A – rule","N/A – RULE",IF(TRIM(U433)="N/A",IF(AT433=0,"INVALID – N/A not permitted for this mandatory check",IF(AND(TRIM(AC433)&lt;&gt;"",TRIM(AE433)&lt;&gt;"",TRIM(T433)&lt;&gt;""),"N/A – JUSTIFIED","INVALID – N/A needs justification, PIC and verifier")),IF(OR(TRIM(U433)="Pass",TRIM(U433)="Pass after CA"),IF(NOT(ISNUMBER(AD433)),"INVALID – completion time missing",IF(TRIM(T433)="","INVALID – PIC missing",IF(TRIM(Z433)="","INVALID – evidence missing",IF(TRIM(AE433)="","INVALID – verifier missing",IF(AND(AQ433=1,TRIM(W433)=""),"INVALID – batch ID missing",IF(AND(AR433=1,OR(NOT(ISNUMBER(X433)),NOT(ISNUMBER(Y433)))),"INVALID – expected/actual qty missing",IF(IF(AND(TRIM(U433)="Pass",ISNUMBER(AF433)),IF(AF433&lt;&gt;0,"INVALID – qty variance: use Fail or Pass after CA",""),"")&amp;IF(AND(TRIM(U433)="Pass",AB433="Open"),"INVALID – corrective action still open: use Fail, then Pass after CA","")&amp;IF(AND(TRIM(U433)="Pass after CA",OR(TRIM(AA433)="",AB433&lt;&gt;"Closed")),"INVALID – corrective action not recorded/closed","")&lt;&gt;"",IF(AND(TRIM(U433)="Pass",ISNUMBER(AF433)),IF(AF433&lt;&gt;0,"INVALID – qty variance: use Fail or Pass after CA",""),"")&amp;IF(AND(TRIM(U433)="Pass",AB433="Open"),"INVALID – corrective action still open: use Fail, then Pass after CA","")&amp;IF(AND(TRIM(U433)="Pass after CA",OR(TRIM(AA433)="",AB433&lt;&gt;"Closed")),"INVALID – corrective action not recorded/closed",""),IF(AND(AS433=1,Documents!$J$17&lt;&gt;"ON FILE"),"INVALID – GLD not on file (Documents sheet)",IF(AND(AS433=2,Documents!$O$17&lt;&gt;"ON FILE"),"INVALID – menu checklist not on file (Documents sheet)",IF(AND(AS433=3,NOT(ISNUMBER(Flights!$AX$17))),"INVALID – enter carrying flight KUL departure (Flights AX)",IF(AG433&gt;AsOfUTC,"INVALID – completion time is in the future",IF(AND(ISNUMBER(S433),AG433&lt;S433),IF(H433="Physical uplift","INVALID – before uplift window (cannot confirm loading)","INVALID – before valid window"),IF(AG433&gt;Flights!$AA$17,"INVALID – completed after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f>
        <v>OPEN</v>
      </c>
      <c r="AI433" s="61" t="n">
        <f aca="false">IF(OR(AH433="N/A – RULE",AH433="N/A – JUSTIFIED"),0,1)</f>
        <v>1</v>
      </c>
      <c r="AJ433" s="61" t="n">
        <f aca="false">IF(LEFT(AH433,8)="COMPLETE",1,0)</f>
        <v>0</v>
      </c>
      <c r="AK433" s="61" t="n">
        <f aca="false">IF(AND(AI433=1,AJ433=0,AsOfUTC&gt;Q433),1,0)</f>
        <v>0</v>
      </c>
      <c r="AL433" s="61" t="n">
        <f aca="false">IF(AND(AI433=1,OR(TRIM(U433)="Fail",AB433="Open",AND(ISNUMBER(AF433),AF433&lt;&gt;0,TRIM(U433)&lt;&gt;"Pass after CA"))),1,0)</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row>
    <row r="434" customFormat="false" ht="39.75" hidden="false" customHeight="true" outlineLevel="0" collapsed="false">
      <c r="A434" s="57" t="s">
        <v>1030</v>
      </c>
      <c r="B434" s="57" t="s">
        <v>262</v>
      </c>
      <c r="C434" s="57" t="str">
        <f aca="false">Flights!$F$17</f>
        <v>MH0138</v>
      </c>
      <c r="D434" s="58" t="n">
        <f aca="false">Flights!$D$17</f>
        <v>46309</v>
      </c>
      <c r="E434" s="57" t="str">
        <f aca="false">Flights!$G$17&amp;"-"&amp;Flights!$H$17</f>
        <v>ADL-KUL</v>
      </c>
      <c r="F434" s="57" t="str">
        <f aca="false">Flights!$K$17</f>
        <v>EY</v>
      </c>
      <c r="G434" s="57" t="s">
        <v>74</v>
      </c>
      <c r="H434" s="57" t="s">
        <v>341</v>
      </c>
      <c r="I434" s="57" t="s">
        <v>368</v>
      </c>
      <c r="J434" s="57" t="s">
        <v>372</v>
      </c>
      <c r="K434" s="67" t="s">
        <v>370</v>
      </c>
      <c r="L434" s="67" t="s">
        <v>345</v>
      </c>
      <c r="M434" s="67"/>
      <c r="N434" s="67" t="s">
        <v>346</v>
      </c>
      <c r="O434" s="67"/>
      <c r="P434" s="57" t="s">
        <v>253</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IF(N434="N/A – rule","N/A – RULE",IF(TRIM(U434)="N/A",IF(AT434=0,"INVALID – N/A not permitted for this mandatory check",IF(AND(TRIM(AC434)&lt;&gt;"",TRIM(AE434)&lt;&gt;"",TRIM(T434)&lt;&gt;""),"N/A – JUSTIFIED","INVALID – N/A needs justification, PIC and verifier")),IF(OR(TRIM(U434)="Pass",TRIM(U434)="Pass after CA"),IF(NOT(ISNUMBER(AD434)),"INVALID – completion time missing",IF(TRIM(T434)="","INVALID – PIC missing",IF(TRIM(Z434)="","INVALID – evidence missing",IF(TRIM(AE434)="","INVALID – verifier missing",IF(AND(AQ434=1,TRIM(W434)=""),"INVALID – batch ID missing",IF(AND(AR434=1,OR(NOT(ISNUMBER(X434)),NOT(ISNUMBER(Y434)))),"INVALID – expected/actual qty missing",IF(IF(AND(TRIM(U434)="Pass",ISNUMBER(AF434)),IF(AF434&lt;&gt;0,"INVALID – qty variance: use Fail or Pass after CA",""),"")&amp;IF(AND(TRIM(U434)="Pass",AB434="Open"),"INVALID – corrective action still open: use Fail, then Pass after CA","")&amp;IF(AND(TRIM(U434)="Pass after CA",OR(TRIM(AA434)="",AB434&lt;&gt;"Closed")),"INVALID – corrective action not recorded/closed","")&lt;&gt;"",IF(AND(TRIM(U434)="Pass",ISNUMBER(AF434)),IF(AF434&lt;&gt;0,"INVALID – qty variance: use Fail or Pass after CA",""),"")&amp;IF(AND(TRIM(U434)="Pass",AB434="Open"),"INVALID – corrective action still open: use Fail, then Pass after CA","")&amp;IF(AND(TRIM(U434)="Pass after CA",OR(TRIM(AA434)="",AB434&lt;&gt;"Closed")),"INVALID – corrective action not recorded/closed",""),IF(AND(AS434=1,Documents!$J$17&lt;&gt;"ON FILE"),"INVALID – GLD not on file (Documents sheet)",IF(AND(AS434=2,Documents!$O$17&lt;&gt;"ON FILE"),"INVALID – menu checklist not on file (Documents sheet)",IF(AND(AS434=3,NOT(ISNUMBER(Flights!$AX$17))),"INVALID – enter carrying flight KUL departure (Flights AX)",IF(AG434&gt;AsOfUTC,"INVALID – completion time is in the future",IF(AND(ISNUMBER(S434),AG434&lt;S434),IF(H434="Physical uplift","INVALID – before uplift window (cannot confirm loading)","INVALID – before valid window"),IF(AG434&gt;Flights!$AA$17,"INVALID – completed after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f>
        <v>OPEN</v>
      </c>
      <c r="AI434" s="61" t="n">
        <f aca="false">IF(OR(AH434="N/A – RULE",AH434="N/A – JUSTIFIED"),0,1)</f>
        <v>1</v>
      </c>
      <c r="AJ434" s="61" t="n">
        <f aca="false">IF(LEFT(AH434,8)="COMPLETE",1,0)</f>
        <v>0</v>
      </c>
      <c r="AK434" s="61" t="n">
        <f aca="false">IF(AND(AI434=1,AJ434=0,AsOfUTC&gt;Q434),1,0)</f>
        <v>0</v>
      </c>
      <c r="AL434" s="61" t="n">
        <f aca="false">IF(AND(AI434=1,OR(TRIM(U434)="Fail",AB434="Open",AND(ISNUMBER(AF434),AF434&lt;&gt;0,TRIM(U434)&lt;&gt;"Pass after CA"))),1,0)</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row>
    <row r="435" customFormat="false" ht="39.75" hidden="false" customHeight="true" outlineLevel="0" collapsed="false">
      <c r="A435" s="57" t="s">
        <v>1031</v>
      </c>
      <c r="B435" s="57" t="s">
        <v>262</v>
      </c>
      <c r="C435" s="57" t="str">
        <f aca="false">Flights!$F$17</f>
        <v>MH0138</v>
      </c>
      <c r="D435" s="58" t="n">
        <f aca="false">Flights!$D$17</f>
        <v>46309</v>
      </c>
      <c r="E435" s="57" t="str">
        <f aca="false">Flights!$G$17&amp;"-"&amp;Flights!$H$17</f>
        <v>ADL-KUL</v>
      </c>
      <c r="F435" s="57" t="str">
        <f aca="false">Flights!$K$17</f>
        <v>EY</v>
      </c>
      <c r="G435" s="57" t="s">
        <v>74</v>
      </c>
      <c r="H435" s="57" t="s">
        <v>341</v>
      </c>
      <c r="I435" s="57" t="s">
        <v>374</v>
      </c>
      <c r="J435" s="57" t="s">
        <v>375</v>
      </c>
      <c r="K435" s="67" t="s">
        <v>1032</v>
      </c>
      <c r="L435" s="67" t="s">
        <v>966</v>
      </c>
      <c r="M435" s="67"/>
      <c r="N435" s="67" t="s">
        <v>346</v>
      </c>
      <c r="O435" s="67"/>
      <c r="P435" s="57" t="s">
        <v>253</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IF(N435="N/A – rule","N/A – RULE",IF(TRIM(U435)="N/A",IF(AT435=0,"INVALID – N/A not permitted for this mandatory check",IF(AND(TRIM(AC435)&lt;&gt;"",TRIM(AE435)&lt;&gt;"",TRIM(T435)&lt;&gt;""),"N/A – JUSTIFIED","INVALID – N/A needs justification, PIC and verifier")),IF(OR(TRIM(U435)="Pass",TRIM(U435)="Pass after CA"),IF(NOT(ISNUMBER(AD435)),"INVALID – completion time missing",IF(TRIM(T435)="","INVALID – PIC missing",IF(TRIM(Z435)="","INVALID – evidence missing",IF(TRIM(AE435)="","INVALID – verifier missing",IF(AND(AQ435=1,TRIM(W435)=""),"INVALID – batch ID missing",IF(AND(AR435=1,OR(NOT(ISNUMBER(X435)),NOT(ISNUMBER(Y435)))),"INVALID – expected/actual qty missing",IF(IF(AND(TRIM(U435)="Pass",ISNUMBER(AF435)),IF(AF435&lt;&gt;0,"INVALID – qty variance: use Fail or Pass after CA",""),"")&amp;IF(AND(TRIM(U435)="Pass",AB435="Open"),"INVALID – corrective action still open: use Fail, then Pass after CA","")&amp;IF(AND(TRIM(U435)="Pass after CA",OR(TRIM(AA435)="",AB435&lt;&gt;"Closed")),"INVALID – corrective action not recorded/closed","")&lt;&gt;"",IF(AND(TRIM(U435)="Pass",ISNUMBER(AF435)),IF(AF435&lt;&gt;0,"INVALID – qty variance: use Fail or Pass after CA",""),"")&amp;IF(AND(TRIM(U435)="Pass",AB435="Open"),"INVALID – corrective action still open: use Fail, then Pass after CA","")&amp;IF(AND(TRIM(U435)="Pass after CA",OR(TRIM(AA435)="",AB435&lt;&gt;"Closed")),"INVALID – corrective action not recorded/closed",""),IF(AND(AS435=1,Documents!$J$17&lt;&gt;"ON FILE"),"INVALID – GLD not on file (Documents sheet)",IF(AND(AS435=2,Documents!$O$17&lt;&gt;"ON FILE"),"INVALID – menu checklist not on file (Documents sheet)",IF(AND(AS435=3,NOT(ISNUMBER(Flights!$AX$17))),"INVALID – enter carrying flight KUL departure (Flights AX)",IF(AG435&gt;AsOfUTC,"INVALID – completion time is in the future",IF(AND(ISNUMBER(S435),AG435&lt;S435),IF(H435="Physical uplift","INVALID – before uplift window (cannot confirm loading)","INVALID – before valid window"),IF(AG435&gt;Flights!$AA$17,"INVALID – completed after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f>
        <v>OPEN</v>
      </c>
      <c r="AI435" s="61" t="n">
        <f aca="false">IF(OR(AH435="N/A – RULE",AH435="N/A – JUSTIFIED"),0,1)</f>
        <v>1</v>
      </c>
      <c r="AJ435" s="61" t="n">
        <f aca="false">IF(LEFT(AH435,8)="COMPLETE",1,0)</f>
        <v>0</v>
      </c>
      <c r="AK435" s="61" t="n">
        <f aca="false">IF(AND(AI435=1,AJ435=0,AsOfUTC&gt;Q435),1,0)</f>
        <v>0</v>
      </c>
      <c r="AL435" s="61" t="n">
        <f aca="false">IF(AND(AI435=1,OR(TRIM(U435)="Fail",AB435="Open",AND(ISNUMBER(AF435),AF435&lt;&gt;0,TRIM(U435)&lt;&gt;"Pass after CA"))),1,0)</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row>
    <row r="436" customFormat="false" ht="91.5" hidden="false" customHeight="true" outlineLevel="0" collapsed="false">
      <c r="A436" s="57" t="s">
        <v>1033</v>
      </c>
      <c r="B436" s="57" t="s">
        <v>262</v>
      </c>
      <c r="C436" s="57" t="str">
        <f aca="false">Flights!$F$17</f>
        <v>MH0138</v>
      </c>
      <c r="D436" s="58" t="n">
        <f aca="false">Flights!$D$17</f>
        <v>46309</v>
      </c>
      <c r="E436" s="57" t="str">
        <f aca="false">Flights!$G$17&amp;"-"&amp;Flights!$H$17</f>
        <v>ADL-KUL</v>
      </c>
      <c r="F436" s="57" t="str">
        <f aca="false">Flights!$K$17</f>
        <v>EY</v>
      </c>
      <c r="G436" s="57" t="s">
        <v>74</v>
      </c>
      <c r="H436" s="57" t="s">
        <v>341</v>
      </c>
      <c r="I436" s="57" t="s">
        <v>374</v>
      </c>
      <c r="J436" s="57" t="s">
        <v>1034</v>
      </c>
      <c r="K436" s="67" t="s">
        <v>1035</v>
      </c>
      <c r="L436" s="67" t="s">
        <v>637</v>
      </c>
      <c r="M436" s="67"/>
      <c r="N436" s="67" t="s">
        <v>407</v>
      </c>
      <c r="O436" s="67" t="s">
        <v>1036</v>
      </c>
      <c r="P436" s="57" t="s">
        <v>177</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IF(N436="N/A – rule","N/A – RULE",IF(TRIM(U436)="N/A",IF(AT436=0,"INVALID – N/A not permitted for this mandatory check",IF(AND(TRIM(AC436)&lt;&gt;"",TRIM(AE436)&lt;&gt;"",TRIM(T436)&lt;&gt;""),"N/A – JUSTIFIED","INVALID – N/A needs justification, PIC and verifier")),IF(OR(TRIM(U436)="Pass",TRIM(U436)="Pass after CA"),IF(NOT(ISNUMBER(AD436)),"INVALID – completion time missing",IF(TRIM(T436)="","INVALID – PIC missing",IF(TRIM(Z436)="","INVALID – evidence missing",IF(TRIM(AE436)="","INVALID – verifier missing",IF(AND(AQ436=1,TRIM(W436)=""),"INVALID – batch ID missing",IF(AND(AR436=1,OR(NOT(ISNUMBER(X436)),NOT(ISNUMBER(Y436)))),"INVALID – expected/actual qty missing",IF(IF(AND(TRIM(U436)="Pass",ISNUMBER(AF436)),IF(AF436&lt;&gt;0,"INVALID – qty variance: use Fail or Pass after CA",""),"")&amp;IF(AND(TRIM(U436)="Pass",AB436="Open"),"INVALID – corrective action still open: use Fail, then Pass after CA","")&amp;IF(AND(TRIM(U436)="Pass after CA",OR(TRIM(AA436)="",AB436&lt;&gt;"Closed")),"INVALID – corrective action not recorded/closed","")&lt;&gt;"",IF(AND(TRIM(U436)="Pass",ISNUMBER(AF436)),IF(AF436&lt;&gt;0,"INVALID – qty variance: use Fail or Pass after CA",""),"")&amp;IF(AND(TRIM(U436)="Pass",AB436="Open"),"INVALID – corrective action still open: use Fail, then Pass after CA","")&amp;IF(AND(TRIM(U436)="Pass after CA",OR(TRIM(AA436)="",AB436&lt;&gt;"Closed")),"INVALID – corrective action not recorded/closed",""),IF(AND(AS436=1,Documents!$J$17&lt;&gt;"ON FILE"),"INVALID – GLD not on file (Documents sheet)",IF(AND(AS436=2,Documents!$O$17&lt;&gt;"ON FILE"),"INVALID – menu checklist not on file (Documents sheet)",IF(AND(AS436=3,NOT(ISNUMBER(Flights!$AX$17))),"INVALID – enter carrying flight KUL departure (Flights AX)",IF(AG436&gt;AsOfUTC,"INVALID – completion time is in the future",IF(AND(ISNUMBER(S436),AG436&lt;S436),IF(H436="Physical uplift","INVALID – before uplift window (cannot confirm loading)","INVALID – before valid window"),IF(AG436&gt;Flights!$AA$17,"INVALID – completed after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f>
        <v>OPEN – CLARIFICATION</v>
      </c>
      <c r="AI436" s="61" t="n">
        <f aca="false">IF(OR(AH436="N/A – RULE",AH436="N/A – JUSTIFIED"),0,1)</f>
        <v>1</v>
      </c>
      <c r="AJ436" s="61" t="n">
        <f aca="false">IF(LEFT(AH436,8)="COMPLETE",1,0)</f>
        <v>0</v>
      </c>
      <c r="AK436" s="61" t="n">
        <f aca="false">IF(AND(AI436=1,AJ436=0,AsOfUTC&gt;Q436),1,0)</f>
        <v>0</v>
      </c>
      <c r="AL436" s="61" t="n">
        <f aca="false">IF(AND(AI436=1,OR(TRIM(U436)="Fail",AB436="Open",AND(ISNUMBER(AF436),AF436&lt;&gt;0,TRIM(U436)&lt;&gt;"Pass after CA"))),1,0)</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1</v>
      </c>
    </row>
    <row r="437" customFormat="false" ht="39.75" hidden="false" customHeight="true" outlineLevel="0" collapsed="false">
      <c r="A437" s="57" t="s">
        <v>1037</v>
      </c>
      <c r="B437" s="57" t="s">
        <v>262</v>
      </c>
      <c r="C437" s="57" t="str">
        <f aca="false">Flights!$F$17</f>
        <v>MH0138</v>
      </c>
      <c r="D437" s="58" t="n">
        <f aca="false">Flights!$D$17</f>
        <v>46309</v>
      </c>
      <c r="E437" s="57" t="str">
        <f aca="false">Flights!$G$17&amp;"-"&amp;Flights!$H$17</f>
        <v>ADL-KUL</v>
      </c>
      <c r="F437" s="57" t="str">
        <f aca="false">Flights!$K$17</f>
        <v>EY</v>
      </c>
      <c r="G437" s="57" t="s">
        <v>76</v>
      </c>
      <c r="H437" s="57" t="s">
        <v>341</v>
      </c>
      <c r="I437" s="57" t="s">
        <v>342</v>
      </c>
      <c r="J437" s="57" t="s">
        <v>379</v>
      </c>
      <c r="K437" s="67" t="s">
        <v>380</v>
      </c>
      <c r="L437" s="67" t="s">
        <v>381</v>
      </c>
      <c r="M437" s="67"/>
      <c r="N437" s="67" t="s">
        <v>346</v>
      </c>
      <c r="O437" s="67"/>
      <c r="P437" s="57" t="s">
        <v>253</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IF(N437="N/A – rule","N/A – RULE",IF(TRIM(U437)="N/A",IF(AT437=0,"INVALID – N/A not permitted for this mandatory check",IF(AND(TRIM(AC437)&lt;&gt;"",TRIM(AE437)&lt;&gt;"",TRIM(T437)&lt;&gt;""),"N/A – JUSTIFIED","INVALID – N/A needs justification, PIC and verifier")),IF(OR(TRIM(U437)="Pass",TRIM(U437)="Pass after CA"),IF(NOT(ISNUMBER(AD437)),"INVALID – completion time missing",IF(TRIM(T437)="","INVALID – PIC missing",IF(TRIM(Z437)="","INVALID – evidence missing",IF(TRIM(AE437)="","INVALID – verifier missing",IF(AND(AQ437=1,TRIM(W437)=""),"INVALID – batch ID missing",IF(AND(AR437=1,OR(NOT(ISNUMBER(X437)),NOT(ISNUMBER(Y437)))),"INVALID – expected/actual qty missing",IF(IF(AND(TRIM(U437)="Pass",ISNUMBER(AF437)),IF(AF437&lt;&gt;0,"INVALID – qty variance: use Fail or Pass after CA",""),"")&amp;IF(AND(TRIM(U437)="Pass",AB437="Open"),"INVALID – corrective action still open: use Fail, then Pass after CA","")&amp;IF(AND(TRIM(U437)="Pass after CA",OR(TRIM(AA437)="",AB437&lt;&gt;"Closed")),"INVALID – corrective action not recorded/closed","")&lt;&gt;"",IF(AND(TRIM(U437)="Pass",ISNUMBER(AF437)),IF(AF437&lt;&gt;0,"INVALID – qty variance: use Fail or Pass after CA",""),"")&amp;IF(AND(TRIM(U437)="Pass",AB437="Open"),"INVALID – corrective action still open: use Fail, then Pass after CA","")&amp;IF(AND(TRIM(U437)="Pass after CA",OR(TRIM(AA437)="",AB437&lt;&gt;"Closed")),"INVALID – corrective action not recorded/closed",""),IF(AND(AS437=1,Documents!$J$17&lt;&gt;"ON FILE"),"INVALID – GLD not on file (Documents sheet)",IF(AND(AS437=2,Documents!$O$17&lt;&gt;"ON FILE"),"INVALID – menu checklist not on file (Documents sheet)",IF(AND(AS437=3,NOT(ISNUMBER(Flights!$AX$17))),"INVALID – enter carrying flight KUL departure (Flights AX)",IF(AG437&gt;AsOfUTC,"INVALID – completion time is in the future",IF(AND(ISNUMBER(S437),AG437&lt;S437),IF(H437="Physical uplift","INVALID – before uplift window (cannot confirm loading)","INVALID – before valid window"),IF(AG437&gt;Flights!$AA$17,"INVALID – completed after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f>
        <v>OPEN</v>
      </c>
      <c r="AI437" s="61" t="n">
        <f aca="false">IF(OR(AH437="N/A – RULE",AH437="N/A – JUSTIFIED"),0,1)</f>
        <v>1</v>
      </c>
      <c r="AJ437" s="61" t="n">
        <f aca="false">IF(LEFT(AH437,8)="COMPLETE",1,0)</f>
        <v>0</v>
      </c>
      <c r="AK437" s="61" t="n">
        <f aca="false">IF(AND(AI437=1,AJ437=0,AsOfUTC&gt;Q437),1,0)</f>
        <v>0</v>
      </c>
      <c r="AL437" s="61" t="n">
        <f aca="false">IF(AND(AI437=1,OR(TRIM(U437)="Fail",AB437="Open",AND(ISNUMBER(AF437),AF437&lt;&gt;0,TRIM(U437)&lt;&gt;"Pass after CA"))),1,0)</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row>
    <row r="438" customFormat="false" ht="39.75" hidden="false" customHeight="true" outlineLevel="0" collapsed="false">
      <c r="A438" s="57" t="s">
        <v>1038</v>
      </c>
      <c r="B438" s="57" t="s">
        <v>262</v>
      </c>
      <c r="C438" s="57" t="str">
        <f aca="false">Flights!$F$17</f>
        <v>MH0138</v>
      </c>
      <c r="D438" s="58" t="n">
        <f aca="false">Flights!$D$17</f>
        <v>46309</v>
      </c>
      <c r="E438" s="57" t="str">
        <f aca="false">Flights!$G$17&amp;"-"&amp;Flights!$H$17</f>
        <v>ADL-KUL</v>
      </c>
      <c r="F438" s="57" t="str">
        <f aca="false">Flights!$K$17</f>
        <v>EY</v>
      </c>
      <c r="G438" s="57" t="s">
        <v>383</v>
      </c>
      <c r="H438" s="57" t="s">
        <v>341</v>
      </c>
      <c r="I438" s="57" t="s">
        <v>342</v>
      </c>
      <c r="J438" s="57" t="s">
        <v>384</v>
      </c>
      <c r="K438" s="67"/>
      <c r="L438" s="67" t="s">
        <v>385</v>
      </c>
      <c r="M438" s="67"/>
      <c r="N438" s="67" t="s">
        <v>346</v>
      </c>
      <c r="O438" s="67" t="s">
        <v>386</v>
      </c>
      <c r="P438" s="57" t="s">
        <v>253</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IF(N438="N/A – rule","N/A – RULE",IF(TRIM(U438)="N/A",IF(AT438=0,"INVALID – N/A not permitted for this mandatory check",IF(AND(TRIM(AC438)&lt;&gt;"",TRIM(AE438)&lt;&gt;"",TRIM(T438)&lt;&gt;""),"N/A – JUSTIFIED","INVALID – N/A needs justification, PIC and verifier")),IF(OR(TRIM(U438)="Pass",TRIM(U438)="Pass after CA"),IF(NOT(ISNUMBER(AD438)),"INVALID – completion time missing",IF(TRIM(T438)="","INVALID – PIC missing",IF(TRIM(Z438)="","INVALID – evidence missing",IF(TRIM(AE438)="","INVALID – verifier missing",IF(AND(AQ438=1,TRIM(W438)=""),"INVALID – batch ID missing",IF(AND(AR438=1,OR(NOT(ISNUMBER(X438)),NOT(ISNUMBER(Y438)))),"INVALID – expected/actual qty missing",IF(IF(AND(TRIM(U438)="Pass",ISNUMBER(AF438)),IF(AF438&lt;&gt;0,"INVALID – qty variance: use Fail or Pass after CA",""),"")&amp;IF(AND(TRIM(U438)="Pass",AB438="Open"),"INVALID – corrective action still open: use Fail, then Pass after CA","")&amp;IF(AND(TRIM(U438)="Pass after CA",OR(TRIM(AA438)="",AB438&lt;&gt;"Closed")),"INVALID – corrective action not recorded/closed","")&lt;&gt;"",IF(AND(TRIM(U438)="Pass",ISNUMBER(AF438)),IF(AF438&lt;&gt;0,"INVALID – qty variance: use Fail or Pass after CA",""),"")&amp;IF(AND(TRIM(U438)="Pass",AB438="Open"),"INVALID – corrective action still open: use Fail, then Pass after CA","")&amp;IF(AND(TRIM(U438)="Pass after CA",OR(TRIM(AA438)="",AB438&lt;&gt;"Closed")),"INVALID – corrective action not recorded/closed",""),IF(AND(AS438=1,Documents!$J$17&lt;&gt;"ON FILE"),"INVALID – GLD not on file (Documents sheet)",IF(AND(AS438=2,Documents!$O$17&lt;&gt;"ON FILE"),"INVALID – menu checklist not on file (Documents sheet)",IF(AND(AS438=3,NOT(ISNUMBER(Flights!$AX$17))),"INVALID – enter carrying flight KUL departure (Flights AX)",IF(AG438&gt;AsOfUTC,"INVALID – completion time is in the future",IF(AND(ISNUMBER(S438),AG438&lt;S438),IF(H438="Physical uplift","INVALID – before uplift window (cannot confirm loading)","INVALID – before valid window"),IF(AG438&gt;Flights!$AA$17,"INVALID – completed after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f>
        <v>OPEN</v>
      </c>
      <c r="AI438" s="61" t="n">
        <f aca="false">IF(OR(AH438="N/A – RULE",AH438="N/A – JUSTIFIED"),0,1)</f>
        <v>1</v>
      </c>
      <c r="AJ438" s="61" t="n">
        <f aca="false">IF(LEFT(AH438,8)="COMPLETE",1,0)</f>
        <v>0</v>
      </c>
      <c r="AK438" s="61" t="n">
        <f aca="false">IF(AND(AI438=1,AJ438=0,AsOfUTC&gt;Q438),1,0)</f>
        <v>0</v>
      </c>
      <c r="AL438" s="61" t="n">
        <f aca="false">IF(AND(AI438=1,OR(TRIM(U438)="Fail",AB438="Open",AND(ISNUMBER(AF438),AF438&lt;&gt;0,TRIM(U438)&lt;&gt;"Pass after CA"))),1,0)</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row>
    <row r="439" customFormat="false" ht="39.75" hidden="false" customHeight="true" outlineLevel="0" collapsed="false">
      <c r="A439" s="57" t="s">
        <v>1039</v>
      </c>
      <c r="B439" s="57" t="s">
        <v>262</v>
      </c>
      <c r="C439" s="57" t="str">
        <f aca="false">Flights!$F$17</f>
        <v>MH0138</v>
      </c>
      <c r="D439" s="58" t="n">
        <f aca="false">Flights!$D$17</f>
        <v>46309</v>
      </c>
      <c r="E439" s="57" t="str">
        <f aca="false">Flights!$G$17&amp;"-"&amp;Flights!$H$17</f>
        <v>ADL-KUL</v>
      </c>
      <c r="F439" s="57" t="str">
        <f aca="false">Flights!$K$17</f>
        <v>EY</v>
      </c>
      <c r="G439" s="57" t="s">
        <v>383</v>
      </c>
      <c r="H439" s="57" t="s">
        <v>341</v>
      </c>
      <c r="I439" s="57" t="s">
        <v>342</v>
      </c>
      <c r="J439" s="57" t="s">
        <v>388</v>
      </c>
      <c r="K439" s="67" t="s">
        <v>389</v>
      </c>
      <c r="L439" s="67" t="s">
        <v>385</v>
      </c>
      <c r="M439" s="67"/>
      <c r="N439" s="67" t="s">
        <v>346</v>
      </c>
      <c r="O439" s="67" t="s">
        <v>386</v>
      </c>
      <c r="P439" s="57" t="s">
        <v>253</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IF(N439="N/A – rule","N/A – RULE",IF(TRIM(U439)="N/A",IF(AT439=0,"INVALID – N/A not permitted for this mandatory check",IF(AND(TRIM(AC439)&lt;&gt;"",TRIM(AE439)&lt;&gt;"",TRIM(T439)&lt;&gt;""),"N/A – JUSTIFIED","INVALID – N/A needs justification, PIC and verifier")),IF(OR(TRIM(U439)="Pass",TRIM(U439)="Pass after CA"),IF(NOT(ISNUMBER(AD439)),"INVALID – completion time missing",IF(TRIM(T439)="","INVALID – PIC missing",IF(TRIM(Z439)="","INVALID – evidence missing",IF(TRIM(AE439)="","INVALID – verifier missing",IF(AND(AQ439=1,TRIM(W439)=""),"INVALID – batch ID missing",IF(AND(AR439=1,OR(NOT(ISNUMBER(X439)),NOT(ISNUMBER(Y439)))),"INVALID – expected/actual qty missing",IF(IF(AND(TRIM(U439)="Pass",ISNUMBER(AF439)),IF(AF439&lt;&gt;0,"INVALID – qty variance: use Fail or Pass after CA",""),"")&amp;IF(AND(TRIM(U439)="Pass",AB439="Open"),"INVALID – corrective action still open: use Fail, then Pass after CA","")&amp;IF(AND(TRIM(U439)="Pass after CA",OR(TRIM(AA439)="",AB439&lt;&gt;"Closed")),"INVALID – corrective action not recorded/closed","")&lt;&gt;"",IF(AND(TRIM(U439)="Pass",ISNUMBER(AF439)),IF(AF439&lt;&gt;0,"INVALID – qty variance: use Fail or Pass after CA",""),"")&amp;IF(AND(TRIM(U439)="Pass",AB439="Open"),"INVALID – corrective action still open: use Fail, then Pass after CA","")&amp;IF(AND(TRIM(U439)="Pass after CA",OR(TRIM(AA439)="",AB439&lt;&gt;"Closed")),"INVALID – corrective action not recorded/closed",""),IF(AND(AS439=1,Documents!$J$17&lt;&gt;"ON FILE"),"INVALID – GLD not on file (Documents sheet)",IF(AND(AS439=2,Documents!$O$17&lt;&gt;"ON FILE"),"INVALID – menu checklist not on file (Documents sheet)",IF(AND(AS439=3,NOT(ISNUMBER(Flights!$AX$17))),"INVALID – enter carrying flight KUL departure (Flights AX)",IF(AG439&gt;AsOfUTC,"INVALID – completion time is in the future",IF(AND(ISNUMBER(S439),AG439&lt;S439),IF(H439="Physical uplift","INVALID – before uplift window (cannot confirm loading)","INVALID – before valid window"),IF(AG439&gt;Flights!$AA$17,"INVALID – completed after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f>
        <v>OPEN</v>
      </c>
      <c r="AI439" s="61" t="n">
        <f aca="false">IF(OR(AH439="N/A – RULE",AH439="N/A – JUSTIFIED"),0,1)</f>
        <v>1</v>
      </c>
      <c r="AJ439" s="61" t="n">
        <f aca="false">IF(LEFT(AH439,8)="COMPLETE",1,0)</f>
        <v>0</v>
      </c>
      <c r="AK439" s="61" t="n">
        <f aca="false">IF(AND(AI439=1,AJ439=0,AsOfUTC&gt;Q439),1,0)</f>
        <v>0</v>
      </c>
      <c r="AL439" s="61" t="n">
        <f aca="false">IF(AND(AI439=1,OR(TRIM(U439)="Fail",AB439="Open",AND(ISNUMBER(AF439),AF439&lt;&gt;0,TRIM(U439)&lt;&gt;"Pass after CA"))),1,0)</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row>
    <row r="440" customFormat="false" ht="39.75" hidden="false" customHeight="true" outlineLevel="0" collapsed="false">
      <c r="A440" s="57" t="s">
        <v>1040</v>
      </c>
      <c r="B440" s="57" t="s">
        <v>262</v>
      </c>
      <c r="C440" s="57" t="str">
        <f aca="false">Flights!$F$17</f>
        <v>MH0138</v>
      </c>
      <c r="D440" s="58" t="n">
        <f aca="false">Flights!$D$17</f>
        <v>46309</v>
      </c>
      <c r="E440" s="57" t="str">
        <f aca="false">Flights!$G$17&amp;"-"&amp;Flights!$H$17</f>
        <v>ADL-KUL</v>
      </c>
      <c r="F440" s="57" t="str">
        <f aca="false">Flights!$K$17</f>
        <v>EY</v>
      </c>
      <c r="G440" s="57" t="s">
        <v>383</v>
      </c>
      <c r="H440" s="57" t="s">
        <v>341</v>
      </c>
      <c r="I440" s="57" t="s">
        <v>391</v>
      </c>
      <c r="J440" s="57" t="s">
        <v>392</v>
      </c>
      <c r="K440" s="67"/>
      <c r="L440" s="67" t="s">
        <v>385</v>
      </c>
      <c r="M440" s="67"/>
      <c r="N440" s="67" t="s">
        <v>346</v>
      </c>
      <c r="O440" s="67" t="s">
        <v>386</v>
      </c>
      <c r="P440" s="57" t="s">
        <v>253</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IF(N440="N/A – rule","N/A – RULE",IF(TRIM(U440)="N/A",IF(AT440=0,"INVALID – N/A not permitted for this mandatory check",IF(AND(TRIM(AC440)&lt;&gt;"",TRIM(AE440)&lt;&gt;"",TRIM(T440)&lt;&gt;""),"N/A – JUSTIFIED","INVALID – N/A needs justification, PIC and verifier")),IF(OR(TRIM(U440)="Pass",TRIM(U440)="Pass after CA"),IF(NOT(ISNUMBER(AD440)),"INVALID – completion time missing",IF(TRIM(T440)="","INVALID – PIC missing",IF(TRIM(Z440)="","INVALID – evidence missing",IF(TRIM(AE440)="","INVALID – verifier missing",IF(AND(AQ440=1,TRIM(W440)=""),"INVALID – batch ID missing",IF(AND(AR440=1,OR(NOT(ISNUMBER(X440)),NOT(ISNUMBER(Y440)))),"INVALID – expected/actual qty missing",IF(IF(AND(TRIM(U440)="Pass",ISNUMBER(AF440)),IF(AF440&lt;&gt;0,"INVALID – qty variance: use Fail or Pass after CA",""),"")&amp;IF(AND(TRIM(U440)="Pass",AB440="Open"),"INVALID – corrective action still open: use Fail, then Pass after CA","")&amp;IF(AND(TRIM(U440)="Pass after CA",OR(TRIM(AA440)="",AB440&lt;&gt;"Closed")),"INVALID – corrective action not recorded/closed","")&lt;&gt;"",IF(AND(TRIM(U440)="Pass",ISNUMBER(AF440)),IF(AF440&lt;&gt;0,"INVALID – qty variance: use Fail or Pass after CA",""),"")&amp;IF(AND(TRIM(U440)="Pass",AB440="Open"),"INVALID – corrective action still open: use Fail, then Pass after CA","")&amp;IF(AND(TRIM(U440)="Pass after CA",OR(TRIM(AA440)="",AB440&lt;&gt;"Closed")),"INVALID – corrective action not recorded/closed",""),IF(AND(AS440=1,Documents!$J$17&lt;&gt;"ON FILE"),"INVALID – GLD not on file (Documents sheet)",IF(AND(AS440=2,Documents!$O$17&lt;&gt;"ON FILE"),"INVALID – menu checklist not on file (Documents sheet)",IF(AND(AS440=3,NOT(ISNUMBER(Flights!$AX$17))),"INVALID – enter carrying flight KUL departure (Flights AX)",IF(AG440&gt;AsOfUTC,"INVALID – completion time is in the future",IF(AND(ISNUMBER(S440),AG440&lt;S440),IF(H440="Physical uplift","INVALID – before uplift window (cannot confirm loading)","INVALID – before valid window"),IF(AG440&gt;Flights!$AA$17,"INVALID – completed after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f>
        <v>OPEN</v>
      </c>
      <c r="AI440" s="61" t="n">
        <f aca="false">IF(OR(AH440="N/A – RULE",AH440="N/A – JUSTIFIED"),0,1)</f>
        <v>1</v>
      </c>
      <c r="AJ440" s="61" t="n">
        <f aca="false">IF(LEFT(AH440,8)="COMPLETE",1,0)</f>
        <v>0</v>
      </c>
      <c r="AK440" s="61" t="n">
        <f aca="false">IF(AND(AI440=1,AJ440=0,AsOfUTC&gt;Q440),1,0)</f>
        <v>0</v>
      </c>
      <c r="AL440" s="61" t="n">
        <f aca="false">IF(AND(AI440=1,OR(TRIM(U440)="Fail",AB440="Open",AND(ISNUMBER(AF440),AF440&lt;&gt;0,TRIM(U440)&lt;&gt;"Pass after CA"))),1,0)</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row>
    <row r="441" customFormat="false" ht="39.75" hidden="false" customHeight="true" outlineLevel="0" collapsed="false">
      <c r="A441" s="57" t="s">
        <v>1041</v>
      </c>
      <c r="B441" s="57" t="s">
        <v>262</v>
      </c>
      <c r="C441" s="57" t="str">
        <f aca="false">Flights!$F$17</f>
        <v>MH0138</v>
      </c>
      <c r="D441" s="58" t="n">
        <f aca="false">Flights!$D$17</f>
        <v>46309</v>
      </c>
      <c r="E441" s="57" t="str">
        <f aca="false">Flights!$G$17&amp;"-"&amp;Flights!$H$17</f>
        <v>ADL-KUL</v>
      </c>
      <c r="F441" s="57" t="str">
        <f aca="false">Flights!$K$17</f>
        <v>EY</v>
      </c>
      <c r="G441" s="57" t="s">
        <v>383</v>
      </c>
      <c r="H441" s="57" t="s">
        <v>341</v>
      </c>
      <c r="I441" s="57" t="s">
        <v>391</v>
      </c>
      <c r="J441" s="57" t="s">
        <v>394</v>
      </c>
      <c r="K441" s="67"/>
      <c r="L441" s="67" t="s">
        <v>385</v>
      </c>
      <c r="M441" s="67"/>
      <c r="N441" s="67" t="s">
        <v>346</v>
      </c>
      <c r="O441" s="67" t="s">
        <v>386</v>
      </c>
      <c r="P441" s="57" t="s">
        <v>253</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IF(N441="N/A – rule","N/A – RULE",IF(TRIM(U441)="N/A",IF(AT441=0,"INVALID – N/A not permitted for this mandatory check",IF(AND(TRIM(AC441)&lt;&gt;"",TRIM(AE441)&lt;&gt;"",TRIM(T441)&lt;&gt;""),"N/A – JUSTIFIED","INVALID – N/A needs justification, PIC and verifier")),IF(OR(TRIM(U441)="Pass",TRIM(U441)="Pass after CA"),IF(NOT(ISNUMBER(AD441)),"INVALID – completion time missing",IF(TRIM(T441)="","INVALID – PIC missing",IF(TRIM(Z441)="","INVALID – evidence missing",IF(TRIM(AE441)="","INVALID – verifier missing",IF(AND(AQ441=1,TRIM(W441)=""),"INVALID – batch ID missing",IF(AND(AR441=1,OR(NOT(ISNUMBER(X441)),NOT(ISNUMBER(Y441)))),"INVALID – expected/actual qty missing",IF(IF(AND(TRIM(U441)="Pass",ISNUMBER(AF441)),IF(AF441&lt;&gt;0,"INVALID – qty variance: use Fail or Pass after CA",""),"")&amp;IF(AND(TRIM(U441)="Pass",AB441="Open"),"INVALID – corrective action still open: use Fail, then Pass after CA","")&amp;IF(AND(TRIM(U441)="Pass after CA",OR(TRIM(AA441)="",AB441&lt;&gt;"Closed")),"INVALID – corrective action not recorded/closed","")&lt;&gt;"",IF(AND(TRIM(U441)="Pass",ISNUMBER(AF441)),IF(AF441&lt;&gt;0,"INVALID – qty variance: use Fail or Pass after CA",""),"")&amp;IF(AND(TRIM(U441)="Pass",AB441="Open"),"INVALID – corrective action still open: use Fail, then Pass after CA","")&amp;IF(AND(TRIM(U441)="Pass after CA",OR(TRIM(AA441)="",AB441&lt;&gt;"Closed")),"INVALID – corrective action not recorded/closed",""),IF(AND(AS441=1,Documents!$J$17&lt;&gt;"ON FILE"),"INVALID – GLD not on file (Documents sheet)",IF(AND(AS441=2,Documents!$O$17&lt;&gt;"ON FILE"),"INVALID – menu checklist not on file (Documents sheet)",IF(AND(AS441=3,NOT(ISNUMBER(Flights!$AX$17))),"INVALID – enter carrying flight KUL departure (Flights AX)",IF(AG441&gt;AsOfUTC,"INVALID – completion time is in the future",IF(AND(ISNUMBER(S441),AG441&lt;S441),IF(H441="Physical uplift","INVALID – before uplift window (cannot confirm loading)","INVALID – before valid window"),IF(AG441&gt;Flights!$AA$17,"INVALID – completed after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f>
        <v>OPEN</v>
      </c>
      <c r="AI441" s="61" t="n">
        <f aca="false">IF(OR(AH441="N/A – RULE",AH441="N/A – JUSTIFIED"),0,1)</f>
        <v>1</v>
      </c>
      <c r="AJ441" s="61" t="n">
        <f aca="false">IF(LEFT(AH441,8)="COMPLETE",1,0)</f>
        <v>0</v>
      </c>
      <c r="AK441" s="61" t="n">
        <f aca="false">IF(AND(AI441=1,AJ441=0,AsOfUTC&gt;Q441),1,0)</f>
        <v>0</v>
      </c>
      <c r="AL441" s="61" t="n">
        <f aca="false">IF(AND(AI441=1,OR(TRIM(U441)="Fail",AB441="Open",AND(ISNUMBER(AF441),AF441&lt;&gt;0,TRIM(U441)&lt;&gt;"Pass after CA"))),1,0)</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row>
    <row r="442" customFormat="false" ht="39.75" hidden="false" customHeight="true" outlineLevel="0" collapsed="false">
      <c r="A442" s="57" t="s">
        <v>1042</v>
      </c>
      <c r="B442" s="57" t="s">
        <v>262</v>
      </c>
      <c r="C442" s="57" t="str">
        <f aca="false">Flights!$F$17</f>
        <v>MH0138</v>
      </c>
      <c r="D442" s="58" t="n">
        <f aca="false">Flights!$D$17</f>
        <v>46309</v>
      </c>
      <c r="E442" s="57" t="str">
        <f aca="false">Flights!$G$17&amp;"-"&amp;Flights!$H$17</f>
        <v>ADL-KUL</v>
      </c>
      <c r="F442" s="57" t="str">
        <f aca="false">Flights!$K$17</f>
        <v>EY</v>
      </c>
      <c r="G442" s="57" t="s">
        <v>383</v>
      </c>
      <c r="H442" s="57" t="s">
        <v>341</v>
      </c>
      <c r="I442" s="57" t="s">
        <v>391</v>
      </c>
      <c r="J442" s="57" t="s">
        <v>396</v>
      </c>
      <c r="K442" s="67"/>
      <c r="L442" s="67" t="s">
        <v>385</v>
      </c>
      <c r="M442" s="67"/>
      <c r="N442" s="67" t="s">
        <v>346</v>
      </c>
      <c r="O442" s="67" t="s">
        <v>386</v>
      </c>
      <c r="P442" s="57" t="s">
        <v>253</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IF(N442="N/A – rule","N/A – RULE",IF(TRIM(U442)="N/A",IF(AT442=0,"INVALID – N/A not permitted for this mandatory check",IF(AND(TRIM(AC442)&lt;&gt;"",TRIM(AE442)&lt;&gt;"",TRIM(T442)&lt;&gt;""),"N/A – JUSTIFIED","INVALID – N/A needs justification, PIC and verifier")),IF(OR(TRIM(U442)="Pass",TRIM(U442)="Pass after CA"),IF(NOT(ISNUMBER(AD442)),"INVALID – completion time missing",IF(TRIM(T442)="","INVALID – PIC missing",IF(TRIM(Z442)="","INVALID – evidence missing",IF(TRIM(AE442)="","INVALID – verifier missing",IF(AND(AQ442=1,TRIM(W442)=""),"INVALID – batch ID missing",IF(AND(AR442=1,OR(NOT(ISNUMBER(X442)),NOT(ISNUMBER(Y442)))),"INVALID – expected/actual qty missing",IF(IF(AND(TRIM(U442)="Pass",ISNUMBER(AF442)),IF(AF442&lt;&gt;0,"INVALID – qty variance: use Fail or Pass after CA",""),"")&amp;IF(AND(TRIM(U442)="Pass",AB442="Open"),"INVALID – corrective action still open: use Fail, then Pass after CA","")&amp;IF(AND(TRIM(U442)="Pass after CA",OR(TRIM(AA442)="",AB442&lt;&gt;"Closed")),"INVALID – corrective action not recorded/closed","")&lt;&gt;"",IF(AND(TRIM(U442)="Pass",ISNUMBER(AF442)),IF(AF442&lt;&gt;0,"INVALID – qty variance: use Fail or Pass after CA",""),"")&amp;IF(AND(TRIM(U442)="Pass",AB442="Open"),"INVALID – corrective action still open: use Fail, then Pass after CA","")&amp;IF(AND(TRIM(U442)="Pass after CA",OR(TRIM(AA442)="",AB442&lt;&gt;"Closed")),"INVALID – corrective action not recorded/closed",""),IF(AND(AS442=1,Documents!$J$17&lt;&gt;"ON FILE"),"INVALID – GLD not on file (Documents sheet)",IF(AND(AS442=2,Documents!$O$17&lt;&gt;"ON FILE"),"INVALID – menu checklist not on file (Documents sheet)",IF(AND(AS442=3,NOT(ISNUMBER(Flights!$AX$17))),"INVALID – enter carrying flight KUL departure (Flights AX)",IF(AG442&gt;AsOfUTC,"INVALID – completion time is in the future",IF(AND(ISNUMBER(S442),AG442&lt;S442),IF(H442="Physical uplift","INVALID – before uplift window (cannot confirm loading)","INVALID – before valid window"),IF(AG442&gt;Flights!$AA$17,"INVALID – completed after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f>
        <v>OPEN</v>
      </c>
      <c r="AI442" s="61" t="n">
        <f aca="false">IF(OR(AH442="N/A – RULE",AH442="N/A – JUSTIFIED"),0,1)</f>
        <v>1</v>
      </c>
      <c r="AJ442" s="61" t="n">
        <f aca="false">IF(LEFT(AH442,8)="COMPLETE",1,0)</f>
        <v>0</v>
      </c>
      <c r="AK442" s="61" t="n">
        <f aca="false">IF(AND(AI442=1,AJ442=0,AsOfUTC&gt;Q442),1,0)</f>
        <v>0</v>
      </c>
      <c r="AL442" s="61" t="n">
        <f aca="false">IF(AND(AI442=1,OR(TRIM(U442)="Fail",AB442="Open",AND(ISNUMBER(AF442),AF442&lt;&gt;0,TRIM(U442)&lt;&gt;"Pass after CA"))),1,0)</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row>
    <row r="443" customFormat="false" ht="78.75" hidden="false" customHeight="true" outlineLevel="0" collapsed="false">
      <c r="A443" s="57" t="s">
        <v>1043</v>
      </c>
      <c r="B443" s="57" t="s">
        <v>262</v>
      </c>
      <c r="C443" s="57" t="str">
        <f aca="false">Flights!$F$17</f>
        <v>MH0138</v>
      </c>
      <c r="D443" s="58" t="n">
        <f aca="false">Flights!$D$17</f>
        <v>46309</v>
      </c>
      <c r="E443" s="57" t="str">
        <f aca="false">Flights!$G$17&amp;"-"&amp;Flights!$H$17</f>
        <v>ADL-KUL</v>
      </c>
      <c r="F443" s="57" t="str">
        <f aca="false">Flights!$K$17</f>
        <v>EY</v>
      </c>
      <c r="G443" s="57" t="s">
        <v>383</v>
      </c>
      <c r="H443" s="57" t="s">
        <v>341</v>
      </c>
      <c r="I443" s="57" t="s">
        <v>391</v>
      </c>
      <c r="J443" s="57" t="s">
        <v>398</v>
      </c>
      <c r="K443" s="67" t="s">
        <v>974</v>
      </c>
      <c r="L443" s="67" t="s">
        <v>385</v>
      </c>
      <c r="M443" s="67"/>
      <c r="N443" s="67" t="s">
        <v>346</v>
      </c>
      <c r="O443" s="67" t="s">
        <v>386</v>
      </c>
      <c r="P443" s="57" t="s">
        <v>253</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IF(N443="N/A – rule","N/A – RULE",IF(TRIM(U443)="N/A",IF(AT443=0,"INVALID – N/A not permitted for this mandatory check",IF(AND(TRIM(AC443)&lt;&gt;"",TRIM(AE443)&lt;&gt;"",TRIM(T443)&lt;&gt;""),"N/A – JUSTIFIED","INVALID – N/A needs justification, PIC and verifier")),IF(OR(TRIM(U443)="Pass",TRIM(U443)="Pass after CA"),IF(NOT(ISNUMBER(AD443)),"INVALID – completion time missing",IF(TRIM(T443)="","INVALID – PIC missing",IF(TRIM(Z443)="","INVALID – evidence missing",IF(TRIM(AE443)="","INVALID – verifier missing",IF(AND(AQ443=1,TRIM(W443)=""),"INVALID – batch ID missing",IF(AND(AR443=1,OR(NOT(ISNUMBER(X443)),NOT(ISNUMBER(Y443)))),"INVALID – expected/actual qty missing",IF(IF(AND(TRIM(U443)="Pass",ISNUMBER(AF443)),IF(AF443&lt;&gt;0,"INVALID – qty variance: use Fail or Pass after CA",""),"")&amp;IF(AND(TRIM(U443)="Pass",AB443="Open"),"INVALID – corrective action still open: use Fail, then Pass after CA","")&amp;IF(AND(TRIM(U443)="Pass after CA",OR(TRIM(AA443)="",AB443&lt;&gt;"Closed")),"INVALID – corrective action not recorded/closed","")&lt;&gt;"",IF(AND(TRIM(U443)="Pass",ISNUMBER(AF443)),IF(AF443&lt;&gt;0,"INVALID – qty variance: use Fail or Pass after CA",""),"")&amp;IF(AND(TRIM(U443)="Pass",AB443="Open"),"INVALID – corrective action still open: use Fail, then Pass after CA","")&amp;IF(AND(TRIM(U443)="Pass after CA",OR(TRIM(AA443)="",AB443&lt;&gt;"Closed")),"INVALID – corrective action not recorded/closed",""),IF(AND(AS443=1,Documents!$J$17&lt;&gt;"ON FILE"),"INVALID – GLD not on file (Documents sheet)",IF(AND(AS443=2,Documents!$O$17&lt;&gt;"ON FILE"),"INVALID – menu checklist not on file (Documents sheet)",IF(AND(AS443=3,NOT(ISNUMBER(Flights!$AX$17))),"INVALID – enter carrying flight KUL departure (Flights AX)",IF(AG443&gt;AsOfUTC,"INVALID – completion time is in the future",IF(AND(ISNUMBER(S443),AG443&lt;S443),IF(H443="Physical uplift","INVALID – before uplift window (cannot confirm loading)","INVALID – before valid window"),IF(AG443&gt;Flights!$AA$17,"INVALID – completed after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f>
        <v>OPEN</v>
      </c>
      <c r="AI443" s="61" t="n">
        <f aca="false">IF(OR(AH443="N/A – RULE",AH443="N/A – JUSTIFIED"),0,1)</f>
        <v>1</v>
      </c>
      <c r="AJ443" s="61" t="n">
        <f aca="false">IF(LEFT(AH443,8)="COMPLETE",1,0)</f>
        <v>0</v>
      </c>
      <c r="AK443" s="61" t="n">
        <f aca="false">IF(AND(AI443=1,AJ443=0,AsOfUTC&gt;Q443),1,0)</f>
        <v>0</v>
      </c>
      <c r="AL443" s="61" t="n">
        <f aca="false">IF(AND(AI443=1,OR(TRIM(U443)="Fail",AB443="Open",AND(ISNUMBER(AF443),AF443&lt;&gt;0,TRIM(U443)&lt;&gt;"Pass after CA"))),1,0)</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row>
    <row r="444" customFormat="false" ht="39.75" hidden="false" customHeight="true" outlineLevel="0" collapsed="false">
      <c r="A444" s="57" t="s">
        <v>1044</v>
      </c>
      <c r="B444" s="57" t="s">
        <v>262</v>
      </c>
      <c r="C444" s="57" t="str">
        <f aca="false">Flights!$F$17</f>
        <v>MH0138</v>
      </c>
      <c r="D444" s="58" t="n">
        <f aca="false">Flights!$D$17</f>
        <v>46309</v>
      </c>
      <c r="E444" s="57" t="str">
        <f aca="false">Flights!$G$17&amp;"-"&amp;Flights!$H$17</f>
        <v>ADL-KUL</v>
      </c>
      <c r="F444" s="57" t="str">
        <f aca="false">Flights!$K$17</f>
        <v>EY</v>
      </c>
      <c r="G444" s="57" t="s">
        <v>383</v>
      </c>
      <c r="H444" s="57" t="s">
        <v>341</v>
      </c>
      <c r="I444" s="57" t="s">
        <v>391</v>
      </c>
      <c r="J444" s="57" t="s">
        <v>401</v>
      </c>
      <c r="K444" s="67"/>
      <c r="L444" s="67" t="s">
        <v>385</v>
      </c>
      <c r="M444" s="67"/>
      <c r="N444" s="67" t="s">
        <v>346</v>
      </c>
      <c r="O444" s="67" t="s">
        <v>386</v>
      </c>
      <c r="P444" s="57" t="s">
        <v>253</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IF(N444="N/A – rule","N/A – RULE",IF(TRIM(U444)="N/A",IF(AT444=0,"INVALID – N/A not permitted for this mandatory check",IF(AND(TRIM(AC444)&lt;&gt;"",TRIM(AE444)&lt;&gt;"",TRIM(T444)&lt;&gt;""),"N/A – JUSTIFIED","INVALID – N/A needs justification, PIC and verifier")),IF(OR(TRIM(U444)="Pass",TRIM(U444)="Pass after CA"),IF(NOT(ISNUMBER(AD444)),"INVALID – completion time missing",IF(TRIM(T444)="","INVALID – PIC missing",IF(TRIM(Z444)="","INVALID – evidence missing",IF(TRIM(AE444)="","INVALID – verifier missing",IF(AND(AQ444=1,TRIM(W444)=""),"INVALID – batch ID missing",IF(AND(AR444=1,OR(NOT(ISNUMBER(X444)),NOT(ISNUMBER(Y444)))),"INVALID – expected/actual qty missing",IF(IF(AND(TRIM(U444)="Pass",ISNUMBER(AF444)),IF(AF444&lt;&gt;0,"INVALID – qty variance: use Fail or Pass after CA",""),"")&amp;IF(AND(TRIM(U444)="Pass",AB444="Open"),"INVALID – corrective action still open: use Fail, then Pass after CA","")&amp;IF(AND(TRIM(U444)="Pass after CA",OR(TRIM(AA444)="",AB444&lt;&gt;"Closed")),"INVALID – corrective action not recorded/closed","")&lt;&gt;"",IF(AND(TRIM(U444)="Pass",ISNUMBER(AF444)),IF(AF444&lt;&gt;0,"INVALID – qty variance: use Fail or Pass after CA",""),"")&amp;IF(AND(TRIM(U444)="Pass",AB444="Open"),"INVALID – corrective action still open: use Fail, then Pass after CA","")&amp;IF(AND(TRIM(U444)="Pass after CA",OR(TRIM(AA444)="",AB444&lt;&gt;"Closed")),"INVALID – corrective action not recorded/closed",""),IF(AND(AS444=1,Documents!$J$17&lt;&gt;"ON FILE"),"INVALID – GLD not on file (Documents sheet)",IF(AND(AS444=2,Documents!$O$17&lt;&gt;"ON FILE"),"INVALID – menu checklist not on file (Documents sheet)",IF(AND(AS444=3,NOT(ISNUMBER(Flights!$AX$17))),"INVALID – enter carrying flight KUL departure (Flights AX)",IF(AG444&gt;AsOfUTC,"INVALID – completion time is in the future",IF(AND(ISNUMBER(S444),AG444&lt;S444),IF(H444="Physical uplift","INVALID – before uplift window (cannot confirm loading)","INVALID – before valid window"),IF(AG444&gt;Flights!$AA$17,"INVALID – completed after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f>
        <v>OPEN</v>
      </c>
      <c r="AI444" s="61" t="n">
        <f aca="false">IF(OR(AH444="N/A – RULE",AH444="N/A – JUSTIFIED"),0,1)</f>
        <v>1</v>
      </c>
      <c r="AJ444" s="61" t="n">
        <f aca="false">IF(LEFT(AH444,8)="COMPLETE",1,0)</f>
        <v>0</v>
      </c>
      <c r="AK444" s="61" t="n">
        <f aca="false">IF(AND(AI444=1,AJ444=0,AsOfUTC&gt;Q444),1,0)</f>
        <v>0</v>
      </c>
      <c r="AL444" s="61" t="n">
        <f aca="false">IF(AND(AI444=1,OR(TRIM(U444)="Fail",AB444="Open",AND(ISNUMBER(AF444),AF444&lt;&gt;0,TRIM(U444)&lt;&gt;"Pass after CA"))),1,0)</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row>
    <row r="445" customFormat="false" ht="78.75" hidden="false" customHeight="true" outlineLevel="0" collapsed="false">
      <c r="A445" s="57" t="s">
        <v>1045</v>
      </c>
      <c r="B445" s="57" t="s">
        <v>262</v>
      </c>
      <c r="C445" s="57" t="str">
        <f aca="false">Flights!$F$17</f>
        <v>MH0138</v>
      </c>
      <c r="D445" s="58" t="n">
        <f aca="false">Flights!$D$17</f>
        <v>46309</v>
      </c>
      <c r="E445" s="57" t="str">
        <f aca="false">Flights!$G$17&amp;"-"&amp;Flights!$H$17</f>
        <v>ADL-KUL</v>
      </c>
      <c r="F445" s="57" t="str">
        <f aca="false">Flights!$K$17</f>
        <v>EY</v>
      </c>
      <c r="G445" s="57" t="s">
        <v>383</v>
      </c>
      <c r="H445" s="57" t="s">
        <v>341</v>
      </c>
      <c r="I445" s="57" t="s">
        <v>403</v>
      </c>
      <c r="J445" s="57" t="s">
        <v>404</v>
      </c>
      <c r="K445" s="67" t="s">
        <v>405</v>
      </c>
      <c r="L445" s="67" t="s">
        <v>977</v>
      </c>
      <c r="M445" s="67" t="s">
        <v>177</v>
      </c>
      <c r="N445" s="67" t="s">
        <v>407</v>
      </c>
      <c r="O445" s="67" t="s">
        <v>1046</v>
      </c>
      <c r="P445" s="57" t="s">
        <v>177</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IF(N445="N/A – rule","N/A – RULE",IF(TRIM(U445)="N/A",IF(AT445=0,"INVALID – N/A not permitted for this mandatory check",IF(AND(TRIM(AC445)&lt;&gt;"",TRIM(AE445)&lt;&gt;"",TRIM(T445)&lt;&gt;""),"N/A – JUSTIFIED","INVALID – N/A needs justification, PIC and verifier")),IF(OR(TRIM(U445)="Pass",TRIM(U445)="Pass after CA"),IF(NOT(ISNUMBER(AD445)),"INVALID – completion time missing",IF(TRIM(T445)="","INVALID – PIC missing",IF(TRIM(Z445)="","INVALID – evidence missing",IF(TRIM(AE445)="","INVALID – verifier missing",IF(AND(AQ445=1,TRIM(W445)=""),"INVALID – batch ID missing",IF(AND(AR445=1,OR(NOT(ISNUMBER(X445)),NOT(ISNUMBER(Y445)))),"INVALID – expected/actual qty missing",IF(IF(AND(TRIM(U445)="Pass",ISNUMBER(AF445)),IF(AF445&lt;&gt;0,"INVALID – qty variance: use Fail or Pass after CA",""),"")&amp;IF(AND(TRIM(U445)="Pass",AB445="Open"),"INVALID – corrective action still open: use Fail, then Pass after CA","")&amp;IF(AND(TRIM(U445)="Pass after CA",OR(TRIM(AA445)="",AB445&lt;&gt;"Closed")),"INVALID – corrective action not recorded/closed","")&lt;&gt;"",IF(AND(TRIM(U445)="Pass",ISNUMBER(AF445)),IF(AF445&lt;&gt;0,"INVALID – qty variance: use Fail or Pass after CA",""),"")&amp;IF(AND(TRIM(U445)="Pass",AB445="Open"),"INVALID – corrective action still open: use Fail, then Pass after CA","")&amp;IF(AND(TRIM(U445)="Pass after CA",OR(TRIM(AA445)="",AB445&lt;&gt;"Closed")),"INVALID – corrective action not recorded/closed",""),IF(AND(AS445=1,Documents!$J$17&lt;&gt;"ON FILE"),"INVALID – GLD not on file (Documents sheet)",IF(AND(AS445=2,Documents!$O$17&lt;&gt;"ON FILE"),"INVALID – menu checklist not on file (Documents sheet)",IF(AND(AS445=3,NOT(ISNUMBER(Flights!$AX$17))),"INVALID – enter carrying flight KUL departure (Flights AX)",IF(AG445&gt;AsOfUTC,"INVALID – completion time is in the future",IF(AND(ISNUMBER(S445),AG445&lt;S445),IF(H445="Physical uplift","INVALID – before uplift window (cannot confirm loading)","INVALID – before valid window"),IF(AG445&gt;Flights!$AA$17,"INVALID – completed after departure (cannot establish readiness)",IF(AND(H445="Physical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f>
        <v>OPEN – CLARIFICATION</v>
      </c>
      <c r="AI445" s="61" t="n">
        <f aca="false">IF(OR(AH445="N/A – RULE",AH445="N/A – JUSTIFIED"),0,1)</f>
        <v>1</v>
      </c>
      <c r="AJ445" s="61" t="n">
        <f aca="false">IF(LEFT(AH445,8)="COMPLETE",1,0)</f>
        <v>0</v>
      </c>
      <c r="AK445" s="61" t="n">
        <f aca="false">IF(AND(AI445=1,AJ445=0,AsOfUTC&gt;Q445),1,0)</f>
        <v>0</v>
      </c>
      <c r="AL445" s="61" t="n">
        <f aca="false">IF(AND(AI445=1,OR(TRIM(U445)="Fail",AB445="Open",AND(ISNUMBER(AF445),AF445&lt;&gt;0,TRIM(U445)&lt;&gt;"Pass after CA"))),1,0)</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row>
    <row r="446" customFormat="false" ht="41.25" hidden="false" customHeight="true" outlineLevel="0" collapsed="false">
      <c r="A446" s="57" t="s">
        <v>1047</v>
      </c>
      <c r="B446" s="57" t="s">
        <v>262</v>
      </c>
      <c r="C446" s="57" t="str">
        <f aca="false">Flights!$F$17</f>
        <v>MH0138</v>
      </c>
      <c r="D446" s="58" t="n">
        <f aca="false">Flights!$D$17</f>
        <v>46309</v>
      </c>
      <c r="E446" s="57" t="str">
        <f aca="false">Flights!$G$17&amp;"-"&amp;Flights!$H$17</f>
        <v>ADL-KUL</v>
      </c>
      <c r="F446" s="57" t="str">
        <f aca="false">Flights!$K$17</f>
        <v>EY</v>
      </c>
      <c r="G446" s="57" t="s">
        <v>383</v>
      </c>
      <c r="H446" s="57" t="s">
        <v>341</v>
      </c>
      <c r="I446" s="57" t="s">
        <v>410</v>
      </c>
      <c r="J446" s="57" t="s">
        <v>411</v>
      </c>
      <c r="K446" s="67" t="s">
        <v>412</v>
      </c>
      <c r="L446" s="67" t="s">
        <v>1048</v>
      </c>
      <c r="M446" s="67" t="s">
        <v>414</v>
      </c>
      <c r="N446" s="67" t="s">
        <v>346</v>
      </c>
      <c r="O446" s="67" t="s">
        <v>1049</v>
      </c>
      <c r="P446" s="57" t="s">
        <v>253</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IF(N446="N/A – rule","N/A – RULE",IF(TRIM(U446)="N/A",IF(AT446=0,"INVALID – N/A not permitted for this mandatory check",IF(AND(TRIM(AC446)&lt;&gt;"",TRIM(AE446)&lt;&gt;"",TRIM(T446)&lt;&gt;""),"N/A – JUSTIFIED","INVALID – N/A needs justification, PIC and verifier")),IF(OR(TRIM(U446)="Pass",TRIM(U446)="Pass after CA"),IF(NOT(ISNUMBER(AD446)),"INVALID – completion time missing",IF(TRIM(T446)="","INVALID – PIC missing",IF(TRIM(Z446)="","INVALID – evidence missing",IF(TRIM(AE446)="","INVALID – verifier missing",IF(AND(AQ446=1,TRIM(W446)=""),"INVALID – batch ID missing",IF(AND(AR446=1,OR(NOT(ISNUMBER(X446)),NOT(ISNUMBER(Y446)))),"INVALID – expected/actual qty missing",IF(IF(AND(TRIM(U446)="Pass",ISNUMBER(AF446)),IF(AF446&lt;&gt;0,"INVALID – qty variance: use Fail or Pass after CA",""),"")&amp;IF(AND(TRIM(U446)="Pass",AB446="Open"),"INVALID – corrective action still open: use Fail, then Pass after CA","")&amp;IF(AND(TRIM(U446)="Pass after CA",OR(TRIM(AA446)="",AB446&lt;&gt;"Closed")),"INVALID – corrective action not recorded/closed","")&lt;&gt;"",IF(AND(TRIM(U446)="Pass",ISNUMBER(AF446)),IF(AF446&lt;&gt;0,"INVALID – qty variance: use Fail or Pass after CA",""),"")&amp;IF(AND(TRIM(U446)="Pass",AB446="Open"),"INVALID – corrective action still open: use Fail, then Pass after CA","")&amp;IF(AND(TRIM(U446)="Pass after CA",OR(TRIM(AA446)="",AB446&lt;&gt;"Closed")),"INVALID – corrective action not recorded/closed",""),IF(AND(AS446=1,Documents!$J$17&lt;&gt;"ON FILE"),"INVALID – GLD not on file (Documents sheet)",IF(AND(AS446=2,Documents!$O$17&lt;&gt;"ON FILE"),"INVALID – menu checklist not on file (Documents sheet)",IF(AND(AS446=3,NOT(ISNUMBER(Flights!$AX$17))),"INVALID – enter carrying flight KUL departure (Flights AX)",IF(AG446&gt;AsOfUTC,"INVALID – completion time is in the future",IF(AND(ISNUMBER(S446),AG446&lt;S446),IF(H446="Physical uplift","INVALID – before uplift window (cannot confirm loading)","INVALID – before valid window"),IF(AG446&gt;Flights!$AA$17,"INVALID – completed after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f>
        <v>OPEN</v>
      </c>
      <c r="AI446" s="61" t="n">
        <f aca="false">IF(OR(AH446="N/A – RULE",AH446="N/A – JUSTIFIED"),0,1)</f>
        <v>1</v>
      </c>
      <c r="AJ446" s="61" t="n">
        <f aca="false">IF(LEFT(AH446,8)="COMPLETE",1,0)</f>
        <v>0</v>
      </c>
      <c r="AK446" s="61" t="n">
        <f aca="false">IF(AND(AI446=1,AJ446=0,AsOfUTC&gt;Q446),1,0)</f>
        <v>0</v>
      </c>
      <c r="AL446" s="61" t="n">
        <f aca="false">IF(AND(AI446=1,OR(TRIM(U446)="Fail",AB446="Open",AND(ISNUMBER(AF446),AF446&lt;&gt;0,TRIM(U446)&lt;&gt;"Pass after CA"))),1,0)</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1</v>
      </c>
    </row>
    <row r="447" customFormat="false" ht="78.75" hidden="false" customHeight="true" outlineLevel="0" collapsed="false">
      <c r="A447" s="57" t="s">
        <v>1050</v>
      </c>
      <c r="B447" s="57" t="s">
        <v>262</v>
      </c>
      <c r="C447" s="57" t="str">
        <f aca="false">Flights!$F$17</f>
        <v>MH0138</v>
      </c>
      <c r="D447" s="58" t="n">
        <f aca="false">Flights!$D$17</f>
        <v>46309</v>
      </c>
      <c r="E447" s="57" t="str">
        <f aca="false">Flights!$G$17&amp;"-"&amp;Flights!$H$17</f>
        <v>ADL-KUL</v>
      </c>
      <c r="F447" s="57" t="str">
        <f aca="false">Flights!$K$17</f>
        <v>EY</v>
      </c>
      <c r="G447" s="57" t="s">
        <v>383</v>
      </c>
      <c r="H447" s="57" t="s">
        <v>341</v>
      </c>
      <c r="I447" s="57" t="s">
        <v>410</v>
      </c>
      <c r="J447" s="57" t="s">
        <v>417</v>
      </c>
      <c r="K447" s="67" t="s">
        <v>1051</v>
      </c>
      <c r="L447" s="67" t="s">
        <v>1052</v>
      </c>
      <c r="M447" s="67" t="s">
        <v>414</v>
      </c>
      <c r="N447" s="67" t="s">
        <v>346</v>
      </c>
      <c r="O447" s="67" t="s">
        <v>1053</v>
      </c>
      <c r="P447" s="57" t="s">
        <v>253</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IF(N447="N/A – rule","N/A – RULE",IF(TRIM(U447)="N/A",IF(AT447=0,"INVALID – N/A not permitted for this mandatory check",IF(AND(TRIM(AC447)&lt;&gt;"",TRIM(AE447)&lt;&gt;"",TRIM(T447)&lt;&gt;""),"N/A – JUSTIFIED","INVALID – N/A needs justification, PIC and verifier")),IF(OR(TRIM(U447)="Pass",TRIM(U447)="Pass after CA"),IF(NOT(ISNUMBER(AD447)),"INVALID – completion time missing",IF(TRIM(T447)="","INVALID – PIC missing",IF(TRIM(Z447)="","INVALID – evidence missing",IF(TRIM(AE447)="","INVALID – verifier missing",IF(AND(AQ447=1,TRIM(W447)=""),"INVALID – batch ID missing",IF(AND(AR447=1,OR(NOT(ISNUMBER(X447)),NOT(ISNUMBER(Y447)))),"INVALID – expected/actual qty missing",IF(IF(AND(TRIM(U447)="Pass",ISNUMBER(AF447)),IF(AF447&lt;&gt;0,"INVALID – qty variance: use Fail or Pass after CA",""),"")&amp;IF(AND(TRIM(U447)="Pass",AB447="Open"),"INVALID – corrective action still open: use Fail, then Pass after CA","")&amp;IF(AND(TRIM(U447)="Pass after CA",OR(TRIM(AA447)="",AB447&lt;&gt;"Closed")),"INVALID – corrective action not recorded/closed","")&lt;&gt;"",IF(AND(TRIM(U447)="Pass",ISNUMBER(AF447)),IF(AF447&lt;&gt;0,"INVALID – qty variance: use Fail or Pass after CA",""),"")&amp;IF(AND(TRIM(U447)="Pass",AB447="Open"),"INVALID – corrective action still open: use Fail, then Pass after CA","")&amp;IF(AND(TRIM(U447)="Pass after CA",OR(TRIM(AA447)="",AB447&lt;&gt;"Closed")),"INVALID – corrective action not recorded/closed",""),IF(AND(AS447=1,Documents!$J$17&lt;&gt;"ON FILE"),"INVALID – GLD not on file (Documents sheet)",IF(AND(AS447=2,Documents!$O$17&lt;&gt;"ON FILE"),"INVALID – menu checklist not on file (Documents sheet)",IF(AND(AS447=3,NOT(ISNUMBER(Flights!$AX$17))),"INVALID – enter carrying flight KUL departure (Flights AX)",IF(AG447&gt;AsOfUTC,"INVALID – completion time is in the future",IF(AND(ISNUMBER(S447),AG447&lt;S447),IF(H447="Physical uplift","INVALID – before uplift window (cannot confirm loading)","INVALID – before valid window"),IF(AG447&gt;Flights!$AA$17,"INVALID – completed after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f>
        <v>OPEN</v>
      </c>
      <c r="AI447" s="61" t="n">
        <f aca="false">IF(OR(AH447="N/A – RULE",AH447="N/A – JUSTIFIED"),0,1)</f>
        <v>1</v>
      </c>
      <c r="AJ447" s="61" t="n">
        <f aca="false">IF(LEFT(AH447,8)="COMPLETE",1,0)</f>
        <v>0</v>
      </c>
      <c r="AK447" s="61" t="n">
        <f aca="false">IF(AND(AI447=1,AJ447=0,AsOfUTC&gt;Q447),1,0)</f>
        <v>0</v>
      </c>
      <c r="AL447" s="61" t="n">
        <f aca="false">IF(AND(AI447=1,OR(TRIM(U447)="Fail",AB447="Open",AND(ISNUMBER(AF447),AF447&lt;&gt;0,TRIM(U447)&lt;&gt;"Pass after CA"))),1,0)</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1</v>
      </c>
    </row>
    <row r="448" customFormat="false" ht="91.5" hidden="false" customHeight="true" outlineLevel="0" collapsed="false">
      <c r="A448" s="57" t="s">
        <v>1054</v>
      </c>
      <c r="B448" s="57" t="s">
        <v>262</v>
      </c>
      <c r="C448" s="57" t="str">
        <f aca="false">Flights!$F$17</f>
        <v>MH0138</v>
      </c>
      <c r="D448" s="58" t="n">
        <f aca="false">Flights!$D$17</f>
        <v>46309</v>
      </c>
      <c r="E448" s="57" t="str">
        <f aca="false">Flights!$G$17&amp;"-"&amp;Flights!$H$17</f>
        <v>ADL-KUL</v>
      </c>
      <c r="F448" s="57" t="str">
        <f aca="false">Flights!$K$17</f>
        <v>EY</v>
      </c>
      <c r="G448" s="57" t="s">
        <v>383</v>
      </c>
      <c r="H448" s="57" t="s">
        <v>341</v>
      </c>
      <c r="I448" s="57" t="s">
        <v>597</v>
      </c>
      <c r="J448" s="57" t="s">
        <v>598</v>
      </c>
      <c r="K448" s="67" t="s">
        <v>1003</v>
      </c>
      <c r="L448" s="67" t="s">
        <v>1004</v>
      </c>
      <c r="M448" s="67" t="s">
        <v>414</v>
      </c>
      <c r="N448" s="67" t="s">
        <v>407</v>
      </c>
      <c r="O448" s="67" t="s">
        <v>1055</v>
      </c>
      <c r="P448" s="57" t="s">
        <v>253</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IF(N448="N/A – rule","N/A – RULE",IF(TRIM(U448)="N/A",IF(AT448=0,"INVALID – N/A not permitted for this mandatory check",IF(AND(TRIM(AC448)&lt;&gt;"",TRIM(AE448)&lt;&gt;"",TRIM(T448)&lt;&gt;""),"N/A – JUSTIFIED","INVALID – N/A needs justification, PIC and verifier")),IF(OR(TRIM(U448)="Pass",TRIM(U448)="Pass after CA"),IF(NOT(ISNUMBER(AD448)),"INVALID – completion time missing",IF(TRIM(T448)="","INVALID – PIC missing",IF(TRIM(Z448)="","INVALID – evidence missing",IF(TRIM(AE448)="","INVALID – verifier missing",IF(AND(AQ448=1,TRIM(W448)=""),"INVALID – batch ID missing",IF(AND(AR448=1,OR(NOT(ISNUMBER(X448)),NOT(ISNUMBER(Y448)))),"INVALID – expected/actual qty missing",IF(IF(AND(TRIM(U448)="Pass",ISNUMBER(AF448)),IF(AF448&lt;&gt;0,"INVALID – qty variance: use Fail or Pass after CA",""),"")&amp;IF(AND(TRIM(U448)="Pass",AB448="Open"),"INVALID – corrective action still open: use Fail, then Pass after CA","")&amp;IF(AND(TRIM(U448)="Pass after CA",OR(TRIM(AA448)="",AB448&lt;&gt;"Closed")),"INVALID – corrective action not recorded/closed","")&lt;&gt;"",IF(AND(TRIM(U448)="Pass",ISNUMBER(AF448)),IF(AF448&lt;&gt;0,"INVALID – qty variance: use Fail or Pass after CA",""),"")&amp;IF(AND(TRIM(U448)="Pass",AB448="Open"),"INVALID – corrective action still open: use Fail, then Pass after CA","")&amp;IF(AND(TRIM(U448)="Pass after CA",OR(TRIM(AA448)="",AB448&lt;&gt;"Closed")),"INVALID – corrective action not recorded/closed",""),IF(AND(AS448=1,Documents!$J$17&lt;&gt;"ON FILE"),"INVALID – GLD not on file (Documents sheet)",IF(AND(AS448=2,Documents!$O$17&lt;&gt;"ON FILE"),"INVALID – menu checklist not on file (Documents sheet)",IF(AND(AS448=3,NOT(ISNUMBER(Flights!$AX$17))),"INVALID – enter carrying flight KUL departure (Flights AX)",IF(AG448&gt;AsOfUTC,"INVALID – completion time is in the future",IF(AND(ISNUMBER(S448),AG448&lt;S448),IF(H448="Physical uplift","INVALID – before uplift window (cannot confirm loading)","INVALID – before valid window"),IF(AG448&gt;Flights!$AA$17,"INVALID – completed after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f>
        <v>OPEN – CLARIFICATION</v>
      </c>
      <c r="AI448" s="61" t="n">
        <f aca="false">IF(OR(AH448="N/A – RULE",AH448="N/A – JUSTIFIED"),0,1)</f>
        <v>1</v>
      </c>
      <c r="AJ448" s="61" t="n">
        <f aca="false">IF(LEFT(AH448,8)="COMPLETE",1,0)</f>
        <v>0</v>
      </c>
      <c r="AK448" s="61" t="n">
        <f aca="false">IF(AND(AI448=1,AJ448=0,AsOfUTC&gt;Q448),1,0)</f>
        <v>0</v>
      </c>
      <c r="AL448" s="61" t="n">
        <f aca="false">IF(AND(AI448=1,OR(TRIM(U448)="Fail",AB448="Open",AND(ISNUMBER(AF448),AF448&lt;&gt;0,TRIM(U448)&lt;&gt;"Pass after CA"))),1,0)</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row>
    <row r="449" customFormat="false" ht="39.75" hidden="false" customHeight="true" outlineLevel="0" collapsed="false">
      <c r="A449" s="57" t="s">
        <v>1056</v>
      </c>
      <c r="B449" s="57" t="s">
        <v>262</v>
      </c>
      <c r="C449" s="57" t="str">
        <f aca="false">Flights!$F$17</f>
        <v>MH0138</v>
      </c>
      <c r="D449" s="58" t="n">
        <f aca="false">Flights!$D$17</f>
        <v>46309</v>
      </c>
      <c r="E449" s="57" t="str">
        <f aca="false">Flights!$G$17&amp;"-"&amp;Flights!$H$17</f>
        <v>ADL-KUL</v>
      </c>
      <c r="F449" s="57" t="str">
        <f aca="false">Flights!$K$17</f>
        <v>EY</v>
      </c>
      <c r="G449" s="57" t="s">
        <v>422</v>
      </c>
      <c r="H449" s="57" t="s">
        <v>423</v>
      </c>
      <c r="I449" s="57" t="s">
        <v>342</v>
      </c>
      <c r="J449" s="57" t="s">
        <v>424</v>
      </c>
      <c r="K449" s="67" t="s">
        <v>389</v>
      </c>
      <c r="L449" s="67" t="s">
        <v>425</v>
      </c>
      <c r="M449" s="67"/>
      <c r="N449" s="67" t="s">
        <v>346</v>
      </c>
      <c r="O449" s="67" t="s">
        <v>426</v>
      </c>
      <c r="P449" s="57" t="s">
        <v>253</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IF(N449="N/A – rule","N/A – RULE",IF(TRIM(U449)="N/A",IF(AT449=0,"INVALID – N/A not permitted for this mandatory check",IF(AND(TRIM(AC449)&lt;&gt;"",TRIM(AE449)&lt;&gt;"",TRIM(T449)&lt;&gt;""),"N/A – JUSTIFIED","INVALID – N/A needs justification, PIC and verifier")),IF(OR(TRIM(U449)="Pass",TRIM(U449)="Pass after CA"),IF(NOT(ISNUMBER(AD449)),"INVALID – completion time missing",IF(TRIM(T449)="","INVALID – PIC missing",IF(TRIM(Z449)="","INVALID – evidence missing",IF(TRIM(AE449)="","INVALID – verifier missing",IF(AND(AQ449=1,TRIM(W449)=""),"INVALID – batch ID missing",IF(AND(AR449=1,OR(NOT(ISNUMBER(X449)),NOT(ISNUMBER(Y449)))),"INVALID – expected/actual qty missing",IF(IF(AND(TRIM(U449)="Pass",ISNUMBER(AF449)),IF(AF449&lt;&gt;0,"INVALID – qty variance: use Fail or Pass after CA",""),"")&amp;IF(AND(TRIM(U449)="Pass",AB449="Open"),"INVALID – corrective action still open: use Fail, then Pass after CA","")&amp;IF(AND(TRIM(U449)="Pass after CA",OR(TRIM(AA449)="",AB449&lt;&gt;"Closed")),"INVALID – corrective action not recorded/closed","")&lt;&gt;"",IF(AND(TRIM(U449)="Pass",ISNUMBER(AF449)),IF(AF449&lt;&gt;0,"INVALID – qty variance: use Fail or Pass after CA",""),"")&amp;IF(AND(TRIM(U449)="Pass",AB449="Open"),"INVALID – corrective action still open: use Fail, then Pass after CA","")&amp;IF(AND(TRIM(U449)="Pass after CA",OR(TRIM(AA449)="",AB449&lt;&gt;"Closed")),"INVALID – corrective action not recorded/closed",""),IF(AND(AS449=1,Documents!$J$17&lt;&gt;"ON FILE"),"INVALID – GLD not on file (Documents sheet)",IF(AND(AS449=2,Documents!$O$17&lt;&gt;"ON FILE"),"INVALID – menu checklist not on file (Documents sheet)",IF(AND(AS449=3,NOT(ISNUMBER(Flights!$AX$17))),"INVALID – enter carrying flight KUL departure (Flights AX)",IF(AG449&gt;AsOfUTC,"INVALID – completion time is in the future",IF(AND(ISNUMBER(S449),AG449&lt;S449),IF(H449="Physical uplift","INVALID – before uplift window (cannot confirm loading)","INVALID – before valid window"),IF(AG449&gt;Flights!$AA$17,"INVALID – completed after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f>
        <v>OPEN</v>
      </c>
      <c r="AI449" s="61" t="n">
        <f aca="false">IF(OR(AH449="N/A – RULE",AH449="N/A – JUSTIFIED"),0,1)</f>
        <v>1</v>
      </c>
      <c r="AJ449" s="61" t="n">
        <f aca="false">IF(LEFT(AH449,8)="COMPLETE",1,0)</f>
        <v>0</v>
      </c>
      <c r="AK449" s="61" t="n">
        <f aca="false">IF(AND(AI449=1,AJ449=0,AsOfUTC&gt;Q449),1,0)</f>
        <v>0</v>
      </c>
      <c r="AL449" s="61" t="n">
        <f aca="false">IF(AND(AI449=1,OR(TRIM(U449)="Fail",AB449="Open",AND(ISNUMBER(AF449),AF449&lt;&gt;0,TRIM(U449)&lt;&gt;"Pass after CA"))),1,0)</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row>
    <row r="450" customFormat="false" ht="39.75" hidden="false" customHeight="true" outlineLevel="0" collapsed="false">
      <c r="A450" s="57" t="s">
        <v>1057</v>
      </c>
      <c r="B450" s="57" t="s">
        <v>262</v>
      </c>
      <c r="C450" s="57" t="str">
        <f aca="false">Flights!$F$17</f>
        <v>MH0138</v>
      </c>
      <c r="D450" s="58" t="n">
        <f aca="false">Flights!$D$17</f>
        <v>46309</v>
      </c>
      <c r="E450" s="57" t="str">
        <f aca="false">Flights!$G$17&amp;"-"&amp;Flights!$H$17</f>
        <v>ADL-KUL</v>
      </c>
      <c r="F450" s="57" t="str">
        <f aca="false">Flights!$K$17</f>
        <v>EY</v>
      </c>
      <c r="G450" s="57" t="s">
        <v>422</v>
      </c>
      <c r="H450" s="57" t="s">
        <v>423</v>
      </c>
      <c r="I450" s="57" t="s">
        <v>391</v>
      </c>
      <c r="J450" s="57" t="s">
        <v>428</v>
      </c>
      <c r="K450" s="67" t="s">
        <v>389</v>
      </c>
      <c r="L450" s="67" t="s">
        <v>425</v>
      </c>
      <c r="M450" s="67"/>
      <c r="N450" s="67" t="s">
        <v>346</v>
      </c>
      <c r="O450" s="67" t="s">
        <v>426</v>
      </c>
      <c r="P450" s="57" t="s">
        <v>253</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IF(N450="N/A – rule","N/A – RULE",IF(TRIM(U450)="N/A",IF(AT450=0,"INVALID – N/A not permitted for this mandatory check",IF(AND(TRIM(AC450)&lt;&gt;"",TRIM(AE450)&lt;&gt;"",TRIM(T450)&lt;&gt;""),"N/A – JUSTIFIED","INVALID – N/A needs justification, PIC and verifier")),IF(OR(TRIM(U450)="Pass",TRIM(U450)="Pass after CA"),IF(NOT(ISNUMBER(AD450)),"INVALID – completion time missing",IF(TRIM(T450)="","INVALID – PIC missing",IF(TRIM(Z450)="","INVALID – evidence missing",IF(TRIM(AE450)="","INVALID – verifier missing",IF(AND(AQ450=1,TRIM(W450)=""),"INVALID – batch ID missing",IF(AND(AR450=1,OR(NOT(ISNUMBER(X450)),NOT(ISNUMBER(Y450)))),"INVALID – expected/actual qty missing",IF(IF(AND(TRIM(U450)="Pass",ISNUMBER(AF450)),IF(AF450&lt;&gt;0,"INVALID – qty variance: use Fail or Pass after CA",""),"")&amp;IF(AND(TRIM(U450)="Pass",AB450="Open"),"INVALID – corrective action still open: use Fail, then Pass after CA","")&amp;IF(AND(TRIM(U450)="Pass after CA",OR(TRIM(AA450)="",AB450&lt;&gt;"Closed")),"INVALID – corrective action not recorded/closed","")&lt;&gt;"",IF(AND(TRIM(U450)="Pass",ISNUMBER(AF450)),IF(AF450&lt;&gt;0,"INVALID – qty variance: use Fail or Pass after CA",""),"")&amp;IF(AND(TRIM(U450)="Pass",AB450="Open"),"INVALID – corrective action still open: use Fail, then Pass after CA","")&amp;IF(AND(TRIM(U450)="Pass after CA",OR(TRIM(AA450)="",AB450&lt;&gt;"Closed")),"INVALID – corrective action not recorded/closed",""),IF(AND(AS450=1,Documents!$J$17&lt;&gt;"ON FILE"),"INVALID – GLD not on file (Documents sheet)",IF(AND(AS450=2,Documents!$O$17&lt;&gt;"ON FILE"),"INVALID – menu checklist not on file (Documents sheet)",IF(AND(AS450=3,NOT(ISNUMBER(Flights!$AX$17))),"INVALID – enter carrying flight KUL departure (Flights AX)",IF(AG450&gt;AsOfUTC,"INVALID – completion time is in the future",IF(AND(ISNUMBER(S450),AG450&lt;S450),IF(H450="Physical uplift","INVALID – before uplift window (cannot confirm loading)","INVALID – before valid window"),IF(AG450&gt;Flights!$AA$17,"INVALID – completed after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f>
        <v>OPEN</v>
      </c>
      <c r="AI450" s="61" t="n">
        <f aca="false">IF(OR(AH450="N/A – RULE",AH450="N/A – JUSTIFIED"),0,1)</f>
        <v>1</v>
      </c>
      <c r="AJ450" s="61" t="n">
        <f aca="false">IF(LEFT(AH450,8)="COMPLETE",1,0)</f>
        <v>0</v>
      </c>
      <c r="AK450" s="61" t="n">
        <f aca="false">IF(AND(AI450=1,AJ450=0,AsOfUTC&gt;Q450),1,0)</f>
        <v>0</v>
      </c>
      <c r="AL450" s="61" t="n">
        <f aca="false">IF(AND(AI450=1,OR(TRIM(U450)="Fail",AB450="Open",AND(ISNUMBER(AF450),AF450&lt;&gt;0,TRIM(U450)&lt;&gt;"Pass after CA"))),1,0)</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row>
    <row r="451" customFormat="false" ht="41.25" hidden="false" customHeight="true" outlineLevel="0" collapsed="false">
      <c r="A451" s="57" t="s">
        <v>1058</v>
      </c>
      <c r="B451" s="57" t="s">
        <v>262</v>
      </c>
      <c r="C451" s="57" t="str">
        <f aca="false">Flights!$F$17</f>
        <v>MH0138</v>
      </c>
      <c r="D451" s="58" t="n">
        <f aca="false">Flights!$D$17</f>
        <v>46309</v>
      </c>
      <c r="E451" s="57" t="str">
        <f aca="false">Flights!$G$17&amp;"-"&amp;Flights!$H$17</f>
        <v>ADL-KUL</v>
      </c>
      <c r="F451" s="57" t="str">
        <f aca="false">Flights!$K$17</f>
        <v>EY</v>
      </c>
      <c r="G451" s="57" t="s">
        <v>422</v>
      </c>
      <c r="H451" s="57" t="s">
        <v>423</v>
      </c>
      <c r="I451" s="57" t="s">
        <v>374</v>
      </c>
      <c r="J451" s="57" t="s">
        <v>1059</v>
      </c>
      <c r="K451" s="67" t="s">
        <v>661</v>
      </c>
      <c r="L451" s="67" t="s">
        <v>662</v>
      </c>
      <c r="M451" s="67"/>
      <c r="N451" s="67" t="s">
        <v>346</v>
      </c>
      <c r="O451" s="67" t="s">
        <v>663</v>
      </c>
      <c r="P451" s="57" t="s">
        <v>177</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IF(N451="N/A – rule","N/A – RULE",IF(TRIM(U451)="N/A",IF(AT451=0,"INVALID – N/A not permitted for this mandatory check",IF(AND(TRIM(AC451)&lt;&gt;"",TRIM(AE451)&lt;&gt;"",TRIM(T451)&lt;&gt;""),"N/A – JUSTIFIED","INVALID – N/A needs justification, PIC and verifier")),IF(OR(TRIM(U451)="Pass",TRIM(U451)="Pass after CA"),IF(NOT(ISNUMBER(AD451)),"INVALID – completion time missing",IF(TRIM(T451)="","INVALID – PIC missing",IF(TRIM(Z451)="","INVALID – evidence missing",IF(TRIM(AE451)="","INVALID – verifier missing",IF(AND(AQ451=1,TRIM(W451)=""),"INVALID – batch ID missing",IF(AND(AR451=1,OR(NOT(ISNUMBER(X451)),NOT(ISNUMBER(Y451)))),"INVALID – expected/actual qty missing",IF(IF(AND(TRIM(U451)="Pass",ISNUMBER(AF451)),IF(AF451&lt;&gt;0,"INVALID – qty variance: use Fail or Pass after CA",""),"")&amp;IF(AND(TRIM(U451)="Pass",AB451="Open"),"INVALID – corrective action still open: use Fail, then Pass after CA","")&amp;IF(AND(TRIM(U451)="Pass after CA",OR(TRIM(AA451)="",AB451&lt;&gt;"Closed")),"INVALID – corrective action not recorded/closed","")&lt;&gt;"",IF(AND(TRIM(U451)="Pass",ISNUMBER(AF451)),IF(AF451&lt;&gt;0,"INVALID – qty variance: use Fail or Pass after CA",""),"")&amp;IF(AND(TRIM(U451)="Pass",AB451="Open"),"INVALID – corrective action still open: use Fail, then Pass after CA","")&amp;IF(AND(TRIM(U451)="Pass after CA",OR(TRIM(AA451)="",AB451&lt;&gt;"Closed")),"INVALID – corrective action not recorded/closed",""),IF(AND(AS451=1,Documents!$J$17&lt;&gt;"ON FILE"),"INVALID – GLD not on file (Documents sheet)",IF(AND(AS451=2,Documents!$O$17&lt;&gt;"ON FILE"),"INVALID – menu checklist not on file (Documents sheet)",IF(AND(AS451=3,NOT(ISNUMBER(Flights!$AX$17))),"INVALID – enter carrying flight KUL departure (Flights AX)",IF(AG451&gt;AsOfUTC,"INVALID – completion time is in the future",IF(AND(ISNUMBER(S451),AG451&lt;S451),IF(H451="Physical uplift","INVALID – before uplift window (cannot confirm loading)","INVALID – before valid window"),IF(AG451&gt;Flights!$AA$17,"INVALID – completed after departure (cannot establish readiness)",IF(AND(H451="Physical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f>
        <v>OPEN</v>
      </c>
      <c r="AI451" s="61" t="n">
        <f aca="false">IF(OR(AH451="N/A – RULE",AH451="N/A – JUSTIFIED"),0,1)</f>
        <v>1</v>
      </c>
      <c r="AJ451" s="61" t="n">
        <f aca="false">IF(LEFT(AH451,8)="COMPLETE",1,0)</f>
        <v>0</v>
      </c>
      <c r="AK451" s="61" t="n">
        <f aca="false">IF(AND(AI451=1,AJ451=0,AsOfUTC&gt;Q451),1,0)</f>
        <v>0</v>
      </c>
      <c r="AL451" s="61" t="n">
        <f aca="false">IF(AND(AI451=1,OR(TRIM(U451)="Fail",AB451="Open",AND(ISNUMBER(AF451),AF451&lt;&gt;0,TRIM(U451)&lt;&gt;"Pass after CA"))),1,0)</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row>
    <row r="452" customFormat="false" ht="54" hidden="false" customHeight="true" outlineLevel="0" collapsed="false">
      <c r="A452" s="57" t="s">
        <v>1060</v>
      </c>
      <c r="B452" s="57" t="s">
        <v>262</v>
      </c>
      <c r="C452" s="57" t="str">
        <f aca="false">Flights!$F$17</f>
        <v>MH0138</v>
      </c>
      <c r="D452" s="58" t="n">
        <f aca="false">Flights!$D$17</f>
        <v>46309</v>
      </c>
      <c r="E452" s="57" t="str">
        <f aca="false">Flights!$G$17&amp;"-"&amp;Flights!$H$17</f>
        <v>ADL-KUL</v>
      </c>
      <c r="F452" s="57" t="str">
        <f aca="false">Flights!$K$17</f>
        <v>EY</v>
      </c>
      <c r="G452" s="57" t="s">
        <v>422</v>
      </c>
      <c r="H452" s="57" t="s">
        <v>423</v>
      </c>
      <c r="I452" s="57" t="s">
        <v>403</v>
      </c>
      <c r="J452" s="57" t="s">
        <v>430</v>
      </c>
      <c r="K452" s="67" t="s">
        <v>405</v>
      </c>
      <c r="L452" s="67" t="s">
        <v>977</v>
      </c>
      <c r="M452" s="67" t="s">
        <v>177</v>
      </c>
      <c r="N452" s="67" t="s">
        <v>407</v>
      </c>
      <c r="O452" s="67" t="s">
        <v>408</v>
      </c>
      <c r="P452" s="57" t="s">
        <v>253</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IF(N452="N/A – rule","N/A – RULE",IF(TRIM(U452)="N/A",IF(AT452=0,"INVALID – N/A not permitted for this mandatory check",IF(AND(TRIM(AC452)&lt;&gt;"",TRIM(AE452)&lt;&gt;"",TRIM(T452)&lt;&gt;""),"N/A – JUSTIFIED","INVALID – N/A needs justification, PIC and verifier")),IF(OR(TRIM(U452)="Pass",TRIM(U452)="Pass after CA"),IF(NOT(ISNUMBER(AD452)),"INVALID – completion time missing",IF(TRIM(T452)="","INVALID – PIC missing",IF(TRIM(Z452)="","INVALID – evidence missing",IF(TRIM(AE452)="","INVALID – verifier missing",IF(AND(AQ452=1,TRIM(W452)=""),"INVALID – batch ID missing",IF(AND(AR452=1,OR(NOT(ISNUMBER(X452)),NOT(ISNUMBER(Y452)))),"INVALID – expected/actual qty missing",IF(IF(AND(TRIM(U452)="Pass",ISNUMBER(AF452)),IF(AF452&lt;&gt;0,"INVALID – qty variance: use Fail or Pass after CA",""),"")&amp;IF(AND(TRIM(U452)="Pass",AB452="Open"),"INVALID – corrective action still open: use Fail, then Pass after CA","")&amp;IF(AND(TRIM(U452)="Pass after CA",OR(TRIM(AA452)="",AB452&lt;&gt;"Closed")),"INVALID – corrective action not recorded/closed","")&lt;&gt;"",IF(AND(TRIM(U452)="Pass",ISNUMBER(AF452)),IF(AF452&lt;&gt;0,"INVALID – qty variance: use Fail or Pass after CA",""),"")&amp;IF(AND(TRIM(U452)="Pass",AB452="Open"),"INVALID – corrective action still open: use Fail, then Pass after CA","")&amp;IF(AND(TRIM(U452)="Pass after CA",OR(TRIM(AA452)="",AB452&lt;&gt;"Closed")),"INVALID – corrective action not recorded/closed",""),IF(AND(AS452=1,Documents!$J$17&lt;&gt;"ON FILE"),"INVALID – GLD not on file (Documents sheet)",IF(AND(AS452=2,Documents!$O$17&lt;&gt;"ON FILE"),"INVALID – menu checklist not on file (Documents sheet)",IF(AND(AS452=3,NOT(ISNUMBER(Flights!$AX$17))),"INVALID – enter carrying flight KUL departure (Flights AX)",IF(AG452&gt;AsOfUTC,"INVALID – completion time is in the future",IF(AND(ISNUMBER(S452),AG452&lt;S452),IF(H452="Physical uplift","INVALID – before uplift window (cannot confirm loading)","INVALID – before valid window"),IF(AG452&gt;Flights!$AA$17,"INVALID – completed after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f>
        <v>OPEN – CLARIFICATION</v>
      </c>
      <c r="AI452" s="61" t="n">
        <f aca="false">IF(OR(AH452="N/A – RULE",AH452="N/A – JUSTIFIED"),0,1)</f>
        <v>1</v>
      </c>
      <c r="AJ452" s="61" t="n">
        <f aca="false">IF(LEFT(AH452,8)="COMPLETE",1,0)</f>
        <v>0</v>
      </c>
      <c r="AK452" s="61" t="n">
        <f aca="false">IF(AND(AI452=1,AJ452=0,AsOfUTC&gt;Q452),1,0)</f>
        <v>0</v>
      </c>
      <c r="AL452" s="61" t="n">
        <f aca="false">IF(AND(AI452=1,OR(TRIM(U452)="Fail",AB452="Open",AND(ISNUMBER(AF452),AF452&lt;&gt;0,TRIM(U452)&lt;&gt;"Pass after CA"))),1,0)</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row>
    <row r="453" customFormat="false" ht="39.75" hidden="false" customHeight="true" outlineLevel="0" collapsed="false">
      <c r="A453" s="57" t="s">
        <v>1061</v>
      </c>
      <c r="B453" s="57" t="s">
        <v>262</v>
      </c>
      <c r="C453" s="57" t="str">
        <f aca="false">Flights!$F$17</f>
        <v>MH0138</v>
      </c>
      <c r="D453" s="58" t="n">
        <f aca="false">Flights!$D$17</f>
        <v>46309</v>
      </c>
      <c r="E453" s="57" t="str">
        <f aca="false">Flights!$G$17&amp;"-"&amp;Flights!$H$17</f>
        <v>ADL-KUL</v>
      </c>
      <c r="F453" s="57" t="str">
        <f aca="false">Flights!$K$17</f>
        <v>EY</v>
      </c>
      <c r="G453" s="57" t="s">
        <v>422</v>
      </c>
      <c r="H453" s="57" t="s">
        <v>423</v>
      </c>
      <c r="I453" s="57" t="s">
        <v>410</v>
      </c>
      <c r="J453" s="57" t="s">
        <v>432</v>
      </c>
      <c r="K453" s="67" t="s">
        <v>412</v>
      </c>
      <c r="L453" s="67" t="s">
        <v>1048</v>
      </c>
      <c r="M453" s="67" t="s">
        <v>414</v>
      </c>
      <c r="N453" s="67" t="s">
        <v>346</v>
      </c>
      <c r="O453" s="67"/>
      <c r="P453" s="57" t="s">
        <v>253</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IF(N453="N/A – rule","N/A – RULE",IF(TRIM(U453)="N/A",IF(AT453=0,"INVALID – N/A not permitted for this mandatory check",IF(AND(TRIM(AC453)&lt;&gt;"",TRIM(AE453)&lt;&gt;"",TRIM(T453)&lt;&gt;""),"N/A – JUSTIFIED","INVALID – N/A needs justification, PIC and verifier")),IF(OR(TRIM(U453)="Pass",TRIM(U453)="Pass after CA"),IF(NOT(ISNUMBER(AD453)),"INVALID – completion time missing",IF(TRIM(T453)="","INVALID – PIC missing",IF(TRIM(Z453)="","INVALID – evidence missing",IF(TRIM(AE453)="","INVALID – verifier missing",IF(AND(AQ453=1,TRIM(W453)=""),"INVALID – batch ID missing",IF(AND(AR453=1,OR(NOT(ISNUMBER(X453)),NOT(ISNUMBER(Y453)))),"INVALID – expected/actual qty missing",IF(IF(AND(TRIM(U453)="Pass",ISNUMBER(AF453)),IF(AF453&lt;&gt;0,"INVALID – qty variance: use Fail or Pass after CA",""),"")&amp;IF(AND(TRIM(U453)="Pass",AB453="Open"),"INVALID – corrective action still open: use Fail, then Pass after CA","")&amp;IF(AND(TRIM(U453)="Pass after CA",OR(TRIM(AA453)="",AB453&lt;&gt;"Closed")),"INVALID – corrective action not recorded/closed","")&lt;&gt;"",IF(AND(TRIM(U453)="Pass",ISNUMBER(AF453)),IF(AF453&lt;&gt;0,"INVALID – qty variance: use Fail or Pass after CA",""),"")&amp;IF(AND(TRIM(U453)="Pass",AB453="Open"),"INVALID – corrective action still open: use Fail, then Pass after CA","")&amp;IF(AND(TRIM(U453)="Pass after CA",OR(TRIM(AA453)="",AB453&lt;&gt;"Closed")),"INVALID – corrective action not recorded/closed",""),IF(AND(AS453=1,Documents!$J$17&lt;&gt;"ON FILE"),"INVALID – GLD not on file (Documents sheet)",IF(AND(AS453=2,Documents!$O$17&lt;&gt;"ON FILE"),"INVALID – menu checklist not on file (Documents sheet)",IF(AND(AS453=3,NOT(ISNUMBER(Flights!$AX$17))),"INVALID – enter carrying flight KUL departure (Flights AX)",IF(AG453&gt;AsOfUTC,"INVALID – completion time is in the future",IF(AND(ISNUMBER(S453),AG453&lt;S453),IF(H453="Physical uplift","INVALID – before uplift window (cannot confirm loading)","INVALID – before valid window"),IF(AG453&gt;Flights!$AA$17,"INVALID – completed after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f>
        <v>OPEN</v>
      </c>
      <c r="AI453" s="61" t="n">
        <f aca="false">IF(OR(AH453="N/A – RULE",AH453="N/A – JUSTIFIED"),0,1)</f>
        <v>1</v>
      </c>
      <c r="AJ453" s="61" t="n">
        <f aca="false">IF(LEFT(AH453,8)="COMPLETE",1,0)</f>
        <v>0</v>
      </c>
      <c r="AK453" s="61" t="n">
        <f aca="false">IF(AND(AI453=1,AJ453=0,AsOfUTC&gt;Q453),1,0)</f>
        <v>0</v>
      </c>
      <c r="AL453" s="61" t="n">
        <f aca="false">IF(AND(AI453=1,OR(TRIM(U453)="Fail",AB453="Open",AND(ISNUMBER(AF453),AF453&lt;&gt;0,TRIM(U453)&lt;&gt;"Pass after CA"))),1,0)</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1</v>
      </c>
    </row>
    <row r="454" customFormat="false" ht="54" hidden="false" customHeight="true" outlineLevel="0" collapsed="false">
      <c r="A454" s="57" t="s">
        <v>1062</v>
      </c>
      <c r="B454" s="57" t="s">
        <v>262</v>
      </c>
      <c r="C454" s="57" t="str">
        <f aca="false">Flights!$F$17</f>
        <v>MH0138</v>
      </c>
      <c r="D454" s="58" t="n">
        <f aca="false">Flights!$D$17</f>
        <v>46309</v>
      </c>
      <c r="E454" s="57" t="str">
        <f aca="false">Flights!$G$17&amp;"-"&amp;Flights!$H$17</f>
        <v>ADL-KUL</v>
      </c>
      <c r="F454" s="57" t="str">
        <f aca="false">Flights!$K$17</f>
        <v>EY</v>
      </c>
      <c r="G454" s="57" t="s">
        <v>422</v>
      </c>
      <c r="H454" s="57" t="s">
        <v>423</v>
      </c>
      <c r="I454" s="57" t="s">
        <v>410</v>
      </c>
      <c r="J454" s="57" t="s">
        <v>434</v>
      </c>
      <c r="K454" s="67" t="s">
        <v>1051</v>
      </c>
      <c r="L454" s="67" t="s">
        <v>1052</v>
      </c>
      <c r="M454" s="67" t="s">
        <v>414</v>
      </c>
      <c r="N454" s="67" t="s">
        <v>346</v>
      </c>
      <c r="O454" s="67" t="s">
        <v>1063</v>
      </c>
      <c r="P454" s="57" t="s">
        <v>253</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IF(N454="N/A – rule","N/A – RULE",IF(TRIM(U454)="N/A",IF(AT454=0,"INVALID – N/A not permitted for this mandatory check",IF(AND(TRIM(AC454)&lt;&gt;"",TRIM(AE454)&lt;&gt;"",TRIM(T454)&lt;&gt;""),"N/A – JUSTIFIED","INVALID – N/A needs justification, PIC and verifier")),IF(OR(TRIM(U454)="Pass",TRIM(U454)="Pass after CA"),IF(NOT(ISNUMBER(AD454)),"INVALID – completion time missing",IF(TRIM(T454)="","INVALID – PIC missing",IF(TRIM(Z454)="","INVALID – evidence missing",IF(TRIM(AE454)="","INVALID – verifier missing",IF(AND(AQ454=1,TRIM(W454)=""),"INVALID – batch ID missing",IF(AND(AR454=1,OR(NOT(ISNUMBER(X454)),NOT(ISNUMBER(Y454)))),"INVALID – expected/actual qty missing",IF(IF(AND(TRIM(U454)="Pass",ISNUMBER(AF454)),IF(AF454&lt;&gt;0,"INVALID – qty variance: use Fail or Pass after CA",""),"")&amp;IF(AND(TRIM(U454)="Pass",AB454="Open"),"INVALID – corrective action still open: use Fail, then Pass after CA","")&amp;IF(AND(TRIM(U454)="Pass after CA",OR(TRIM(AA454)="",AB454&lt;&gt;"Closed")),"INVALID – corrective action not recorded/closed","")&lt;&gt;"",IF(AND(TRIM(U454)="Pass",ISNUMBER(AF454)),IF(AF454&lt;&gt;0,"INVALID – qty variance: use Fail or Pass after CA",""),"")&amp;IF(AND(TRIM(U454)="Pass",AB454="Open"),"INVALID – corrective action still open: use Fail, then Pass after CA","")&amp;IF(AND(TRIM(U454)="Pass after CA",OR(TRIM(AA454)="",AB454&lt;&gt;"Closed")),"INVALID – corrective action not recorded/closed",""),IF(AND(AS454=1,Documents!$J$17&lt;&gt;"ON FILE"),"INVALID – GLD not on file (Documents sheet)",IF(AND(AS454=2,Documents!$O$17&lt;&gt;"ON FILE"),"INVALID – menu checklist not on file (Documents sheet)",IF(AND(AS454=3,NOT(ISNUMBER(Flights!$AX$17))),"INVALID – enter carrying flight KUL departure (Flights AX)",IF(AG454&gt;AsOfUTC,"INVALID – completion time is in the future",IF(AND(ISNUMBER(S454),AG454&lt;S454),IF(H454="Physical uplift","INVALID – before uplift window (cannot confirm loading)","INVALID – before valid window"),IF(AG454&gt;Flights!$AA$17,"INVALID – completed after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f>
        <v>OPEN</v>
      </c>
      <c r="AI454" s="61" t="n">
        <f aca="false">IF(OR(AH454="N/A – RULE",AH454="N/A – JUSTIFIED"),0,1)</f>
        <v>1</v>
      </c>
      <c r="AJ454" s="61" t="n">
        <f aca="false">IF(LEFT(AH454,8)="COMPLETE",1,0)</f>
        <v>0</v>
      </c>
      <c r="AK454" s="61" t="n">
        <f aca="false">IF(AND(AI454=1,AJ454=0,AsOfUTC&gt;Q454),1,0)</f>
        <v>0</v>
      </c>
      <c r="AL454" s="61" t="n">
        <f aca="false">IF(AND(AI454=1,OR(TRIM(U454)="Fail",AB454="Open",AND(ISNUMBER(AF454),AF454&lt;&gt;0,TRIM(U454)&lt;&gt;"Pass after CA"))),1,0)</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1</v>
      </c>
    </row>
    <row r="455" customFormat="false" ht="54" hidden="false" customHeight="true" outlineLevel="0" collapsed="false">
      <c r="A455" s="57" t="s">
        <v>1064</v>
      </c>
      <c r="B455" s="57" t="s">
        <v>262</v>
      </c>
      <c r="C455" s="57" t="str">
        <f aca="false">Flights!$F$17</f>
        <v>MH0138</v>
      </c>
      <c r="D455" s="58" t="n">
        <f aca="false">Flights!$D$17</f>
        <v>46309</v>
      </c>
      <c r="E455" s="57" t="str">
        <f aca="false">Flights!$G$17&amp;"-"&amp;Flights!$H$17</f>
        <v>ADL-KUL</v>
      </c>
      <c r="F455" s="57" t="str">
        <f aca="false">Flights!$K$17</f>
        <v>EY</v>
      </c>
      <c r="G455" s="57" t="s">
        <v>422</v>
      </c>
      <c r="H455" s="57" t="s">
        <v>423</v>
      </c>
      <c r="I455" s="57" t="s">
        <v>597</v>
      </c>
      <c r="J455" s="57" t="s">
        <v>622</v>
      </c>
      <c r="K455" s="67" t="s">
        <v>1003</v>
      </c>
      <c r="L455" s="67" t="s">
        <v>1004</v>
      </c>
      <c r="M455" s="67" t="s">
        <v>414</v>
      </c>
      <c r="N455" s="67" t="s">
        <v>407</v>
      </c>
      <c r="O455" s="67" t="s">
        <v>1065</v>
      </c>
      <c r="P455" s="57" t="s">
        <v>253</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IF(N455="N/A – rule","N/A – RULE",IF(TRIM(U455)="N/A",IF(AT455=0,"INVALID – N/A not permitted for this mandatory check",IF(AND(TRIM(AC455)&lt;&gt;"",TRIM(AE455)&lt;&gt;"",TRIM(T455)&lt;&gt;""),"N/A – JUSTIFIED","INVALID – N/A needs justification, PIC and verifier")),IF(OR(TRIM(U455)="Pass",TRIM(U455)="Pass after CA"),IF(NOT(ISNUMBER(AD455)),"INVALID – completion time missing",IF(TRIM(T455)="","INVALID – PIC missing",IF(TRIM(Z455)="","INVALID – evidence missing",IF(TRIM(AE455)="","INVALID – verifier missing",IF(AND(AQ455=1,TRIM(W455)=""),"INVALID – batch ID missing",IF(AND(AR455=1,OR(NOT(ISNUMBER(X455)),NOT(ISNUMBER(Y455)))),"INVALID – expected/actual qty missing",IF(IF(AND(TRIM(U455)="Pass",ISNUMBER(AF455)),IF(AF455&lt;&gt;0,"INVALID – qty variance: use Fail or Pass after CA",""),"")&amp;IF(AND(TRIM(U455)="Pass",AB455="Open"),"INVALID – corrective action still open: use Fail, then Pass after CA","")&amp;IF(AND(TRIM(U455)="Pass after CA",OR(TRIM(AA455)="",AB455&lt;&gt;"Closed")),"INVALID – corrective action not recorded/closed","")&lt;&gt;"",IF(AND(TRIM(U455)="Pass",ISNUMBER(AF455)),IF(AF455&lt;&gt;0,"INVALID – qty variance: use Fail or Pass after CA",""),"")&amp;IF(AND(TRIM(U455)="Pass",AB455="Open"),"INVALID – corrective action still open: use Fail, then Pass after CA","")&amp;IF(AND(TRIM(U455)="Pass after CA",OR(TRIM(AA455)="",AB455&lt;&gt;"Closed")),"INVALID – corrective action not recorded/closed",""),IF(AND(AS455=1,Documents!$J$17&lt;&gt;"ON FILE"),"INVALID – GLD not on file (Documents sheet)",IF(AND(AS455=2,Documents!$O$17&lt;&gt;"ON FILE"),"INVALID – menu checklist not on file (Documents sheet)",IF(AND(AS455=3,NOT(ISNUMBER(Flights!$AX$17))),"INVALID – enter carrying flight KUL departure (Flights AX)",IF(AG455&gt;AsOfUTC,"INVALID – completion time is in the future",IF(AND(ISNUMBER(S455),AG455&lt;S455),IF(H455="Physical uplift","INVALID – before uplift window (cannot confirm loading)","INVALID – before valid window"),IF(AG455&gt;Flights!$AA$17,"INVALID – completed after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f>
        <v>OPEN – CLARIFICATION</v>
      </c>
      <c r="AI455" s="61" t="n">
        <f aca="false">IF(OR(AH455="N/A – RULE",AH455="N/A – JUSTIFIED"),0,1)</f>
        <v>1</v>
      </c>
      <c r="AJ455" s="61" t="n">
        <f aca="false">IF(LEFT(AH455,8)="COMPLETE",1,0)</f>
        <v>0</v>
      </c>
      <c r="AK455" s="61" t="n">
        <f aca="false">IF(AND(AI455=1,AJ455=0,AsOfUTC&gt;Q455),1,0)</f>
        <v>0</v>
      </c>
      <c r="AL455" s="61" t="n">
        <f aca="false">IF(AND(AI455=1,OR(TRIM(U455)="Fail",AB455="Open",AND(ISNUMBER(AF455),AF455&lt;&gt;0,TRIM(U455)&lt;&gt;"Pass after CA"))),1,0)</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row>
    <row r="456" customFormat="false" ht="39.75" hidden="false" customHeight="true" outlineLevel="0" collapsed="false">
      <c r="A456" s="57" t="s">
        <v>1066</v>
      </c>
      <c r="B456" s="57" t="s">
        <v>266</v>
      </c>
      <c r="C456" s="57" t="str">
        <f aca="false">Flights!$F$18</f>
        <v>MH0004</v>
      </c>
      <c r="D456" s="58" t="n">
        <f aca="false">Flights!$D$18</f>
        <v>46310</v>
      </c>
      <c r="E456" s="57" t="str">
        <f aca="false">Flights!$G$18&amp;"-"&amp;Flights!$H$18</f>
        <v>KUL-LHR</v>
      </c>
      <c r="F456" s="57" t="str">
        <f aca="false">Flights!$K$18</f>
        <v>EY</v>
      </c>
      <c r="G456" s="57" t="s">
        <v>74</v>
      </c>
      <c r="H456" s="57" t="s">
        <v>341</v>
      </c>
      <c r="I456" s="57" t="s">
        <v>342</v>
      </c>
      <c r="J456" s="57" t="s">
        <v>343</v>
      </c>
      <c r="K456" s="67" t="s">
        <v>344</v>
      </c>
      <c r="L456" s="67" t="s">
        <v>345</v>
      </c>
      <c r="M456" s="67"/>
      <c r="N456" s="67" t="s">
        <v>346</v>
      </c>
      <c r="O456" s="67"/>
      <c r="P456" s="57" t="s">
        <v>177</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IF(N456="N/A – rule","N/A – RULE",IF(TRIM(U456)="N/A",IF(AT456=0,"INVALID – N/A not permitted for this mandatory check",IF(AND(TRIM(AC456)&lt;&gt;"",TRIM(AE456)&lt;&gt;"",TRIM(T456)&lt;&gt;""),"N/A – JUSTIFIED","INVALID – N/A needs justification, PIC and verifier")),IF(OR(TRIM(U456)="Pass",TRIM(U456)="Pass after CA"),IF(NOT(ISNUMBER(AD456)),"INVALID – completion time missing",IF(TRIM(T456)="","INVALID – PIC missing",IF(TRIM(Z456)="","INVALID – evidence missing",IF(TRIM(AE456)="","INVALID – verifier missing",IF(AND(AQ456=1,TRIM(W456)=""),"INVALID – batch ID missing",IF(AND(AR456=1,OR(NOT(ISNUMBER(X456)),NOT(ISNUMBER(Y456)))),"INVALID – expected/actual qty missing",IF(IF(AND(TRIM(U456)="Pass",ISNUMBER(AF456)),IF(AF456&lt;&gt;0,"INVALID – qty variance: use Fail or Pass after CA",""),"")&amp;IF(AND(TRIM(U456)="Pass",AB456="Open"),"INVALID – corrective action still open: use Fail, then Pass after CA","")&amp;IF(AND(TRIM(U456)="Pass after CA",OR(TRIM(AA456)="",AB456&lt;&gt;"Closed")),"INVALID – corrective action not recorded/closed","")&lt;&gt;"",IF(AND(TRIM(U456)="Pass",ISNUMBER(AF456)),IF(AF456&lt;&gt;0,"INVALID – qty variance: use Fail or Pass after CA",""),"")&amp;IF(AND(TRIM(U456)="Pass",AB456="Open"),"INVALID – corrective action still open: use Fail, then Pass after CA","")&amp;IF(AND(TRIM(U456)="Pass after CA",OR(TRIM(AA456)="",AB456&lt;&gt;"Closed")),"INVALID – corrective action not recorded/closed",""),IF(AND(AS456=1,Documents!$J$18&lt;&gt;"ON FILE"),"INVALID – GLD not on file (Documents sheet)",IF(AND(AS456=2,Documents!$O$18&lt;&gt;"ON FILE"),"INVALID – menu checklist not on file (Documents sheet)",IF(AND(AS456=3,NOT(ISNUMBER(Flights!$AX$18))),"INVALID – enter carrying flight KUL departure (Flights AX)",IF(AG456&gt;AsOfUTC,"INVALID – completion time is in the future",IF(AND(ISNUMBER(S456),AG456&lt;S456),IF(H456="Physical uplift","INVALID – before uplift window (cannot confirm loading)","INVALID – before valid window"),IF(AG456&gt;Flights!$AA$18,"INVALID – completed after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f>
        <v>OPEN</v>
      </c>
      <c r="AI456" s="61" t="n">
        <f aca="false">IF(OR(AH456="N/A – RULE",AH456="N/A – JUSTIFIED"),0,1)</f>
        <v>1</v>
      </c>
      <c r="AJ456" s="61" t="n">
        <f aca="false">IF(LEFT(AH456,8)="COMPLETE",1,0)</f>
        <v>0</v>
      </c>
      <c r="AK456" s="61" t="n">
        <f aca="false">IF(AND(AI456=1,AJ456=0,AsOfUTC&gt;Q456),1,0)</f>
        <v>0</v>
      </c>
      <c r="AL456" s="61" t="n">
        <f aca="false">IF(AND(AI456=1,OR(TRIM(U456)="Fail",AB456="Open",AND(ISNUMBER(AF456),AF456&lt;&gt;0,TRIM(U456)&lt;&gt;"Pass after CA"))),1,0)</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row>
    <row r="457" customFormat="false" ht="39.75" hidden="false" customHeight="true" outlineLevel="0" collapsed="false">
      <c r="A457" s="57" t="s">
        <v>1067</v>
      </c>
      <c r="B457" s="57" t="s">
        <v>266</v>
      </c>
      <c r="C457" s="57" t="str">
        <f aca="false">Flights!$F$18</f>
        <v>MH0004</v>
      </c>
      <c r="D457" s="58" t="n">
        <f aca="false">Flights!$D$18</f>
        <v>46310</v>
      </c>
      <c r="E457" s="57" t="str">
        <f aca="false">Flights!$G$18&amp;"-"&amp;Flights!$H$18</f>
        <v>KUL-LHR</v>
      </c>
      <c r="F457" s="57" t="str">
        <f aca="false">Flights!$K$18</f>
        <v>EY</v>
      </c>
      <c r="G457" s="57" t="s">
        <v>74</v>
      </c>
      <c r="H457" s="57" t="s">
        <v>341</v>
      </c>
      <c r="I457" s="57" t="s">
        <v>348</v>
      </c>
      <c r="J457" s="57" t="s">
        <v>349</v>
      </c>
      <c r="K457" s="67" t="s">
        <v>350</v>
      </c>
      <c r="L457" s="67" t="s">
        <v>345</v>
      </c>
      <c r="M457" s="67"/>
      <c r="N457" s="67" t="s">
        <v>346</v>
      </c>
      <c r="O457" s="67"/>
      <c r="P457" s="57" t="s">
        <v>177</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IF(N457="N/A – rule","N/A – RULE",IF(TRIM(U457)="N/A",IF(AT457=0,"INVALID – N/A not permitted for this mandatory check",IF(AND(TRIM(AC457)&lt;&gt;"",TRIM(AE457)&lt;&gt;"",TRIM(T457)&lt;&gt;""),"N/A – JUSTIFIED","INVALID – N/A needs justification, PIC and verifier")),IF(OR(TRIM(U457)="Pass",TRIM(U457)="Pass after CA"),IF(NOT(ISNUMBER(AD457)),"INVALID – completion time missing",IF(TRIM(T457)="","INVALID – PIC missing",IF(TRIM(Z457)="","INVALID – evidence missing",IF(TRIM(AE457)="","INVALID – verifier missing",IF(AND(AQ457=1,TRIM(W457)=""),"INVALID – batch ID missing",IF(AND(AR457=1,OR(NOT(ISNUMBER(X457)),NOT(ISNUMBER(Y457)))),"INVALID – expected/actual qty missing",IF(IF(AND(TRIM(U457)="Pass",ISNUMBER(AF457)),IF(AF457&lt;&gt;0,"INVALID – qty variance: use Fail or Pass after CA",""),"")&amp;IF(AND(TRIM(U457)="Pass",AB457="Open"),"INVALID – corrective action still open: use Fail, then Pass after CA","")&amp;IF(AND(TRIM(U457)="Pass after CA",OR(TRIM(AA457)="",AB457&lt;&gt;"Closed")),"INVALID – corrective action not recorded/closed","")&lt;&gt;"",IF(AND(TRIM(U457)="Pass",ISNUMBER(AF457)),IF(AF457&lt;&gt;0,"INVALID – qty variance: use Fail or Pass after CA",""),"")&amp;IF(AND(TRIM(U457)="Pass",AB457="Open"),"INVALID – corrective action still open: use Fail, then Pass after CA","")&amp;IF(AND(TRIM(U457)="Pass after CA",OR(TRIM(AA457)="",AB457&lt;&gt;"Closed")),"INVALID – corrective action not recorded/closed",""),IF(AND(AS457=1,Documents!$J$18&lt;&gt;"ON FILE"),"INVALID – GLD not on file (Documents sheet)",IF(AND(AS457=2,Documents!$O$18&lt;&gt;"ON FILE"),"INVALID – menu checklist not on file (Documents sheet)",IF(AND(AS457=3,NOT(ISNUMBER(Flights!$AX$18))),"INVALID – enter carrying flight KUL departure (Flights AX)",IF(AG457&gt;AsOfUTC,"INVALID – completion time is in the future",IF(AND(ISNUMBER(S457),AG457&lt;S457),IF(H457="Physical uplift","INVALID – before uplift window (cannot confirm loading)","INVALID – before valid window"),IF(AG457&gt;Flights!$AA$18,"INVALID – completed after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f>
        <v>OPEN</v>
      </c>
      <c r="AI457" s="61" t="n">
        <f aca="false">IF(OR(AH457="N/A – RULE",AH457="N/A – JUSTIFIED"),0,1)</f>
        <v>1</v>
      </c>
      <c r="AJ457" s="61" t="n">
        <f aca="false">IF(LEFT(AH457,8)="COMPLETE",1,0)</f>
        <v>0</v>
      </c>
      <c r="AK457" s="61" t="n">
        <f aca="false">IF(AND(AI457=1,AJ457=0,AsOfUTC&gt;Q457),1,0)</f>
        <v>0</v>
      </c>
      <c r="AL457" s="61" t="n">
        <f aca="false">IF(AND(AI457=1,OR(TRIM(U457)="Fail",AB457="Open",AND(ISNUMBER(AF457),AF457&lt;&gt;0,TRIM(U457)&lt;&gt;"Pass after CA"))),1,0)</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1</v>
      </c>
    </row>
    <row r="458" customFormat="false" ht="41.25" hidden="false" customHeight="true" outlineLevel="0" collapsed="false">
      <c r="A458" s="57" t="s">
        <v>1068</v>
      </c>
      <c r="B458" s="57" t="s">
        <v>266</v>
      </c>
      <c r="C458" s="57" t="str">
        <f aca="false">Flights!$F$18</f>
        <v>MH0004</v>
      </c>
      <c r="D458" s="58" t="n">
        <f aca="false">Flights!$D$18</f>
        <v>46310</v>
      </c>
      <c r="E458" s="57" t="str">
        <f aca="false">Flights!$G$18&amp;"-"&amp;Flights!$H$18</f>
        <v>KUL-LHR</v>
      </c>
      <c r="F458" s="57" t="str">
        <f aca="false">Flights!$K$18</f>
        <v>EY</v>
      </c>
      <c r="G458" s="57" t="s">
        <v>74</v>
      </c>
      <c r="H458" s="57" t="s">
        <v>341</v>
      </c>
      <c r="I458" s="57" t="s">
        <v>352</v>
      </c>
      <c r="J458" s="57" t="s">
        <v>353</v>
      </c>
      <c r="K458" s="67" t="s">
        <v>354</v>
      </c>
      <c r="L458" s="67" t="s">
        <v>345</v>
      </c>
      <c r="M458" s="67"/>
      <c r="N458" s="67" t="str">
        <f aca="false">IF(TRIM(Flights!$L$18)="A339","Required","N/A – rule")</f>
        <v>N/A – rule</v>
      </c>
      <c r="O458" s="67" t="s">
        <v>355</v>
      </c>
      <c r="P458" s="57" t="s">
        <v>177</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IF(N458="N/A – rule","N/A – RULE",IF(TRIM(U458)="N/A",IF(AT458=0,"INVALID – N/A not permitted for this mandatory check",IF(AND(TRIM(AC458)&lt;&gt;"",TRIM(AE458)&lt;&gt;"",TRIM(T458)&lt;&gt;""),"N/A – JUSTIFIED","INVALID – N/A needs justification, PIC and verifier")),IF(OR(TRIM(U458)="Pass",TRIM(U458)="Pass after CA"),IF(NOT(ISNUMBER(AD458)),"INVALID – completion time missing",IF(TRIM(T458)="","INVALID – PIC missing",IF(TRIM(Z458)="","INVALID – evidence missing",IF(TRIM(AE458)="","INVALID – verifier missing",IF(AND(AQ458=1,TRIM(W458)=""),"INVALID – batch ID missing",IF(AND(AR458=1,OR(NOT(ISNUMBER(X458)),NOT(ISNUMBER(Y458)))),"INVALID – expected/actual qty missing",IF(IF(AND(TRIM(U458)="Pass",ISNUMBER(AF458)),IF(AF458&lt;&gt;0,"INVALID – qty variance: use Fail or Pass after CA",""),"")&amp;IF(AND(TRIM(U458)="Pass",AB458="Open"),"INVALID – corrective action still open: use Fail, then Pass after CA","")&amp;IF(AND(TRIM(U458)="Pass after CA",OR(TRIM(AA458)="",AB458&lt;&gt;"Closed")),"INVALID – corrective action not recorded/closed","")&lt;&gt;"",IF(AND(TRIM(U458)="Pass",ISNUMBER(AF458)),IF(AF458&lt;&gt;0,"INVALID – qty variance: use Fail or Pass after CA",""),"")&amp;IF(AND(TRIM(U458)="Pass",AB458="Open"),"INVALID – corrective action still open: use Fail, then Pass after CA","")&amp;IF(AND(TRIM(U458)="Pass after CA",OR(TRIM(AA458)="",AB458&lt;&gt;"Closed")),"INVALID – corrective action not recorded/closed",""),IF(AND(AS458=1,Documents!$J$18&lt;&gt;"ON FILE"),"INVALID – GLD not on file (Documents sheet)",IF(AND(AS458=2,Documents!$O$18&lt;&gt;"ON FILE"),"INVALID – menu checklist not on file (Documents sheet)",IF(AND(AS458=3,NOT(ISNUMBER(Flights!$AX$18))),"INVALID – enter carrying flight KUL departure (Flights AX)",IF(AG458&gt;AsOfUTC,"INVALID – completion time is in the future",IF(AND(ISNUMBER(S458),AG458&lt;S458),IF(H458="Physical uplift","INVALID – before uplift window (cannot confirm loading)","INVALID – before valid window"),IF(AG458&gt;Flights!$AA$18,"INVALID – completed after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f>
        <v>N/A – RULE</v>
      </c>
      <c r="AI458" s="61" t="n">
        <f aca="false">IF(OR(AH458="N/A – RULE",AH458="N/A – JUSTIFIED"),0,1)</f>
        <v>0</v>
      </c>
      <c r="AJ458" s="61" t="n">
        <f aca="false">IF(LEFT(AH458,8)="COMPLETE",1,0)</f>
        <v>0</v>
      </c>
      <c r="AK458" s="61" t="n">
        <f aca="false">IF(AND(AI458=1,AJ458=0,AsOfUTC&gt;Q458),1,0)</f>
        <v>0</v>
      </c>
      <c r="AL458" s="61" t="n">
        <f aca="false">IF(AND(AI458=1,OR(TRIM(U458)="Fail",AB458="Open",AND(ISNUMBER(AF458),AF458&lt;&gt;0,TRIM(U458)&lt;&gt;"Pass after CA"))),1,0)</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row>
    <row r="459" customFormat="false" ht="39.75" hidden="false" customHeight="true" outlineLevel="0" collapsed="false">
      <c r="A459" s="57" t="s">
        <v>1069</v>
      </c>
      <c r="B459" s="57" t="s">
        <v>266</v>
      </c>
      <c r="C459" s="57" t="str">
        <f aca="false">Flights!$F$18</f>
        <v>MH0004</v>
      </c>
      <c r="D459" s="58" t="n">
        <f aca="false">Flights!$D$18</f>
        <v>46310</v>
      </c>
      <c r="E459" s="57" t="str">
        <f aca="false">Flights!$G$18&amp;"-"&amp;Flights!$H$18</f>
        <v>KUL-LHR</v>
      </c>
      <c r="F459" s="57" t="str">
        <f aca="false">Flights!$K$18</f>
        <v>EY</v>
      </c>
      <c r="G459" s="57" t="s">
        <v>74</v>
      </c>
      <c r="H459" s="57" t="s">
        <v>341</v>
      </c>
      <c r="I459" s="57" t="s">
        <v>357</v>
      </c>
      <c r="J459" s="57" t="s">
        <v>358</v>
      </c>
      <c r="K459" s="67" t="s">
        <v>359</v>
      </c>
      <c r="L459" s="67" t="s">
        <v>345</v>
      </c>
      <c r="M459" s="67"/>
      <c r="N459" s="67" t="s">
        <v>346</v>
      </c>
      <c r="O459" s="67"/>
      <c r="P459" s="57" t="s">
        <v>177</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IF(N459="N/A – rule","N/A – RULE",IF(TRIM(U459)="N/A",IF(AT459=0,"INVALID – N/A not permitted for this mandatory check",IF(AND(TRIM(AC459)&lt;&gt;"",TRIM(AE459)&lt;&gt;"",TRIM(T459)&lt;&gt;""),"N/A – JUSTIFIED","INVALID – N/A needs justification, PIC and verifier")),IF(OR(TRIM(U459)="Pass",TRIM(U459)="Pass after CA"),IF(NOT(ISNUMBER(AD459)),"INVALID – completion time missing",IF(TRIM(T459)="","INVALID – PIC missing",IF(TRIM(Z459)="","INVALID – evidence missing",IF(TRIM(AE459)="","INVALID – verifier missing",IF(AND(AQ459=1,TRIM(W459)=""),"INVALID – batch ID missing",IF(AND(AR459=1,OR(NOT(ISNUMBER(X459)),NOT(ISNUMBER(Y459)))),"INVALID – expected/actual qty missing",IF(IF(AND(TRIM(U459)="Pass",ISNUMBER(AF459)),IF(AF459&lt;&gt;0,"INVALID – qty variance: use Fail or Pass after CA",""),"")&amp;IF(AND(TRIM(U459)="Pass",AB459="Open"),"INVALID – corrective action still open: use Fail, then Pass after CA","")&amp;IF(AND(TRIM(U459)="Pass after CA",OR(TRIM(AA459)="",AB459&lt;&gt;"Closed")),"INVALID – corrective action not recorded/closed","")&lt;&gt;"",IF(AND(TRIM(U459)="Pass",ISNUMBER(AF459)),IF(AF459&lt;&gt;0,"INVALID – qty variance: use Fail or Pass after CA",""),"")&amp;IF(AND(TRIM(U459)="Pass",AB459="Open"),"INVALID – corrective action still open: use Fail, then Pass after CA","")&amp;IF(AND(TRIM(U459)="Pass after CA",OR(TRIM(AA459)="",AB459&lt;&gt;"Closed")),"INVALID – corrective action not recorded/closed",""),IF(AND(AS459=1,Documents!$J$18&lt;&gt;"ON FILE"),"INVALID – GLD not on file (Documents sheet)",IF(AND(AS459=2,Documents!$O$18&lt;&gt;"ON FILE"),"INVALID – menu checklist not on file (Documents sheet)",IF(AND(AS459=3,NOT(ISNUMBER(Flights!$AX$18))),"INVALID – enter carrying flight KUL departure (Flights AX)",IF(AG459&gt;AsOfUTC,"INVALID – completion time is in the future",IF(AND(ISNUMBER(S459),AG459&lt;S459),IF(H459="Physical uplift","INVALID – before uplift window (cannot confirm loading)","INVALID – before valid window"),IF(AG459&gt;Flights!$AA$18,"INVALID – completed after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f>
        <v>OPEN</v>
      </c>
      <c r="AI459" s="61" t="n">
        <f aca="false">IF(OR(AH459="N/A – RULE",AH459="N/A – JUSTIFIED"),0,1)</f>
        <v>1</v>
      </c>
      <c r="AJ459" s="61" t="n">
        <f aca="false">IF(LEFT(AH459,8)="COMPLETE",1,0)</f>
        <v>0</v>
      </c>
      <c r="AK459" s="61" t="n">
        <f aca="false">IF(AND(AI459=1,AJ459=0,AsOfUTC&gt;Q459),1,0)</f>
        <v>0</v>
      </c>
      <c r="AL459" s="61" t="n">
        <f aca="false">IF(AND(AI459=1,OR(TRIM(U459)="Fail",AB459="Open",AND(ISNUMBER(AF459),AF459&lt;&gt;0,TRIM(U459)&lt;&gt;"Pass after CA"))),1,0)</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row>
    <row r="460" customFormat="false" ht="39.75" hidden="false" customHeight="true" outlineLevel="0" collapsed="false">
      <c r="A460" s="57" t="s">
        <v>1070</v>
      </c>
      <c r="B460" s="57" t="s">
        <v>266</v>
      </c>
      <c r="C460" s="57" t="str">
        <f aca="false">Flights!$F$18</f>
        <v>MH0004</v>
      </c>
      <c r="D460" s="58" t="n">
        <f aca="false">Flights!$D$18</f>
        <v>46310</v>
      </c>
      <c r="E460" s="57" t="str">
        <f aca="false">Flights!$G$18&amp;"-"&amp;Flights!$H$18</f>
        <v>KUL-LHR</v>
      </c>
      <c r="F460" s="57" t="str">
        <f aca="false">Flights!$K$18</f>
        <v>EY</v>
      </c>
      <c r="G460" s="57" t="s">
        <v>74</v>
      </c>
      <c r="H460" s="57" t="s">
        <v>341</v>
      </c>
      <c r="I460" s="57" t="s">
        <v>361</v>
      </c>
      <c r="J460" s="57" t="s">
        <v>362</v>
      </c>
      <c r="K460" s="67" t="s">
        <v>363</v>
      </c>
      <c r="L460" s="67" t="s">
        <v>345</v>
      </c>
      <c r="M460" s="67"/>
      <c r="N460" s="67" t="s">
        <v>346</v>
      </c>
      <c r="O460" s="67"/>
      <c r="P460" s="57" t="s">
        <v>177</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IF(N460="N/A – rule","N/A – RULE",IF(TRIM(U460)="N/A",IF(AT460=0,"INVALID – N/A not permitted for this mandatory check",IF(AND(TRIM(AC460)&lt;&gt;"",TRIM(AE460)&lt;&gt;"",TRIM(T460)&lt;&gt;""),"N/A – JUSTIFIED","INVALID – N/A needs justification, PIC and verifier")),IF(OR(TRIM(U460)="Pass",TRIM(U460)="Pass after CA"),IF(NOT(ISNUMBER(AD460)),"INVALID – completion time missing",IF(TRIM(T460)="","INVALID – PIC missing",IF(TRIM(Z460)="","INVALID – evidence missing",IF(TRIM(AE460)="","INVALID – verifier missing",IF(AND(AQ460=1,TRIM(W460)=""),"INVALID – batch ID missing",IF(AND(AR460=1,OR(NOT(ISNUMBER(X460)),NOT(ISNUMBER(Y460)))),"INVALID – expected/actual qty missing",IF(IF(AND(TRIM(U460)="Pass",ISNUMBER(AF460)),IF(AF460&lt;&gt;0,"INVALID – qty variance: use Fail or Pass after CA",""),"")&amp;IF(AND(TRIM(U460)="Pass",AB460="Open"),"INVALID – corrective action still open: use Fail, then Pass after CA","")&amp;IF(AND(TRIM(U460)="Pass after CA",OR(TRIM(AA460)="",AB460&lt;&gt;"Closed")),"INVALID – corrective action not recorded/closed","")&lt;&gt;"",IF(AND(TRIM(U460)="Pass",ISNUMBER(AF460)),IF(AF460&lt;&gt;0,"INVALID – qty variance: use Fail or Pass after CA",""),"")&amp;IF(AND(TRIM(U460)="Pass",AB460="Open"),"INVALID – corrective action still open: use Fail, then Pass after CA","")&amp;IF(AND(TRIM(U460)="Pass after CA",OR(TRIM(AA460)="",AB460&lt;&gt;"Closed")),"INVALID – corrective action not recorded/closed",""),IF(AND(AS460=1,Documents!$J$18&lt;&gt;"ON FILE"),"INVALID – GLD not on file (Documents sheet)",IF(AND(AS460=2,Documents!$O$18&lt;&gt;"ON FILE"),"INVALID – menu checklist not on file (Documents sheet)",IF(AND(AS460=3,NOT(ISNUMBER(Flights!$AX$18))),"INVALID – enter carrying flight KUL departure (Flights AX)",IF(AG460&gt;AsOfUTC,"INVALID – completion time is in the future",IF(AND(ISNUMBER(S460),AG460&lt;S460),IF(H460="Physical uplift","INVALID – before uplift window (cannot confirm loading)","INVALID – before valid window"),IF(AG460&gt;Flights!$AA$18,"INVALID – completed after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f>
        <v>OPEN</v>
      </c>
      <c r="AI460" s="61" t="n">
        <f aca="false">IF(OR(AH460="N/A – RULE",AH460="N/A – JUSTIFIED"),0,1)</f>
        <v>1</v>
      </c>
      <c r="AJ460" s="61" t="n">
        <f aca="false">IF(LEFT(AH460,8)="COMPLETE",1,0)</f>
        <v>0</v>
      </c>
      <c r="AK460" s="61" t="n">
        <f aca="false">IF(AND(AI460=1,AJ460=0,AsOfUTC&gt;Q460),1,0)</f>
        <v>0</v>
      </c>
      <c r="AL460" s="61" t="n">
        <f aca="false">IF(AND(AI460=1,OR(TRIM(U460)="Fail",AB460="Open",AND(ISNUMBER(AF460),AF460&lt;&gt;0,TRIM(U460)&lt;&gt;"Pass after CA"))),1,0)</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row>
    <row r="461" customFormat="false" ht="39.75" hidden="false" customHeight="true" outlineLevel="0" collapsed="false">
      <c r="A461" s="57" t="s">
        <v>1071</v>
      </c>
      <c r="B461" s="57" t="s">
        <v>266</v>
      </c>
      <c r="C461" s="57" t="str">
        <f aca="false">Flights!$F$18</f>
        <v>MH0004</v>
      </c>
      <c r="D461" s="58" t="n">
        <f aca="false">Flights!$D$18</f>
        <v>46310</v>
      </c>
      <c r="E461" s="57" t="str">
        <f aca="false">Flights!$G$18&amp;"-"&amp;Flights!$H$18</f>
        <v>KUL-LHR</v>
      </c>
      <c r="F461" s="57" t="str">
        <f aca="false">Flights!$K$18</f>
        <v>EY</v>
      </c>
      <c r="G461" s="57" t="s">
        <v>74</v>
      </c>
      <c r="H461" s="57" t="s">
        <v>341</v>
      </c>
      <c r="I461" s="57" t="s">
        <v>361</v>
      </c>
      <c r="J461" s="57" t="s">
        <v>365</v>
      </c>
      <c r="K461" s="67" t="s">
        <v>366</v>
      </c>
      <c r="L461" s="67" t="s">
        <v>345</v>
      </c>
      <c r="M461" s="67"/>
      <c r="N461" s="67" t="s">
        <v>346</v>
      </c>
      <c r="O461" s="67"/>
      <c r="P461" s="57" t="s">
        <v>177</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IF(N461="N/A – rule","N/A – RULE",IF(TRIM(U461)="N/A",IF(AT461=0,"INVALID – N/A not permitted for this mandatory check",IF(AND(TRIM(AC461)&lt;&gt;"",TRIM(AE461)&lt;&gt;"",TRIM(T461)&lt;&gt;""),"N/A – JUSTIFIED","INVALID – N/A needs justification, PIC and verifier")),IF(OR(TRIM(U461)="Pass",TRIM(U461)="Pass after CA"),IF(NOT(ISNUMBER(AD461)),"INVALID – completion time missing",IF(TRIM(T461)="","INVALID – PIC missing",IF(TRIM(Z461)="","INVALID – evidence missing",IF(TRIM(AE461)="","INVALID – verifier missing",IF(AND(AQ461=1,TRIM(W461)=""),"INVALID – batch ID missing",IF(AND(AR461=1,OR(NOT(ISNUMBER(X461)),NOT(ISNUMBER(Y461)))),"INVALID – expected/actual qty missing",IF(IF(AND(TRIM(U461)="Pass",ISNUMBER(AF461)),IF(AF461&lt;&gt;0,"INVALID – qty variance: use Fail or Pass after CA",""),"")&amp;IF(AND(TRIM(U461)="Pass",AB461="Open"),"INVALID – corrective action still open: use Fail, then Pass after CA","")&amp;IF(AND(TRIM(U461)="Pass after CA",OR(TRIM(AA461)="",AB461&lt;&gt;"Closed")),"INVALID – corrective action not recorded/closed","")&lt;&gt;"",IF(AND(TRIM(U461)="Pass",ISNUMBER(AF461)),IF(AF461&lt;&gt;0,"INVALID – qty variance: use Fail or Pass after CA",""),"")&amp;IF(AND(TRIM(U461)="Pass",AB461="Open"),"INVALID – corrective action still open: use Fail, then Pass after CA","")&amp;IF(AND(TRIM(U461)="Pass after CA",OR(TRIM(AA461)="",AB461&lt;&gt;"Closed")),"INVALID – corrective action not recorded/closed",""),IF(AND(AS461=1,Documents!$J$18&lt;&gt;"ON FILE"),"INVALID – GLD not on file (Documents sheet)",IF(AND(AS461=2,Documents!$O$18&lt;&gt;"ON FILE"),"INVALID – menu checklist not on file (Documents sheet)",IF(AND(AS461=3,NOT(ISNUMBER(Flights!$AX$18))),"INVALID – enter carrying flight KUL departure (Flights AX)",IF(AG461&gt;AsOfUTC,"INVALID – completion time is in the future",IF(AND(ISNUMBER(S461),AG461&lt;S461),IF(H461="Physical uplift","INVALID – before uplift window (cannot confirm loading)","INVALID – before valid window"),IF(AG461&gt;Flights!$AA$18,"INVALID – completed after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f>
        <v>OPEN</v>
      </c>
      <c r="AI461" s="61" t="n">
        <f aca="false">IF(OR(AH461="N/A – RULE",AH461="N/A – JUSTIFIED"),0,1)</f>
        <v>1</v>
      </c>
      <c r="AJ461" s="61" t="n">
        <f aca="false">IF(LEFT(AH461,8)="COMPLETE",1,0)</f>
        <v>0</v>
      </c>
      <c r="AK461" s="61" t="n">
        <f aca="false">IF(AND(AI461=1,AJ461=0,AsOfUTC&gt;Q461),1,0)</f>
        <v>0</v>
      </c>
      <c r="AL461" s="61" t="n">
        <f aca="false">IF(AND(AI461=1,OR(TRIM(U461)="Fail",AB461="Open",AND(ISNUMBER(AF461),AF461&lt;&gt;0,TRIM(U461)&lt;&gt;"Pass after CA"))),1,0)</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row>
    <row r="462" customFormat="false" ht="39.75" hidden="false" customHeight="true" outlineLevel="0" collapsed="false">
      <c r="A462" s="57" t="s">
        <v>1072</v>
      </c>
      <c r="B462" s="57" t="s">
        <v>266</v>
      </c>
      <c r="C462" s="57" t="str">
        <f aca="false">Flights!$F$18</f>
        <v>MH0004</v>
      </c>
      <c r="D462" s="58" t="n">
        <f aca="false">Flights!$D$18</f>
        <v>46310</v>
      </c>
      <c r="E462" s="57" t="str">
        <f aca="false">Flights!$G$18&amp;"-"&amp;Flights!$H$18</f>
        <v>KUL-LHR</v>
      </c>
      <c r="F462" s="57" t="str">
        <f aca="false">Flights!$K$18</f>
        <v>EY</v>
      </c>
      <c r="G462" s="57" t="s">
        <v>74</v>
      </c>
      <c r="H462" s="57" t="s">
        <v>341</v>
      </c>
      <c r="I462" s="57" t="s">
        <v>368</v>
      </c>
      <c r="J462" s="57" t="s">
        <v>369</v>
      </c>
      <c r="K462" s="67" t="s">
        <v>370</v>
      </c>
      <c r="L462" s="67" t="s">
        <v>345</v>
      </c>
      <c r="M462" s="67"/>
      <c r="N462" s="67" t="s">
        <v>346</v>
      </c>
      <c r="O462" s="67"/>
      <c r="P462" s="57" t="s">
        <v>177</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IF(N462="N/A – rule","N/A – RULE",IF(TRIM(U462)="N/A",IF(AT462=0,"INVALID – N/A not permitted for this mandatory check",IF(AND(TRIM(AC462)&lt;&gt;"",TRIM(AE462)&lt;&gt;"",TRIM(T462)&lt;&gt;""),"N/A – JUSTIFIED","INVALID – N/A needs justification, PIC and verifier")),IF(OR(TRIM(U462)="Pass",TRIM(U462)="Pass after CA"),IF(NOT(ISNUMBER(AD462)),"INVALID – completion time missing",IF(TRIM(T462)="","INVALID – PIC missing",IF(TRIM(Z462)="","INVALID – evidence missing",IF(TRIM(AE462)="","INVALID – verifier missing",IF(AND(AQ462=1,TRIM(W462)=""),"INVALID – batch ID missing",IF(AND(AR462=1,OR(NOT(ISNUMBER(X462)),NOT(ISNUMBER(Y462)))),"INVALID – expected/actual qty missing",IF(IF(AND(TRIM(U462)="Pass",ISNUMBER(AF462)),IF(AF462&lt;&gt;0,"INVALID – qty variance: use Fail or Pass after CA",""),"")&amp;IF(AND(TRIM(U462)="Pass",AB462="Open"),"INVALID – corrective action still open: use Fail, then Pass after CA","")&amp;IF(AND(TRIM(U462)="Pass after CA",OR(TRIM(AA462)="",AB462&lt;&gt;"Closed")),"INVALID – corrective action not recorded/closed","")&lt;&gt;"",IF(AND(TRIM(U462)="Pass",ISNUMBER(AF462)),IF(AF462&lt;&gt;0,"INVALID – qty variance: use Fail or Pass after CA",""),"")&amp;IF(AND(TRIM(U462)="Pass",AB462="Open"),"INVALID – corrective action still open: use Fail, then Pass after CA","")&amp;IF(AND(TRIM(U462)="Pass after CA",OR(TRIM(AA462)="",AB462&lt;&gt;"Closed")),"INVALID – corrective action not recorded/closed",""),IF(AND(AS462=1,Documents!$J$18&lt;&gt;"ON FILE"),"INVALID – GLD not on file (Documents sheet)",IF(AND(AS462=2,Documents!$O$18&lt;&gt;"ON FILE"),"INVALID – menu checklist not on file (Documents sheet)",IF(AND(AS462=3,NOT(ISNUMBER(Flights!$AX$18))),"INVALID – enter carrying flight KUL departure (Flights AX)",IF(AG462&gt;AsOfUTC,"INVALID – completion time is in the future",IF(AND(ISNUMBER(S462),AG462&lt;S462),IF(H462="Physical uplift","INVALID – before uplift window (cannot confirm loading)","INVALID – before valid window"),IF(AG462&gt;Flights!$AA$18,"INVALID – completed after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f>
        <v>OPEN</v>
      </c>
      <c r="AI462" s="61" t="n">
        <f aca="false">IF(OR(AH462="N/A – RULE",AH462="N/A – JUSTIFIED"),0,1)</f>
        <v>1</v>
      </c>
      <c r="AJ462" s="61" t="n">
        <f aca="false">IF(LEFT(AH462,8)="COMPLETE",1,0)</f>
        <v>0</v>
      </c>
      <c r="AK462" s="61" t="n">
        <f aca="false">IF(AND(AI462=1,AJ462=0,AsOfUTC&gt;Q462),1,0)</f>
        <v>0</v>
      </c>
      <c r="AL462" s="61" t="n">
        <f aca="false">IF(AND(AI462=1,OR(TRIM(U462)="Fail",AB462="Open",AND(ISNUMBER(AF462),AF462&lt;&gt;0,TRIM(U462)&lt;&gt;"Pass after CA"))),1,0)</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row>
    <row r="463" customFormat="false" ht="39.75" hidden="false" customHeight="true" outlineLevel="0" collapsed="false">
      <c r="A463" s="57" t="s">
        <v>1073</v>
      </c>
      <c r="B463" s="57" t="s">
        <v>266</v>
      </c>
      <c r="C463" s="57" t="str">
        <f aca="false">Flights!$F$18</f>
        <v>MH0004</v>
      </c>
      <c r="D463" s="58" t="n">
        <f aca="false">Flights!$D$18</f>
        <v>46310</v>
      </c>
      <c r="E463" s="57" t="str">
        <f aca="false">Flights!$G$18&amp;"-"&amp;Flights!$H$18</f>
        <v>KUL-LHR</v>
      </c>
      <c r="F463" s="57" t="str">
        <f aca="false">Flights!$K$18</f>
        <v>EY</v>
      </c>
      <c r="G463" s="57" t="s">
        <v>74</v>
      </c>
      <c r="H463" s="57" t="s">
        <v>341</v>
      </c>
      <c r="I463" s="57" t="s">
        <v>368</v>
      </c>
      <c r="J463" s="57" t="s">
        <v>372</v>
      </c>
      <c r="K463" s="67" t="s">
        <v>370</v>
      </c>
      <c r="L463" s="67" t="s">
        <v>345</v>
      </c>
      <c r="M463" s="67"/>
      <c r="N463" s="67" t="s">
        <v>346</v>
      </c>
      <c r="O463" s="67"/>
      <c r="P463" s="57" t="s">
        <v>177</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IF(N463="N/A – rule","N/A – RULE",IF(TRIM(U463)="N/A",IF(AT463=0,"INVALID – N/A not permitted for this mandatory check",IF(AND(TRIM(AC463)&lt;&gt;"",TRIM(AE463)&lt;&gt;"",TRIM(T463)&lt;&gt;""),"N/A – JUSTIFIED","INVALID – N/A needs justification, PIC and verifier")),IF(OR(TRIM(U463)="Pass",TRIM(U463)="Pass after CA"),IF(NOT(ISNUMBER(AD463)),"INVALID – completion time missing",IF(TRIM(T463)="","INVALID – PIC missing",IF(TRIM(Z463)="","INVALID – evidence missing",IF(TRIM(AE463)="","INVALID – verifier missing",IF(AND(AQ463=1,TRIM(W463)=""),"INVALID – batch ID missing",IF(AND(AR463=1,OR(NOT(ISNUMBER(X463)),NOT(ISNUMBER(Y463)))),"INVALID – expected/actual qty missing",IF(IF(AND(TRIM(U463)="Pass",ISNUMBER(AF463)),IF(AF463&lt;&gt;0,"INVALID – qty variance: use Fail or Pass after CA",""),"")&amp;IF(AND(TRIM(U463)="Pass",AB463="Open"),"INVALID – corrective action still open: use Fail, then Pass after CA","")&amp;IF(AND(TRIM(U463)="Pass after CA",OR(TRIM(AA463)="",AB463&lt;&gt;"Closed")),"INVALID – corrective action not recorded/closed","")&lt;&gt;"",IF(AND(TRIM(U463)="Pass",ISNUMBER(AF463)),IF(AF463&lt;&gt;0,"INVALID – qty variance: use Fail or Pass after CA",""),"")&amp;IF(AND(TRIM(U463)="Pass",AB463="Open"),"INVALID – corrective action still open: use Fail, then Pass after CA","")&amp;IF(AND(TRIM(U463)="Pass after CA",OR(TRIM(AA463)="",AB463&lt;&gt;"Closed")),"INVALID – corrective action not recorded/closed",""),IF(AND(AS463=1,Documents!$J$18&lt;&gt;"ON FILE"),"INVALID – GLD not on file (Documents sheet)",IF(AND(AS463=2,Documents!$O$18&lt;&gt;"ON FILE"),"INVALID – menu checklist not on file (Documents sheet)",IF(AND(AS463=3,NOT(ISNUMBER(Flights!$AX$18))),"INVALID – enter carrying flight KUL departure (Flights AX)",IF(AG463&gt;AsOfUTC,"INVALID – completion time is in the future",IF(AND(ISNUMBER(S463),AG463&lt;S463),IF(H463="Physical uplift","INVALID – before uplift window (cannot confirm loading)","INVALID – before valid window"),IF(AG463&gt;Flights!$AA$18,"INVALID – completed after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f>
        <v>OPEN</v>
      </c>
      <c r="AI463" s="61" t="n">
        <f aca="false">IF(OR(AH463="N/A – RULE",AH463="N/A – JUSTIFIED"),0,1)</f>
        <v>1</v>
      </c>
      <c r="AJ463" s="61" t="n">
        <f aca="false">IF(LEFT(AH463,8)="COMPLETE",1,0)</f>
        <v>0</v>
      </c>
      <c r="AK463" s="61" t="n">
        <f aca="false">IF(AND(AI463=1,AJ463=0,AsOfUTC&gt;Q463),1,0)</f>
        <v>0</v>
      </c>
      <c r="AL463" s="61" t="n">
        <f aca="false">IF(AND(AI463=1,OR(TRIM(U463)="Fail",AB463="Open",AND(ISNUMBER(AF463),AF463&lt;&gt;0,TRIM(U463)&lt;&gt;"Pass after CA"))),1,0)</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row>
    <row r="464" customFormat="false" ht="39.75" hidden="false" customHeight="true" outlineLevel="0" collapsed="false">
      <c r="A464" s="57" t="s">
        <v>1074</v>
      </c>
      <c r="B464" s="57" t="s">
        <v>266</v>
      </c>
      <c r="C464" s="57" t="str">
        <f aca="false">Flights!$F$18</f>
        <v>MH0004</v>
      </c>
      <c r="D464" s="58" t="n">
        <f aca="false">Flights!$D$18</f>
        <v>46310</v>
      </c>
      <c r="E464" s="57" t="str">
        <f aca="false">Flights!$G$18&amp;"-"&amp;Flights!$H$18</f>
        <v>KUL-LHR</v>
      </c>
      <c r="F464" s="57" t="str">
        <f aca="false">Flights!$K$18</f>
        <v>EY</v>
      </c>
      <c r="G464" s="57" t="s">
        <v>74</v>
      </c>
      <c r="H464" s="57" t="s">
        <v>341</v>
      </c>
      <c r="I464" s="57" t="s">
        <v>374</v>
      </c>
      <c r="J464" s="57" t="s">
        <v>375</v>
      </c>
      <c r="K464" s="67" t="s">
        <v>679</v>
      </c>
      <c r="L464" s="67" t="s">
        <v>377</v>
      </c>
      <c r="M464" s="67"/>
      <c r="N464" s="67" t="s">
        <v>346</v>
      </c>
      <c r="O464" s="67"/>
      <c r="P464" s="57" t="s">
        <v>177</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IF(N464="N/A – rule","N/A – RULE",IF(TRIM(U464)="N/A",IF(AT464=0,"INVALID – N/A not permitted for this mandatory check",IF(AND(TRIM(AC464)&lt;&gt;"",TRIM(AE464)&lt;&gt;"",TRIM(T464)&lt;&gt;""),"N/A – JUSTIFIED","INVALID – N/A needs justification, PIC and verifier")),IF(OR(TRIM(U464)="Pass",TRIM(U464)="Pass after CA"),IF(NOT(ISNUMBER(AD464)),"INVALID – completion time missing",IF(TRIM(T464)="","INVALID – PIC missing",IF(TRIM(Z464)="","INVALID – evidence missing",IF(TRIM(AE464)="","INVALID – verifier missing",IF(AND(AQ464=1,TRIM(W464)=""),"INVALID – batch ID missing",IF(AND(AR464=1,OR(NOT(ISNUMBER(X464)),NOT(ISNUMBER(Y464)))),"INVALID – expected/actual qty missing",IF(IF(AND(TRIM(U464)="Pass",ISNUMBER(AF464)),IF(AF464&lt;&gt;0,"INVALID – qty variance: use Fail or Pass after CA",""),"")&amp;IF(AND(TRIM(U464)="Pass",AB464="Open"),"INVALID – corrective action still open: use Fail, then Pass after CA","")&amp;IF(AND(TRIM(U464)="Pass after CA",OR(TRIM(AA464)="",AB464&lt;&gt;"Closed")),"INVALID – corrective action not recorded/closed","")&lt;&gt;"",IF(AND(TRIM(U464)="Pass",ISNUMBER(AF464)),IF(AF464&lt;&gt;0,"INVALID – qty variance: use Fail or Pass after CA",""),"")&amp;IF(AND(TRIM(U464)="Pass",AB464="Open"),"INVALID – corrective action still open: use Fail, then Pass after CA","")&amp;IF(AND(TRIM(U464)="Pass after CA",OR(TRIM(AA464)="",AB464&lt;&gt;"Closed")),"INVALID – corrective action not recorded/closed",""),IF(AND(AS464=1,Documents!$J$18&lt;&gt;"ON FILE"),"INVALID – GLD not on file (Documents sheet)",IF(AND(AS464=2,Documents!$O$18&lt;&gt;"ON FILE"),"INVALID – menu checklist not on file (Documents sheet)",IF(AND(AS464=3,NOT(ISNUMBER(Flights!$AX$18))),"INVALID – enter carrying flight KUL departure (Flights AX)",IF(AG464&gt;AsOfUTC,"INVALID – completion time is in the future",IF(AND(ISNUMBER(S464),AG464&lt;S464),IF(H464="Physical uplift","INVALID – before uplift window (cannot confirm loading)","INVALID – before valid window"),IF(AG464&gt;Flights!$AA$18,"INVALID – completed after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f>
        <v>OPEN</v>
      </c>
      <c r="AI464" s="61" t="n">
        <f aca="false">IF(OR(AH464="N/A – RULE",AH464="N/A – JUSTIFIED"),0,1)</f>
        <v>1</v>
      </c>
      <c r="AJ464" s="61" t="n">
        <f aca="false">IF(LEFT(AH464,8)="COMPLETE",1,0)</f>
        <v>0</v>
      </c>
      <c r="AK464" s="61" t="n">
        <f aca="false">IF(AND(AI464=1,AJ464=0,AsOfUTC&gt;Q464),1,0)</f>
        <v>0</v>
      </c>
      <c r="AL464" s="61" t="n">
        <f aca="false">IF(AND(AI464=1,OR(TRIM(U464)="Fail",AB464="Open",AND(ISNUMBER(AF464),AF464&lt;&gt;0,TRIM(U464)&lt;&gt;"Pass after CA"))),1,0)</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row>
    <row r="465" customFormat="false" ht="39.75" hidden="false" customHeight="true" outlineLevel="0" collapsed="false">
      <c r="A465" s="57" t="s">
        <v>1075</v>
      </c>
      <c r="B465" s="57" t="s">
        <v>266</v>
      </c>
      <c r="C465" s="57" t="str">
        <f aca="false">Flights!$F$18</f>
        <v>MH0004</v>
      </c>
      <c r="D465" s="58" t="n">
        <f aca="false">Flights!$D$18</f>
        <v>46310</v>
      </c>
      <c r="E465" s="57" t="str">
        <f aca="false">Flights!$G$18&amp;"-"&amp;Flights!$H$18</f>
        <v>KUL-LHR</v>
      </c>
      <c r="F465" s="57" t="str">
        <f aca="false">Flights!$K$18</f>
        <v>EY</v>
      </c>
      <c r="G465" s="57" t="s">
        <v>76</v>
      </c>
      <c r="H465" s="57" t="s">
        <v>341</v>
      </c>
      <c r="I465" s="57" t="s">
        <v>342</v>
      </c>
      <c r="J465" s="57" t="s">
        <v>379</v>
      </c>
      <c r="K465" s="67" t="s">
        <v>380</v>
      </c>
      <c r="L465" s="67" t="s">
        <v>381</v>
      </c>
      <c r="M465" s="67"/>
      <c r="N465" s="67" t="s">
        <v>346</v>
      </c>
      <c r="O465" s="67"/>
      <c r="P465" s="57" t="s">
        <v>177</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IF(N465="N/A – rule","N/A – RULE",IF(TRIM(U465)="N/A",IF(AT465=0,"INVALID – N/A not permitted for this mandatory check",IF(AND(TRIM(AC465)&lt;&gt;"",TRIM(AE465)&lt;&gt;"",TRIM(T465)&lt;&gt;""),"N/A – JUSTIFIED","INVALID – N/A needs justification, PIC and verifier")),IF(OR(TRIM(U465)="Pass",TRIM(U465)="Pass after CA"),IF(NOT(ISNUMBER(AD465)),"INVALID – completion time missing",IF(TRIM(T465)="","INVALID – PIC missing",IF(TRIM(Z465)="","INVALID – evidence missing",IF(TRIM(AE465)="","INVALID – verifier missing",IF(AND(AQ465=1,TRIM(W465)=""),"INVALID – batch ID missing",IF(AND(AR465=1,OR(NOT(ISNUMBER(X465)),NOT(ISNUMBER(Y465)))),"INVALID – expected/actual qty missing",IF(IF(AND(TRIM(U465)="Pass",ISNUMBER(AF465)),IF(AF465&lt;&gt;0,"INVALID – qty variance: use Fail or Pass after CA",""),"")&amp;IF(AND(TRIM(U465)="Pass",AB465="Open"),"INVALID – corrective action still open: use Fail, then Pass after CA","")&amp;IF(AND(TRIM(U465)="Pass after CA",OR(TRIM(AA465)="",AB465&lt;&gt;"Closed")),"INVALID – corrective action not recorded/closed","")&lt;&gt;"",IF(AND(TRIM(U465)="Pass",ISNUMBER(AF465)),IF(AF465&lt;&gt;0,"INVALID – qty variance: use Fail or Pass after CA",""),"")&amp;IF(AND(TRIM(U465)="Pass",AB465="Open"),"INVALID – corrective action still open: use Fail, then Pass after CA","")&amp;IF(AND(TRIM(U465)="Pass after CA",OR(TRIM(AA465)="",AB465&lt;&gt;"Closed")),"INVALID – corrective action not recorded/closed",""),IF(AND(AS465=1,Documents!$J$18&lt;&gt;"ON FILE"),"INVALID – GLD not on file (Documents sheet)",IF(AND(AS465=2,Documents!$O$18&lt;&gt;"ON FILE"),"INVALID – menu checklist not on file (Documents sheet)",IF(AND(AS465=3,NOT(ISNUMBER(Flights!$AX$18))),"INVALID – enter carrying flight KUL departure (Flights AX)",IF(AG465&gt;AsOfUTC,"INVALID – completion time is in the future",IF(AND(ISNUMBER(S465),AG465&lt;S465),IF(H465="Physical uplift","INVALID – before uplift window (cannot confirm loading)","INVALID – before valid window"),IF(AG465&gt;Flights!$AA$18,"INVALID – completed after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f>
        <v>OPEN</v>
      </c>
      <c r="AI465" s="61" t="n">
        <f aca="false">IF(OR(AH465="N/A – RULE",AH465="N/A – JUSTIFIED"),0,1)</f>
        <v>1</v>
      </c>
      <c r="AJ465" s="61" t="n">
        <f aca="false">IF(LEFT(AH465,8)="COMPLETE",1,0)</f>
        <v>0</v>
      </c>
      <c r="AK465" s="61" t="n">
        <f aca="false">IF(AND(AI465=1,AJ465=0,AsOfUTC&gt;Q465),1,0)</f>
        <v>0</v>
      </c>
      <c r="AL465" s="61" t="n">
        <f aca="false">IF(AND(AI465=1,OR(TRIM(U465)="Fail",AB465="Open",AND(ISNUMBER(AF465),AF465&lt;&gt;0,TRIM(U465)&lt;&gt;"Pass after CA"))),1,0)</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row>
    <row r="466" customFormat="false" ht="39.75" hidden="false" customHeight="true" outlineLevel="0" collapsed="false">
      <c r="A466" s="57" t="s">
        <v>1076</v>
      </c>
      <c r="B466" s="57" t="s">
        <v>266</v>
      </c>
      <c r="C466" s="57" t="str">
        <f aca="false">Flights!$F$18</f>
        <v>MH0004</v>
      </c>
      <c r="D466" s="58" t="n">
        <f aca="false">Flights!$D$18</f>
        <v>46310</v>
      </c>
      <c r="E466" s="57" t="str">
        <f aca="false">Flights!$G$18&amp;"-"&amp;Flights!$H$18</f>
        <v>KUL-LHR</v>
      </c>
      <c r="F466" s="57" t="str">
        <f aca="false">Flights!$K$18</f>
        <v>EY</v>
      </c>
      <c r="G466" s="57" t="s">
        <v>383</v>
      </c>
      <c r="H466" s="57" t="s">
        <v>341</v>
      </c>
      <c r="I466" s="57" t="s">
        <v>342</v>
      </c>
      <c r="J466" s="57" t="s">
        <v>384</v>
      </c>
      <c r="K466" s="67"/>
      <c r="L466" s="67" t="s">
        <v>385</v>
      </c>
      <c r="M466" s="67"/>
      <c r="N466" s="67" t="s">
        <v>346</v>
      </c>
      <c r="O466" s="67" t="s">
        <v>386</v>
      </c>
      <c r="P466" s="57" t="s">
        <v>177</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IF(N466="N/A – rule","N/A – RULE",IF(TRIM(U466)="N/A",IF(AT466=0,"INVALID – N/A not permitted for this mandatory check",IF(AND(TRIM(AC466)&lt;&gt;"",TRIM(AE466)&lt;&gt;"",TRIM(T466)&lt;&gt;""),"N/A – JUSTIFIED","INVALID – N/A needs justification, PIC and verifier")),IF(OR(TRIM(U466)="Pass",TRIM(U466)="Pass after CA"),IF(NOT(ISNUMBER(AD466)),"INVALID – completion time missing",IF(TRIM(T466)="","INVALID – PIC missing",IF(TRIM(Z466)="","INVALID – evidence missing",IF(TRIM(AE466)="","INVALID – verifier missing",IF(AND(AQ466=1,TRIM(W466)=""),"INVALID – batch ID missing",IF(AND(AR466=1,OR(NOT(ISNUMBER(X466)),NOT(ISNUMBER(Y466)))),"INVALID – expected/actual qty missing",IF(IF(AND(TRIM(U466)="Pass",ISNUMBER(AF466)),IF(AF466&lt;&gt;0,"INVALID – qty variance: use Fail or Pass after CA",""),"")&amp;IF(AND(TRIM(U466)="Pass",AB466="Open"),"INVALID – corrective action still open: use Fail, then Pass after CA","")&amp;IF(AND(TRIM(U466)="Pass after CA",OR(TRIM(AA466)="",AB466&lt;&gt;"Closed")),"INVALID – corrective action not recorded/closed","")&lt;&gt;"",IF(AND(TRIM(U466)="Pass",ISNUMBER(AF466)),IF(AF466&lt;&gt;0,"INVALID – qty variance: use Fail or Pass after CA",""),"")&amp;IF(AND(TRIM(U466)="Pass",AB466="Open"),"INVALID – corrective action still open: use Fail, then Pass after CA","")&amp;IF(AND(TRIM(U466)="Pass after CA",OR(TRIM(AA466)="",AB466&lt;&gt;"Closed")),"INVALID – corrective action not recorded/closed",""),IF(AND(AS466=1,Documents!$J$18&lt;&gt;"ON FILE"),"INVALID – GLD not on file (Documents sheet)",IF(AND(AS466=2,Documents!$O$18&lt;&gt;"ON FILE"),"INVALID – menu checklist not on file (Documents sheet)",IF(AND(AS466=3,NOT(ISNUMBER(Flights!$AX$18))),"INVALID – enter carrying flight KUL departure (Flights AX)",IF(AG466&gt;AsOfUTC,"INVALID – completion time is in the future",IF(AND(ISNUMBER(S466),AG466&lt;S466),IF(H466="Physical uplift","INVALID – before uplift window (cannot confirm loading)","INVALID – before valid window"),IF(AG466&gt;Flights!$AA$18,"INVALID – completed after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f>
        <v>OPEN</v>
      </c>
      <c r="AI466" s="61" t="n">
        <f aca="false">IF(OR(AH466="N/A – RULE",AH466="N/A – JUSTIFIED"),0,1)</f>
        <v>1</v>
      </c>
      <c r="AJ466" s="61" t="n">
        <f aca="false">IF(LEFT(AH466,8)="COMPLETE",1,0)</f>
        <v>0</v>
      </c>
      <c r="AK466" s="61" t="n">
        <f aca="false">IF(AND(AI466=1,AJ466=0,AsOfUTC&gt;Q466),1,0)</f>
        <v>0</v>
      </c>
      <c r="AL466" s="61" t="n">
        <f aca="false">IF(AND(AI466=1,OR(TRIM(U466)="Fail",AB466="Open",AND(ISNUMBER(AF466),AF466&lt;&gt;0,TRIM(U466)&lt;&gt;"Pass after CA"))),1,0)</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row>
    <row r="467" customFormat="false" ht="39.75" hidden="false" customHeight="true" outlineLevel="0" collapsed="false">
      <c r="A467" s="57" t="s">
        <v>1077</v>
      </c>
      <c r="B467" s="57" t="s">
        <v>266</v>
      </c>
      <c r="C467" s="57" t="str">
        <f aca="false">Flights!$F$18</f>
        <v>MH0004</v>
      </c>
      <c r="D467" s="58" t="n">
        <f aca="false">Flights!$D$18</f>
        <v>46310</v>
      </c>
      <c r="E467" s="57" t="str">
        <f aca="false">Flights!$G$18&amp;"-"&amp;Flights!$H$18</f>
        <v>KUL-LHR</v>
      </c>
      <c r="F467" s="57" t="str">
        <f aca="false">Flights!$K$18</f>
        <v>EY</v>
      </c>
      <c r="G467" s="57" t="s">
        <v>383</v>
      </c>
      <c r="H467" s="57" t="s">
        <v>341</v>
      </c>
      <c r="I467" s="57" t="s">
        <v>342</v>
      </c>
      <c r="J467" s="57" t="s">
        <v>388</v>
      </c>
      <c r="K467" s="67" t="s">
        <v>389</v>
      </c>
      <c r="L467" s="67" t="s">
        <v>385</v>
      </c>
      <c r="M467" s="67"/>
      <c r="N467" s="67" t="s">
        <v>346</v>
      </c>
      <c r="O467" s="67" t="s">
        <v>386</v>
      </c>
      <c r="P467" s="57" t="s">
        <v>177</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IF(N467="N/A – rule","N/A – RULE",IF(TRIM(U467)="N/A",IF(AT467=0,"INVALID – N/A not permitted for this mandatory check",IF(AND(TRIM(AC467)&lt;&gt;"",TRIM(AE467)&lt;&gt;"",TRIM(T467)&lt;&gt;""),"N/A – JUSTIFIED","INVALID – N/A needs justification, PIC and verifier")),IF(OR(TRIM(U467)="Pass",TRIM(U467)="Pass after CA"),IF(NOT(ISNUMBER(AD467)),"INVALID – completion time missing",IF(TRIM(T467)="","INVALID – PIC missing",IF(TRIM(Z467)="","INVALID – evidence missing",IF(TRIM(AE467)="","INVALID – verifier missing",IF(AND(AQ467=1,TRIM(W467)=""),"INVALID – batch ID missing",IF(AND(AR467=1,OR(NOT(ISNUMBER(X467)),NOT(ISNUMBER(Y467)))),"INVALID – expected/actual qty missing",IF(IF(AND(TRIM(U467)="Pass",ISNUMBER(AF467)),IF(AF467&lt;&gt;0,"INVALID – qty variance: use Fail or Pass after CA",""),"")&amp;IF(AND(TRIM(U467)="Pass",AB467="Open"),"INVALID – corrective action still open: use Fail, then Pass after CA","")&amp;IF(AND(TRIM(U467)="Pass after CA",OR(TRIM(AA467)="",AB467&lt;&gt;"Closed")),"INVALID – corrective action not recorded/closed","")&lt;&gt;"",IF(AND(TRIM(U467)="Pass",ISNUMBER(AF467)),IF(AF467&lt;&gt;0,"INVALID – qty variance: use Fail or Pass after CA",""),"")&amp;IF(AND(TRIM(U467)="Pass",AB467="Open"),"INVALID – corrective action still open: use Fail, then Pass after CA","")&amp;IF(AND(TRIM(U467)="Pass after CA",OR(TRIM(AA467)="",AB467&lt;&gt;"Closed")),"INVALID – corrective action not recorded/closed",""),IF(AND(AS467=1,Documents!$J$18&lt;&gt;"ON FILE"),"INVALID – GLD not on file (Documents sheet)",IF(AND(AS467=2,Documents!$O$18&lt;&gt;"ON FILE"),"INVALID – menu checklist not on file (Documents sheet)",IF(AND(AS467=3,NOT(ISNUMBER(Flights!$AX$18))),"INVALID – enter carrying flight KUL departure (Flights AX)",IF(AG467&gt;AsOfUTC,"INVALID – completion time is in the future",IF(AND(ISNUMBER(S467),AG467&lt;S467),IF(H467="Physical uplift","INVALID – before uplift window (cannot confirm loading)","INVALID – before valid window"),IF(AG467&gt;Flights!$AA$18,"INVALID – completed after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f>
        <v>OPEN</v>
      </c>
      <c r="AI467" s="61" t="n">
        <f aca="false">IF(OR(AH467="N/A – RULE",AH467="N/A – JUSTIFIED"),0,1)</f>
        <v>1</v>
      </c>
      <c r="AJ467" s="61" t="n">
        <f aca="false">IF(LEFT(AH467,8)="COMPLETE",1,0)</f>
        <v>0</v>
      </c>
      <c r="AK467" s="61" t="n">
        <f aca="false">IF(AND(AI467=1,AJ467=0,AsOfUTC&gt;Q467),1,0)</f>
        <v>0</v>
      </c>
      <c r="AL467" s="61" t="n">
        <f aca="false">IF(AND(AI467=1,OR(TRIM(U467)="Fail",AB467="Open",AND(ISNUMBER(AF467),AF467&lt;&gt;0,TRIM(U467)&lt;&gt;"Pass after CA"))),1,0)</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row>
    <row r="468" customFormat="false" ht="39.75" hidden="false" customHeight="true" outlineLevel="0" collapsed="false">
      <c r="A468" s="57" t="s">
        <v>1078</v>
      </c>
      <c r="B468" s="57" t="s">
        <v>266</v>
      </c>
      <c r="C468" s="57" t="str">
        <f aca="false">Flights!$F$18</f>
        <v>MH0004</v>
      </c>
      <c r="D468" s="58" t="n">
        <f aca="false">Flights!$D$18</f>
        <v>46310</v>
      </c>
      <c r="E468" s="57" t="str">
        <f aca="false">Flights!$G$18&amp;"-"&amp;Flights!$H$18</f>
        <v>KUL-LHR</v>
      </c>
      <c r="F468" s="57" t="str">
        <f aca="false">Flights!$K$18</f>
        <v>EY</v>
      </c>
      <c r="G468" s="57" t="s">
        <v>383</v>
      </c>
      <c r="H468" s="57" t="s">
        <v>341</v>
      </c>
      <c r="I468" s="57" t="s">
        <v>391</v>
      </c>
      <c r="J468" s="57" t="s">
        <v>392</v>
      </c>
      <c r="K468" s="67"/>
      <c r="L468" s="67" t="s">
        <v>385</v>
      </c>
      <c r="M468" s="67"/>
      <c r="N468" s="67" t="s">
        <v>346</v>
      </c>
      <c r="O468" s="67" t="s">
        <v>386</v>
      </c>
      <c r="P468" s="57" t="s">
        <v>177</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IF(N468="N/A – rule","N/A – RULE",IF(TRIM(U468)="N/A",IF(AT468=0,"INVALID – N/A not permitted for this mandatory check",IF(AND(TRIM(AC468)&lt;&gt;"",TRIM(AE468)&lt;&gt;"",TRIM(T468)&lt;&gt;""),"N/A – JUSTIFIED","INVALID – N/A needs justification, PIC and verifier")),IF(OR(TRIM(U468)="Pass",TRIM(U468)="Pass after CA"),IF(NOT(ISNUMBER(AD468)),"INVALID – completion time missing",IF(TRIM(T468)="","INVALID – PIC missing",IF(TRIM(Z468)="","INVALID – evidence missing",IF(TRIM(AE468)="","INVALID – verifier missing",IF(AND(AQ468=1,TRIM(W468)=""),"INVALID – batch ID missing",IF(AND(AR468=1,OR(NOT(ISNUMBER(X468)),NOT(ISNUMBER(Y468)))),"INVALID – expected/actual qty missing",IF(IF(AND(TRIM(U468)="Pass",ISNUMBER(AF468)),IF(AF468&lt;&gt;0,"INVALID – qty variance: use Fail or Pass after CA",""),"")&amp;IF(AND(TRIM(U468)="Pass",AB468="Open"),"INVALID – corrective action still open: use Fail, then Pass after CA","")&amp;IF(AND(TRIM(U468)="Pass after CA",OR(TRIM(AA468)="",AB468&lt;&gt;"Closed")),"INVALID – corrective action not recorded/closed","")&lt;&gt;"",IF(AND(TRIM(U468)="Pass",ISNUMBER(AF468)),IF(AF468&lt;&gt;0,"INVALID – qty variance: use Fail or Pass after CA",""),"")&amp;IF(AND(TRIM(U468)="Pass",AB468="Open"),"INVALID – corrective action still open: use Fail, then Pass after CA","")&amp;IF(AND(TRIM(U468)="Pass after CA",OR(TRIM(AA468)="",AB468&lt;&gt;"Closed")),"INVALID – corrective action not recorded/closed",""),IF(AND(AS468=1,Documents!$J$18&lt;&gt;"ON FILE"),"INVALID – GLD not on file (Documents sheet)",IF(AND(AS468=2,Documents!$O$18&lt;&gt;"ON FILE"),"INVALID – menu checklist not on file (Documents sheet)",IF(AND(AS468=3,NOT(ISNUMBER(Flights!$AX$18))),"INVALID – enter carrying flight KUL departure (Flights AX)",IF(AG468&gt;AsOfUTC,"INVALID – completion time is in the future",IF(AND(ISNUMBER(S468),AG468&lt;S468),IF(H468="Physical uplift","INVALID – before uplift window (cannot confirm loading)","INVALID – before valid window"),IF(AG468&gt;Flights!$AA$18,"INVALID – completed after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f>
        <v>OPEN</v>
      </c>
      <c r="AI468" s="61" t="n">
        <f aca="false">IF(OR(AH468="N/A – RULE",AH468="N/A – JUSTIFIED"),0,1)</f>
        <v>1</v>
      </c>
      <c r="AJ468" s="61" t="n">
        <f aca="false">IF(LEFT(AH468,8)="COMPLETE",1,0)</f>
        <v>0</v>
      </c>
      <c r="AK468" s="61" t="n">
        <f aca="false">IF(AND(AI468=1,AJ468=0,AsOfUTC&gt;Q468),1,0)</f>
        <v>0</v>
      </c>
      <c r="AL468" s="61" t="n">
        <f aca="false">IF(AND(AI468=1,OR(TRIM(U468)="Fail",AB468="Open",AND(ISNUMBER(AF468),AF468&lt;&gt;0,TRIM(U468)&lt;&gt;"Pass after CA"))),1,0)</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row>
    <row r="469" customFormat="false" ht="39.75" hidden="false" customHeight="true" outlineLevel="0" collapsed="false">
      <c r="A469" s="57" t="s">
        <v>1079</v>
      </c>
      <c r="B469" s="57" t="s">
        <v>266</v>
      </c>
      <c r="C469" s="57" t="str">
        <f aca="false">Flights!$F$18</f>
        <v>MH0004</v>
      </c>
      <c r="D469" s="58" t="n">
        <f aca="false">Flights!$D$18</f>
        <v>46310</v>
      </c>
      <c r="E469" s="57" t="str">
        <f aca="false">Flights!$G$18&amp;"-"&amp;Flights!$H$18</f>
        <v>KUL-LHR</v>
      </c>
      <c r="F469" s="57" t="str">
        <f aca="false">Flights!$K$18</f>
        <v>EY</v>
      </c>
      <c r="G469" s="57" t="s">
        <v>383</v>
      </c>
      <c r="H469" s="57" t="s">
        <v>341</v>
      </c>
      <c r="I469" s="57" t="s">
        <v>391</v>
      </c>
      <c r="J469" s="57" t="s">
        <v>394</v>
      </c>
      <c r="K469" s="67"/>
      <c r="L469" s="67" t="s">
        <v>385</v>
      </c>
      <c r="M469" s="67"/>
      <c r="N469" s="67" t="s">
        <v>346</v>
      </c>
      <c r="O469" s="67" t="s">
        <v>386</v>
      </c>
      <c r="P469" s="57" t="s">
        <v>177</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IF(N469="N/A – rule","N/A – RULE",IF(TRIM(U469)="N/A",IF(AT469=0,"INVALID – N/A not permitted for this mandatory check",IF(AND(TRIM(AC469)&lt;&gt;"",TRIM(AE469)&lt;&gt;"",TRIM(T469)&lt;&gt;""),"N/A – JUSTIFIED","INVALID – N/A needs justification, PIC and verifier")),IF(OR(TRIM(U469)="Pass",TRIM(U469)="Pass after CA"),IF(NOT(ISNUMBER(AD469)),"INVALID – completion time missing",IF(TRIM(T469)="","INVALID – PIC missing",IF(TRIM(Z469)="","INVALID – evidence missing",IF(TRIM(AE469)="","INVALID – verifier missing",IF(AND(AQ469=1,TRIM(W469)=""),"INVALID – batch ID missing",IF(AND(AR469=1,OR(NOT(ISNUMBER(X469)),NOT(ISNUMBER(Y469)))),"INVALID – expected/actual qty missing",IF(IF(AND(TRIM(U469)="Pass",ISNUMBER(AF469)),IF(AF469&lt;&gt;0,"INVALID – qty variance: use Fail or Pass after CA",""),"")&amp;IF(AND(TRIM(U469)="Pass",AB469="Open"),"INVALID – corrective action still open: use Fail, then Pass after CA","")&amp;IF(AND(TRIM(U469)="Pass after CA",OR(TRIM(AA469)="",AB469&lt;&gt;"Closed")),"INVALID – corrective action not recorded/closed","")&lt;&gt;"",IF(AND(TRIM(U469)="Pass",ISNUMBER(AF469)),IF(AF469&lt;&gt;0,"INVALID – qty variance: use Fail or Pass after CA",""),"")&amp;IF(AND(TRIM(U469)="Pass",AB469="Open"),"INVALID – corrective action still open: use Fail, then Pass after CA","")&amp;IF(AND(TRIM(U469)="Pass after CA",OR(TRIM(AA469)="",AB469&lt;&gt;"Closed")),"INVALID – corrective action not recorded/closed",""),IF(AND(AS469=1,Documents!$J$18&lt;&gt;"ON FILE"),"INVALID – GLD not on file (Documents sheet)",IF(AND(AS469=2,Documents!$O$18&lt;&gt;"ON FILE"),"INVALID – menu checklist not on file (Documents sheet)",IF(AND(AS469=3,NOT(ISNUMBER(Flights!$AX$18))),"INVALID – enter carrying flight KUL departure (Flights AX)",IF(AG469&gt;AsOfUTC,"INVALID – completion time is in the future",IF(AND(ISNUMBER(S469),AG469&lt;S469),IF(H469="Physical uplift","INVALID – before uplift window (cannot confirm loading)","INVALID – before valid window"),IF(AG469&gt;Flights!$AA$18,"INVALID – completed after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f>
        <v>OPEN</v>
      </c>
      <c r="AI469" s="61" t="n">
        <f aca="false">IF(OR(AH469="N/A – RULE",AH469="N/A – JUSTIFIED"),0,1)</f>
        <v>1</v>
      </c>
      <c r="AJ469" s="61" t="n">
        <f aca="false">IF(LEFT(AH469,8)="COMPLETE",1,0)</f>
        <v>0</v>
      </c>
      <c r="AK469" s="61" t="n">
        <f aca="false">IF(AND(AI469=1,AJ469=0,AsOfUTC&gt;Q469),1,0)</f>
        <v>0</v>
      </c>
      <c r="AL469" s="61" t="n">
        <f aca="false">IF(AND(AI469=1,OR(TRIM(U469)="Fail",AB469="Open",AND(ISNUMBER(AF469),AF469&lt;&gt;0,TRIM(U469)&lt;&gt;"Pass after CA"))),1,0)</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row>
    <row r="470" customFormat="false" ht="39.75" hidden="false" customHeight="true" outlineLevel="0" collapsed="false">
      <c r="A470" s="57" t="s">
        <v>1080</v>
      </c>
      <c r="B470" s="57" t="s">
        <v>266</v>
      </c>
      <c r="C470" s="57" t="str">
        <f aca="false">Flights!$F$18</f>
        <v>MH0004</v>
      </c>
      <c r="D470" s="58" t="n">
        <f aca="false">Flights!$D$18</f>
        <v>46310</v>
      </c>
      <c r="E470" s="57" t="str">
        <f aca="false">Flights!$G$18&amp;"-"&amp;Flights!$H$18</f>
        <v>KUL-LHR</v>
      </c>
      <c r="F470" s="57" t="str">
        <f aca="false">Flights!$K$18</f>
        <v>EY</v>
      </c>
      <c r="G470" s="57" t="s">
        <v>383</v>
      </c>
      <c r="H470" s="57" t="s">
        <v>341</v>
      </c>
      <c r="I470" s="57" t="s">
        <v>391</v>
      </c>
      <c r="J470" s="57" t="s">
        <v>396</v>
      </c>
      <c r="K470" s="67"/>
      <c r="L470" s="67" t="s">
        <v>385</v>
      </c>
      <c r="M470" s="67"/>
      <c r="N470" s="67" t="s">
        <v>346</v>
      </c>
      <c r="O470" s="67" t="s">
        <v>386</v>
      </c>
      <c r="P470" s="57" t="s">
        <v>177</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IF(N470="N/A – rule","N/A – RULE",IF(TRIM(U470)="N/A",IF(AT470=0,"INVALID – N/A not permitted for this mandatory check",IF(AND(TRIM(AC470)&lt;&gt;"",TRIM(AE470)&lt;&gt;"",TRIM(T470)&lt;&gt;""),"N/A – JUSTIFIED","INVALID – N/A needs justification, PIC and verifier")),IF(OR(TRIM(U470)="Pass",TRIM(U470)="Pass after CA"),IF(NOT(ISNUMBER(AD470)),"INVALID – completion time missing",IF(TRIM(T470)="","INVALID – PIC missing",IF(TRIM(Z470)="","INVALID – evidence missing",IF(TRIM(AE470)="","INVALID – verifier missing",IF(AND(AQ470=1,TRIM(W470)=""),"INVALID – batch ID missing",IF(AND(AR470=1,OR(NOT(ISNUMBER(X470)),NOT(ISNUMBER(Y470)))),"INVALID – expected/actual qty missing",IF(IF(AND(TRIM(U470)="Pass",ISNUMBER(AF470)),IF(AF470&lt;&gt;0,"INVALID – qty variance: use Fail or Pass after CA",""),"")&amp;IF(AND(TRIM(U470)="Pass",AB470="Open"),"INVALID – corrective action still open: use Fail, then Pass after CA","")&amp;IF(AND(TRIM(U470)="Pass after CA",OR(TRIM(AA470)="",AB470&lt;&gt;"Closed")),"INVALID – corrective action not recorded/closed","")&lt;&gt;"",IF(AND(TRIM(U470)="Pass",ISNUMBER(AF470)),IF(AF470&lt;&gt;0,"INVALID – qty variance: use Fail or Pass after CA",""),"")&amp;IF(AND(TRIM(U470)="Pass",AB470="Open"),"INVALID – corrective action still open: use Fail, then Pass after CA","")&amp;IF(AND(TRIM(U470)="Pass after CA",OR(TRIM(AA470)="",AB470&lt;&gt;"Closed")),"INVALID – corrective action not recorded/closed",""),IF(AND(AS470=1,Documents!$J$18&lt;&gt;"ON FILE"),"INVALID – GLD not on file (Documents sheet)",IF(AND(AS470=2,Documents!$O$18&lt;&gt;"ON FILE"),"INVALID – menu checklist not on file (Documents sheet)",IF(AND(AS470=3,NOT(ISNUMBER(Flights!$AX$18))),"INVALID – enter carrying flight KUL departure (Flights AX)",IF(AG470&gt;AsOfUTC,"INVALID – completion time is in the future",IF(AND(ISNUMBER(S470),AG470&lt;S470),IF(H470="Physical uplift","INVALID – before uplift window (cannot confirm loading)","INVALID – before valid window"),IF(AG470&gt;Flights!$AA$18,"INVALID – completed after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f>
        <v>OPEN</v>
      </c>
      <c r="AI470" s="61" t="n">
        <f aca="false">IF(OR(AH470="N/A – RULE",AH470="N/A – JUSTIFIED"),0,1)</f>
        <v>1</v>
      </c>
      <c r="AJ470" s="61" t="n">
        <f aca="false">IF(LEFT(AH470,8)="COMPLETE",1,0)</f>
        <v>0</v>
      </c>
      <c r="AK470" s="61" t="n">
        <f aca="false">IF(AND(AI470=1,AJ470=0,AsOfUTC&gt;Q470),1,0)</f>
        <v>0</v>
      </c>
      <c r="AL470" s="61" t="n">
        <f aca="false">IF(AND(AI470=1,OR(TRIM(U470)="Fail",AB470="Open",AND(ISNUMBER(AF470),AF470&lt;&gt;0,TRIM(U470)&lt;&gt;"Pass after CA"))),1,0)</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row>
    <row r="471" customFormat="false" ht="141" hidden="false" customHeight="true" outlineLevel="0" collapsed="false">
      <c r="A471" s="57" t="s">
        <v>1081</v>
      </c>
      <c r="B471" s="57" t="s">
        <v>266</v>
      </c>
      <c r="C471" s="57" t="str">
        <f aca="false">Flights!$F$18</f>
        <v>MH0004</v>
      </c>
      <c r="D471" s="58" t="n">
        <f aca="false">Flights!$D$18</f>
        <v>46310</v>
      </c>
      <c r="E471" s="57" t="str">
        <f aca="false">Flights!$G$18&amp;"-"&amp;Flights!$H$18</f>
        <v>KUL-LHR</v>
      </c>
      <c r="F471" s="57" t="str">
        <f aca="false">Flights!$K$18</f>
        <v>EY</v>
      </c>
      <c r="G471" s="57" t="s">
        <v>383</v>
      </c>
      <c r="H471" s="57" t="s">
        <v>341</v>
      </c>
      <c r="I471" s="57" t="s">
        <v>391</v>
      </c>
      <c r="J471" s="57" t="s">
        <v>398</v>
      </c>
      <c r="K471" s="67" t="s">
        <v>399</v>
      </c>
      <c r="L471" s="67" t="s">
        <v>385</v>
      </c>
      <c r="M471" s="67"/>
      <c r="N471" s="67" t="s">
        <v>346</v>
      </c>
      <c r="O471" s="67" t="s">
        <v>386</v>
      </c>
      <c r="P471" s="57" t="s">
        <v>177</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IF(N471="N/A – rule","N/A – RULE",IF(TRIM(U471)="N/A",IF(AT471=0,"INVALID – N/A not permitted for this mandatory check",IF(AND(TRIM(AC471)&lt;&gt;"",TRIM(AE471)&lt;&gt;"",TRIM(T471)&lt;&gt;""),"N/A – JUSTIFIED","INVALID – N/A needs justification, PIC and verifier")),IF(OR(TRIM(U471)="Pass",TRIM(U471)="Pass after CA"),IF(NOT(ISNUMBER(AD471)),"INVALID – completion time missing",IF(TRIM(T471)="","INVALID – PIC missing",IF(TRIM(Z471)="","INVALID – evidence missing",IF(TRIM(AE471)="","INVALID – verifier missing",IF(AND(AQ471=1,TRIM(W471)=""),"INVALID – batch ID missing",IF(AND(AR471=1,OR(NOT(ISNUMBER(X471)),NOT(ISNUMBER(Y471)))),"INVALID – expected/actual qty missing",IF(IF(AND(TRIM(U471)="Pass",ISNUMBER(AF471)),IF(AF471&lt;&gt;0,"INVALID – qty variance: use Fail or Pass after CA",""),"")&amp;IF(AND(TRIM(U471)="Pass",AB471="Open"),"INVALID – corrective action still open: use Fail, then Pass after CA","")&amp;IF(AND(TRIM(U471)="Pass after CA",OR(TRIM(AA471)="",AB471&lt;&gt;"Closed")),"INVALID – corrective action not recorded/closed","")&lt;&gt;"",IF(AND(TRIM(U471)="Pass",ISNUMBER(AF471)),IF(AF471&lt;&gt;0,"INVALID – qty variance: use Fail or Pass after CA",""),"")&amp;IF(AND(TRIM(U471)="Pass",AB471="Open"),"INVALID – corrective action still open: use Fail, then Pass after CA","")&amp;IF(AND(TRIM(U471)="Pass after CA",OR(TRIM(AA471)="",AB471&lt;&gt;"Closed")),"INVALID – corrective action not recorded/closed",""),IF(AND(AS471=1,Documents!$J$18&lt;&gt;"ON FILE"),"INVALID – GLD not on file (Documents sheet)",IF(AND(AS471=2,Documents!$O$18&lt;&gt;"ON FILE"),"INVALID – menu checklist not on file (Documents sheet)",IF(AND(AS471=3,NOT(ISNUMBER(Flights!$AX$18))),"INVALID – enter carrying flight KUL departure (Flights AX)",IF(AG471&gt;AsOfUTC,"INVALID – completion time is in the future",IF(AND(ISNUMBER(S471),AG471&lt;S471),IF(H471="Physical uplift","INVALID – before uplift window (cannot confirm loading)","INVALID – before valid window"),IF(AG471&gt;Flights!$AA$18,"INVALID – completed after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f>
        <v>OPEN</v>
      </c>
      <c r="AI471" s="61" t="n">
        <f aca="false">IF(OR(AH471="N/A – RULE",AH471="N/A – JUSTIFIED"),0,1)</f>
        <v>1</v>
      </c>
      <c r="AJ471" s="61" t="n">
        <f aca="false">IF(LEFT(AH471,8)="COMPLETE",1,0)</f>
        <v>0</v>
      </c>
      <c r="AK471" s="61" t="n">
        <f aca="false">IF(AND(AI471=1,AJ471=0,AsOfUTC&gt;Q471),1,0)</f>
        <v>0</v>
      </c>
      <c r="AL471" s="61" t="n">
        <f aca="false">IF(AND(AI471=1,OR(TRIM(U471)="Fail",AB471="Open",AND(ISNUMBER(AF471),AF471&lt;&gt;0,TRIM(U471)&lt;&gt;"Pass after CA"))),1,0)</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row>
    <row r="472" customFormat="false" ht="39.75" hidden="false" customHeight="true" outlineLevel="0" collapsed="false">
      <c r="A472" s="57" t="s">
        <v>1082</v>
      </c>
      <c r="B472" s="57" t="s">
        <v>266</v>
      </c>
      <c r="C472" s="57" t="str">
        <f aca="false">Flights!$F$18</f>
        <v>MH0004</v>
      </c>
      <c r="D472" s="58" t="n">
        <f aca="false">Flights!$D$18</f>
        <v>46310</v>
      </c>
      <c r="E472" s="57" t="str">
        <f aca="false">Flights!$G$18&amp;"-"&amp;Flights!$H$18</f>
        <v>KUL-LHR</v>
      </c>
      <c r="F472" s="57" t="str">
        <f aca="false">Flights!$K$18</f>
        <v>EY</v>
      </c>
      <c r="G472" s="57" t="s">
        <v>383</v>
      </c>
      <c r="H472" s="57" t="s">
        <v>341</v>
      </c>
      <c r="I472" s="57" t="s">
        <v>391</v>
      </c>
      <c r="J472" s="57" t="s">
        <v>401</v>
      </c>
      <c r="K472" s="67"/>
      <c r="L472" s="67" t="s">
        <v>385</v>
      </c>
      <c r="M472" s="67"/>
      <c r="N472" s="67" t="s">
        <v>346</v>
      </c>
      <c r="O472" s="67" t="s">
        <v>386</v>
      </c>
      <c r="P472" s="57" t="s">
        <v>177</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IF(N472="N/A – rule","N/A – RULE",IF(TRIM(U472)="N/A",IF(AT472=0,"INVALID – N/A not permitted for this mandatory check",IF(AND(TRIM(AC472)&lt;&gt;"",TRIM(AE472)&lt;&gt;"",TRIM(T472)&lt;&gt;""),"N/A – JUSTIFIED","INVALID – N/A needs justification, PIC and verifier")),IF(OR(TRIM(U472)="Pass",TRIM(U472)="Pass after CA"),IF(NOT(ISNUMBER(AD472)),"INVALID – completion time missing",IF(TRIM(T472)="","INVALID – PIC missing",IF(TRIM(Z472)="","INVALID – evidence missing",IF(TRIM(AE472)="","INVALID – verifier missing",IF(AND(AQ472=1,TRIM(W472)=""),"INVALID – batch ID missing",IF(AND(AR472=1,OR(NOT(ISNUMBER(X472)),NOT(ISNUMBER(Y472)))),"INVALID – expected/actual qty missing",IF(IF(AND(TRIM(U472)="Pass",ISNUMBER(AF472)),IF(AF472&lt;&gt;0,"INVALID – qty variance: use Fail or Pass after CA",""),"")&amp;IF(AND(TRIM(U472)="Pass",AB472="Open"),"INVALID – corrective action still open: use Fail, then Pass after CA","")&amp;IF(AND(TRIM(U472)="Pass after CA",OR(TRIM(AA472)="",AB472&lt;&gt;"Closed")),"INVALID – corrective action not recorded/closed","")&lt;&gt;"",IF(AND(TRIM(U472)="Pass",ISNUMBER(AF472)),IF(AF472&lt;&gt;0,"INVALID – qty variance: use Fail or Pass after CA",""),"")&amp;IF(AND(TRIM(U472)="Pass",AB472="Open"),"INVALID – corrective action still open: use Fail, then Pass after CA","")&amp;IF(AND(TRIM(U472)="Pass after CA",OR(TRIM(AA472)="",AB472&lt;&gt;"Closed")),"INVALID – corrective action not recorded/closed",""),IF(AND(AS472=1,Documents!$J$18&lt;&gt;"ON FILE"),"INVALID – GLD not on file (Documents sheet)",IF(AND(AS472=2,Documents!$O$18&lt;&gt;"ON FILE"),"INVALID – menu checklist not on file (Documents sheet)",IF(AND(AS472=3,NOT(ISNUMBER(Flights!$AX$18))),"INVALID – enter carrying flight KUL departure (Flights AX)",IF(AG472&gt;AsOfUTC,"INVALID – completion time is in the future",IF(AND(ISNUMBER(S472),AG472&lt;S472),IF(H472="Physical uplift","INVALID – before uplift window (cannot confirm loading)","INVALID – before valid window"),IF(AG472&gt;Flights!$AA$18,"INVALID – completed after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f>
        <v>OPEN</v>
      </c>
      <c r="AI472" s="61" t="n">
        <f aca="false">IF(OR(AH472="N/A – RULE",AH472="N/A – JUSTIFIED"),0,1)</f>
        <v>1</v>
      </c>
      <c r="AJ472" s="61" t="n">
        <f aca="false">IF(LEFT(AH472,8)="COMPLETE",1,0)</f>
        <v>0</v>
      </c>
      <c r="AK472" s="61" t="n">
        <f aca="false">IF(AND(AI472=1,AJ472=0,AsOfUTC&gt;Q472),1,0)</f>
        <v>0</v>
      </c>
      <c r="AL472" s="61" t="n">
        <f aca="false">IF(AND(AI472=1,OR(TRIM(U472)="Fail",AB472="Open",AND(ISNUMBER(AF472),AF472&lt;&gt;0,TRIM(U472)&lt;&gt;"Pass after CA"))),1,0)</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row>
    <row r="473" customFormat="false" ht="116.25" hidden="false" customHeight="true" outlineLevel="0" collapsed="false">
      <c r="A473" s="57" t="s">
        <v>1083</v>
      </c>
      <c r="B473" s="57" t="s">
        <v>266</v>
      </c>
      <c r="C473" s="57" t="str">
        <f aca="false">Flights!$F$18</f>
        <v>MH0004</v>
      </c>
      <c r="D473" s="58" t="n">
        <f aca="false">Flights!$D$18</f>
        <v>46310</v>
      </c>
      <c r="E473" s="57" t="str">
        <f aca="false">Flights!$G$18&amp;"-"&amp;Flights!$H$18</f>
        <v>KUL-LHR</v>
      </c>
      <c r="F473" s="57" t="str">
        <f aca="false">Flights!$K$18</f>
        <v>EY</v>
      </c>
      <c r="G473" s="57" t="s">
        <v>383</v>
      </c>
      <c r="H473" s="57" t="s">
        <v>341</v>
      </c>
      <c r="I473" s="57" t="s">
        <v>403</v>
      </c>
      <c r="J473" s="57" t="s">
        <v>404</v>
      </c>
      <c r="K473" s="67" t="s">
        <v>464</v>
      </c>
      <c r="L473" s="67" t="s">
        <v>406</v>
      </c>
      <c r="M473" s="67" t="s">
        <v>689</v>
      </c>
      <c r="N473" s="67" t="s">
        <v>407</v>
      </c>
      <c r="O473" s="67" t="s">
        <v>1084</v>
      </c>
      <c r="P473" s="57" t="s">
        <v>177</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IF(N473="N/A – rule","N/A – RULE",IF(TRIM(U473)="N/A",IF(AT473=0,"INVALID – N/A not permitted for this mandatory check",IF(AND(TRIM(AC473)&lt;&gt;"",TRIM(AE473)&lt;&gt;"",TRIM(T473)&lt;&gt;""),"N/A – JUSTIFIED","INVALID – N/A needs justification, PIC and verifier")),IF(OR(TRIM(U473)="Pass",TRIM(U473)="Pass after CA"),IF(NOT(ISNUMBER(AD473)),"INVALID – completion time missing",IF(TRIM(T473)="","INVALID – PIC missing",IF(TRIM(Z473)="","INVALID – evidence missing",IF(TRIM(AE473)="","INVALID – verifier missing",IF(AND(AQ473=1,TRIM(W473)=""),"INVALID – batch ID missing",IF(AND(AR473=1,OR(NOT(ISNUMBER(X473)),NOT(ISNUMBER(Y473)))),"INVALID – expected/actual qty missing",IF(IF(AND(TRIM(U473)="Pass",ISNUMBER(AF473)),IF(AF473&lt;&gt;0,"INVALID – qty variance: use Fail or Pass after CA",""),"")&amp;IF(AND(TRIM(U473)="Pass",AB473="Open"),"INVALID – corrective action still open: use Fail, then Pass after CA","")&amp;IF(AND(TRIM(U473)="Pass after CA",OR(TRIM(AA473)="",AB473&lt;&gt;"Closed")),"INVALID – corrective action not recorded/closed","")&lt;&gt;"",IF(AND(TRIM(U473)="Pass",ISNUMBER(AF473)),IF(AF473&lt;&gt;0,"INVALID – qty variance: use Fail or Pass after CA",""),"")&amp;IF(AND(TRIM(U473)="Pass",AB473="Open"),"INVALID – corrective action still open: use Fail, then Pass after CA","")&amp;IF(AND(TRIM(U473)="Pass after CA",OR(TRIM(AA473)="",AB473&lt;&gt;"Closed")),"INVALID – corrective action not recorded/closed",""),IF(AND(AS473=1,Documents!$J$18&lt;&gt;"ON FILE"),"INVALID – GLD not on file (Documents sheet)",IF(AND(AS473=2,Documents!$O$18&lt;&gt;"ON FILE"),"INVALID – menu checklist not on file (Documents sheet)",IF(AND(AS473=3,NOT(ISNUMBER(Flights!$AX$18))),"INVALID – enter carrying flight KUL departure (Flights AX)",IF(AG473&gt;AsOfUTC,"INVALID – completion time is in the future",IF(AND(ISNUMBER(S473),AG473&lt;S473),IF(H473="Physical uplift","INVALID – before uplift window (cannot confirm loading)","INVALID – before valid window"),IF(AG473&gt;Flights!$AA$18,"INVALID – completed after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f>
        <v>OPEN – CLARIFICATION</v>
      </c>
      <c r="AI473" s="61" t="n">
        <f aca="false">IF(OR(AH473="N/A – RULE",AH473="N/A – JUSTIFIED"),0,1)</f>
        <v>1</v>
      </c>
      <c r="AJ473" s="61" t="n">
        <f aca="false">IF(LEFT(AH473,8)="COMPLETE",1,0)</f>
        <v>0</v>
      </c>
      <c r="AK473" s="61" t="n">
        <f aca="false">IF(AND(AI473=1,AJ473=0,AsOfUTC&gt;Q473),1,0)</f>
        <v>0</v>
      </c>
      <c r="AL473" s="61" t="n">
        <f aca="false">IF(AND(AI473=1,OR(TRIM(U473)="Fail",AB473="Open",AND(ISNUMBER(AF473),AF473&lt;&gt;0,TRIM(U473)&lt;&gt;"Pass after CA"))),1,0)</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row>
    <row r="474" customFormat="false" ht="41.25" hidden="false" customHeight="true" outlineLevel="0" collapsed="false">
      <c r="A474" s="57" t="s">
        <v>1085</v>
      </c>
      <c r="B474" s="57" t="s">
        <v>266</v>
      </c>
      <c r="C474" s="57" t="str">
        <f aca="false">Flights!$F$18</f>
        <v>MH0004</v>
      </c>
      <c r="D474" s="58" t="n">
        <f aca="false">Flights!$D$18</f>
        <v>46310</v>
      </c>
      <c r="E474" s="57" t="str">
        <f aca="false">Flights!$G$18&amp;"-"&amp;Flights!$H$18</f>
        <v>KUL-LHR</v>
      </c>
      <c r="F474" s="57" t="str">
        <f aca="false">Flights!$K$18</f>
        <v>EY</v>
      </c>
      <c r="G474" s="57" t="s">
        <v>383</v>
      </c>
      <c r="H474" s="57" t="s">
        <v>341</v>
      </c>
      <c r="I474" s="57" t="s">
        <v>410</v>
      </c>
      <c r="J474" s="57" t="s">
        <v>411</v>
      </c>
      <c r="K474" s="67" t="s">
        <v>412</v>
      </c>
      <c r="L474" s="67" t="s">
        <v>413</v>
      </c>
      <c r="M474" s="67" t="s">
        <v>414</v>
      </c>
      <c r="N474" s="67" t="s">
        <v>346</v>
      </c>
      <c r="O474" s="67" t="s">
        <v>466</v>
      </c>
      <c r="P474" s="57" t="s">
        <v>177</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IF(N474="N/A – rule","N/A – RULE",IF(TRIM(U474)="N/A",IF(AT474=0,"INVALID – N/A not permitted for this mandatory check",IF(AND(TRIM(AC474)&lt;&gt;"",TRIM(AE474)&lt;&gt;"",TRIM(T474)&lt;&gt;""),"N/A – JUSTIFIED","INVALID – N/A needs justification, PIC and verifier")),IF(OR(TRIM(U474)="Pass",TRIM(U474)="Pass after CA"),IF(NOT(ISNUMBER(AD474)),"INVALID – completion time missing",IF(TRIM(T474)="","INVALID – PIC missing",IF(TRIM(Z474)="","INVALID – evidence missing",IF(TRIM(AE474)="","INVALID – verifier missing",IF(AND(AQ474=1,TRIM(W474)=""),"INVALID – batch ID missing",IF(AND(AR474=1,OR(NOT(ISNUMBER(X474)),NOT(ISNUMBER(Y474)))),"INVALID – expected/actual qty missing",IF(IF(AND(TRIM(U474)="Pass",ISNUMBER(AF474)),IF(AF474&lt;&gt;0,"INVALID – qty variance: use Fail or Pass after CA",""),"")&amp;IF(AND(TRIM(U474)="Pass",AB474="Open"),"INVALID – corrective action still open: use Fail, then Pass after CA","")&amp;IF(AND(TRIM(U474)="Pass after CA",OR(TRIM(AA474)="",AB474&lt;&gt;"Closed")),"INVALID – corrective action not recorded/closed","")&lt;&gt;"",IF(AND(TRIM(U474)="Pass",ISNUMBER(AF474)),IF(AF474&lt;&gt;0,"INVALID – qty variance: use Fail or Pass after CA",""),"")&amp;IF(AND(TRIM(U474)="Pass",AB474="Open"),"INVALID – corrective action still open: use Fail, then Pass after CA","")&amp;IF(AND(TRIM(U474)="Pass after CA",OR(TRIM(AA474)="",AB474&lt;&gt;"Closed")),"INVALID – corrective action not recorded/closed",""),IF(AND(AS474=1,Documents!$J$18&lt;&gt;"ON FILE"),"INVALID – GLD not on file (Documents sheet)",IF(AND(AS474=2,Documents!$O$18&lt;&gt;"ON FILE"),"INVALID – menu checklist not on file (Documents sheet)",IF(AND(AS474=3,NOT(ISNUMBER(Flights!$AX$18))),"INVALID – enter carrying flight KUL departure (Flights AX)",IF(AG474&gt;AsOfUTC,"INVALID – completion time is in the future",IF(AND(ISNUMBER(S474),AG474&lt;S474),IF(H474="Physical uplift","INVALID – before uplift window (cannot confirm loading)","INVALID – before valid window"),IF(AG474&gt;Flights!$AA$18,"INVALID – completed after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f>
        <v>OPEN</v>
      </c>
      <c r="AI474" s="61" t="n">
        <f aca="false">IF(OR(AH474="N/A – RULE",AH474="N/A – JUSTIFIED"),0,1)</f>
        <v>1</v>
      </c>
      <c r="AJ474" s="61" t="n">
        <f aca="false">IF(LEFT(AH474,8)="COMPLETE",1,0)</f>
        <v>0</v>
      </c>
      <c r="AK474" s="61" t="n">
        <f aca="false">IF(AND(AI474=1,AJ474=0,AsOfUTC&gt;Q474),1,0)</f>
        <v>0</v>
      </c>
      <c r="AL474" s="61" t="n">
        <f aca="false">IF(AND(AI474=1,OR(TRIM(U474)="Fail",AB474="Open",AND(ISNUMBER(AF474),AF474&lt;&gt;0,TRIM(U474)&lt;&gt;"Pass after CA"))),1,0)</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1</v>
      </c>
    </row>
    <row r="475" customFormat="false" ht="91.5" hidden="false" customHeight="true" outlineLevel="0" collapsed="false">
      <c r="A475" s="57" t="s">
        <v>1086</v>
      </c>
      <c r="B475" s="57" t="s">
        <v>266</v>
      </c>
      <c r="C475" s="57" t="str">
        <f aca="false">Flights!$F$18</f>
        <v>MH0004</v>
      </c>
      <c r="D475" s="58" t="n">
        <f aca="false">Flights!$D$18</f>
        <v>46310</v>
      </c>
      <c r="E475" s="57" t="str">
        <f aca="false">Flights!$G$18&amp;"-"&amp;Flights!$H$18</f>
        <v>KUL-LHR</v>
      </c>
      <c r="F475" s="57" t="str">
        <f aca="false">Flights!$K$18</f>
        <v>EY</v>
      </c>
      <c r="G475" s="57" t="s">
        <v>383</v>
      </c>
      <c r="H475" s="57" t="s">
        <v>341</v>
      </c>
      <c r="I475" s="57" t="s">
        <v>410</v>
      </c>
      <c r="J475" s="57" t="s">
        <v>417</v>
      </c>
      <c r="K475" s="67" t="s">
        <v>418</v>
      </c>
      <c r="L475" s="67" t="s">
        <v>419</v>
      </c>
      <c r="M475" s="67" t="s">
        <v>414</v>
      </c>
      <c r="N475" s="67" t="s">
        <v>346</v>
      </c>
      <c r="O475" s="67" t="s">
        <v>1087</v>
      </c>
      <c r="P475" s="57" t="s">
        <v>177</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IF(N475="N/A – rule","N/A – RULE",IF(TRIM(U475)="N/A",IF(AT475=0,"INVALID – N/A not permitted for this mandatory check",IF(AND(TRIM(AC475)&lt;&gt;"",TRIM(AE475)&lt;&gt;"",TRIM(T475)&lt;&gt;""),"N/A – JUSTIFIED","INVALID – N/A needs justification, PIC and verifier")),IF(OR(TRIM(U475)="Pass",TRIM(U475)="Pass after CA"),IF(NOT(ISNUMBER(AD475)),"INVALID – completion time missing",IF(TRIM(T475)="","INVALID – PIC missing",IF(TRIM(Z475)="","INVALID – evidence missing",IF(TRIM(AE475)="","INVALID – verifier missing",IF(AND(AQ475=1,TRIM(W475)=""),"INVALID – batch ID missing",IF(AND(AR475=1,OR(NOT(ISNUMBER(X475)),NOT(ISNUMBER(Y475)))),"INVALID – expected/actual qty missing",IF(IF(AND(TRIM(U475)="Pass",ISNUMBER(AF475)),IF(AF475&lt;&gt;0,"INVALID – qty variance: use Fail or Pass after CA",""),"")&amp;IF(AND(TRIM(U475)="Pass",AB475="Open"),"INVALID – corrective action still open: use Fail, then Pass after CA","")&amp;IF(AND(TRIM(U475)="Pass after CA",OR(TRIM(AA475)="",AB475&lt;&gt;"Closed")),"INVALID – corrective action not recorded/closed","")&lt;&gt;"",IF(AND(TRIM(U475)="Pass",ISNUMBER(AF475)),IF(AF475&lt;&gt;0,"INVALID – qty variance: use Fail or Pass after CA",""),"")&amp;IF(AND(TRIM(U475)="Pass",AB475="Open"),"INVALID – corrective action still open: use Fail, then Pass after CA","")&amp;IF(AND(TRIM(U475)="Pass after CA",OR(TRIM(AA475)="",AB475&lt;&gt;"Closed")),"INVALID – corrective action not recorded/closed",""),IF(AND(AS475=1,Documents!$J$18&lt;&gt;"ON FILE"),"INVALID – GLD not on file (Documents sheet)",IF(AND(AS475=2,Documents!$O$18&lt;&gt;"ON FILE"),"INVALID – menu checklist not on file (Documents sheet)",IF(AND(AS475=3,NOT(ISNUMBER(Flights!$AX$18))),"INVALID – enter carrying flight KUL departure (Flights AX)",IF(AG475&gt;AsOfUTC,"INVALID – completion time is in the future",IF(AND(ISNUMBER(S475),AG475&lt;S475),IF(H475="Physical uplift","INVALID – before uplift window (cannot confirm loading)","INVALID – before valid window"),IF(AG475&gt;Flights!$AA$18,"INVALID – completed after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f>
        <v>OPEN</v>
      </c>
      <c r="AI475" s="61" t="n">
        <f aca="false">IF(OR(AH475="N/A – RULE",AH475="N/A – JUSTIFIED"),0,1)</f>
        <v>1</v>
      </c>
      <c r="AJ475" s="61" t="n">
        <f aca="false">IF(LEFT(AH475,8)="COMPLETE",1,0)</f>
        <v>0</v>
      </c>
      <c r="AK475" s="61" t="n">
        <f aca="false">IF(AND(AI475=1,AJ475=0,AsOfUTC&gt;Q475),1,0)</f>
        <v>0</v>
      </c>
      <c r="AL475" s="61" t="n">
        <f aca="false">IF(AND(AI475=1,OR(TRIM(U475)="Fail",AB475="Open",AND(ISNUMBER(AF475),AF475&lt;&gt;0,TRIM(U475)&lt;&gt;"Pass after CA"))),1,0)</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1</v>
      </c>
    </row>
    <row r="476" customFormat="false" ht="39.75" hidden="false" customHeight="true" outlineLevel="0" collapsed="false">
      <c r="A476" s="57" t="s">
        <v>1088</v>
      </c>
      <c r="B476" s="57" t="s">
        <v>266</v>
      </c>
      <c r="C476" s="57" t="str">
        <f aca="false">Flights!$F$18</f>
        <v>MH0004</v>
      </c>
      <c r="D476" s="58" t="n">
        <f aca="false">Flights!$D$18</f>
        <v>46310</v>
      </c>
      <c r="E476" s="57" t="str">
        <f aca="false">Flights!$G$18&amp;"-"&amp;Flights!$H$18</f>
        <v>KUL-LHR</v>
      </c>
      <c r="F476" s="57" t="str">
        <f aca="false">Flights!$K$18</f>
        <v>EY</v>
      </c>
      <c r="G476" s="57" t="s">
        <v>422</v>
      </c>
      <c r="H476" s="57" t="s">
        <v>423</v>
      </c>
      <c r="I476" s="57" t="s">
        <v>342</v>
      </c>
      <c r="J476" s="57" t="s">
        <v>424</v>
      </c>
      <c r="K476" s="67" t="s">
        <v>389</v>
      </c>
      <c r="L476" s="67" t="s">
        <v>425</v>
      </c>
      <c r="M476" s="67"/>
      <c r="N476" s="67" t="s">
        <v>346</v>
      </c>
      <c r="O476" s="67" t="s">
        <v>426</v>
      </c>
      <c r="P476" s="57" t="s">
        <v>177</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IF(N476="N/A – rule","N/A – RULE",IF(TRIM(U476)="N/A",IF(AT476=0,"INVALID – N/A not permitted for this mandatory check",IF(AND(TRIM(AC476)&lt;&gt;"",TRIM(AE476)&lt;&gt;"",TRIM(T476)&lt;&gt;""),"N/A – JUSTIFIED","INVALID – N/A needs justification, PIC and verifier")),IF(OR(TRIM(U476)="Pass",TRIM(U476)="Pass after CA"),IF(NOT(ISNUMBER(AD476)),"INVALID – completion time missing",IF(TRIM(T476)="","INVALID – PIC missing",IF(TRIM(Z476)="","INVALID – evidence missing",IF(TRIM(AE476)="","INVALID – verifier missing",IF(AND(AQ476=1,TRIM(W476)=""),"INVALID – batch ID missing",IF(AND(AR476=1,OR(NOT(ISNUMBER(X476)),NOT(ISNUMBER(Y476)))),"INVALID – expected/actual qty missing",IF(IF(AND(TRIM(U476)="Pass",ISNUMBER(AF476)),IF(AF476&lt;&gt;0,"INVALID – qty variance: use Fail or Pass after CA",""),"")&amp;IF(AND(TRIM(U476)="Pass",AB476="Open"),"INVALID – corrective action still open: use Fail, then Pass after CA","")&amp;IF(AND(TRIM(U476)="Pass after CA",OR(TRIM(AA476)="",AB476&lt;&gt;"Closed")),"INVALID – corrective action not recorded/closed","")&lt;&gt;"",IF(AND(TRIM(U476)="Pass",ISNUMBER(AF476)),IF(AF476&lt;&gt;0,"INVALID – qty variance: use Fail or Pass after CA",""),"")&amp;IF(AND(TRIM(U476)="Pass",AB476="Open"),"INVALID – corrective action still open: use Fail, then Pass after CA","")&amp;IF(AND(TRIM(U476)="Pass after CA",OR(TRIM(AA476)="",AB476&lt;&gt;"Closed")),"INVALID – corrective action not recorded/closed",""),IF(AND(AS476=1,Documents!$J$18&lt;&gt;"ON FILE"),"INVALID – GLD not on file (Documents sheet)",IF(AND(AS476=2,Documents!$O$18&lt;&gt;"ON FILE"),"INVALID – menu checklist not on file (Documents sheet)",IF(AND(AS476=3,NOT(ISNUMBER(Flights!$AX$18))),"INVALID – enter carrying flight KUL departure (Flights AX)",IF(AG476&gt;AsOfUTC,"INVALID – completion time is in the future",IF(AND(ISNUMBER(S476),AG476&lt;S476),IF(H476="Physical uplift","INVALID – before uplift window (cannot confirm loading)","INVALID – before valid window"),IF(AG476&gt;Flights!$AA$18,"INVALID – completed after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f>
        <v>OPEN</v>
      </c>
      <c r="AI476" s="61" t="n">
        <f aca="false">IF(OR(AH476="N/A – RULE",AH476="N/A – JUSTIFIED"),0,1)</f>
        <v>1</v>
      </c>
      <c r="AJ476" s="61" t="n">
        <f aca="false">IF(LEFT(AH476,8)="COMPLETE",1,0)</f>
        <v>0</v>
      </c>
      <c r="AK476" s="61" t="n">
        <f aca="false">IF(AND(AI476=1,AJ476=0,AsOfUTC&gt;Q476),1,0)</f>
        <v>0</v>
      </c>
      <c r="AL476" s="61" t="n">
        <f aca="false">IF(AND(AI476=1,OR(TRIM(U476)="Fail",AB476="Open",AND(ISNUMBER(AF476),AF476&lt;&gt;0,TRIM(U476)&lt;&gt;"Pass after CA"))),1,0)</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row>
    <row r="477" customFormat="false" ht="39.75" hidden="false" customHeight="true" outlineLevel="0" collapsed="false">
      <c r="A477" s="57" t="s">
        <v>1089</v>
      </c>
      <c r="B477" s="57" t="s">
        <v>266</v>
      </c>
      <c r="C477" s="57" t="str">
        <f aca="false">Flights!$F$18</f>
        <v>MH0004</v>
      </c>
      <c r="D477" s="58" t="n">
        <f aca="false">Flights!$D$18</f>
        <v>46310</v>
      </c>
      <c r="E477" s="57" t="str">
        <f aca="false">Flights!$G$18&amp;"-"&amp;Flights!$H$18</f>
        <v>KUL-LHR</v>
      </c>
      <c r="F477" s="57" t="str">
        <f aca="false">Flights!$K$18</f>
        <v>EY</v>
      </c>
      <c r="G477" s="57" t="s">
        <v>422</v>
      </c>
      <c r="H477" s="57" t="s">
        <v>423</v>
      </c>
      <c r="I477" s="57" t="s">
        <v>391</v>
      </c>
      <c r="J477" s="57" t="s">
        <v>428</v>
      </c>
      <c r="K477" s="67" t="s">
        <v>389</v>
      </c>
      <c r="L477" s="67" t="s">
        <v>425</v>
      </c>
      <c r="M477" s="67"/>
      <c r="N477" s="67" t="s">
        <v>346</v>
      </c>
      <c r="O477" s="67" t="s">
        <v>426</v>
      </c>
      <c r="P477" s="57" t="s">
        <v>177</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IF(N477="N/A – rule","N/A – RULE",IF(TRIM(U477)="N/A",IF(AT477=0,"INVALID – N/A not permitted for this mandatory check",IF(AND(TRIM(AC477)&lt;&gt;"",TRIM(AE477)&lt;&gt;"",TRIM(T477)&lt;&gt;""),"N/A – JUSTIFIED","INVALID – N/A needs justification, PIC and verifier")),IF(OR(TRIM(U477)="Pass",TRIM(U477)="Pass after CA"),IF(NOT(ISNUMBER(AD477)),"INVALID – completion time missing",IF(TRIM(T477)="","INVALID – PIC missing",IF(TRIM(Z477)="","INVALID – evidence missing",IF(TRIM(AE477)="","INVALID – verifier missing",IF(AND(AQ477=1,TRIM(W477)=""),"INVALID – batch ID missing",IF(AND(AR477=1,OR(NOT(ISNUMBER(X477)),NOT(ISNUMBER(Y477)))),"INVALID – expected/actual qty missing",IF(IF(AND(TRIM(U477)="Pass",ISNUMBER(AF477)),IF(AF477&lt;&gt;0,"INVALID – qty variance: use Fail or Pass after CA",""),"")&amp;IF(AND(TRIM(U477)="Pass",AB477="Open"),"INVALID – corrective action still open: use Fail, then Pass after CA","")&amp;IF(AND(TRIM(U477)="Pass after CA",OR(TRIM(AA477)="",AB477&lt;&gt;"Closed")),"INVALID – corrective action not recorded/closed","")&lt;&gt;"",IF(AND(TRIM(U477)="Pass",ISNUMBER(AF477)),IF(AF477&lt;&gt;0,"INVALID – qty variance: use Fail or Pass after CA",""),"")&amp;IF(AND(TRIM(U477)="Pass",AB477="Open"),"INVALID – corrective action still open: use Fail, then Pass after CA","")&amp;IF(AND(TRIM(U477)="Pass after CA",OR(TRIM(AA477)="",AB477&lt;&gt;"Closed")),"INVALID – corrective action not recorded/closed",""),IF(AND(AS477=1,Documents!$J$18&lt;&gt;"ON FILE"),"INVALID – GLD not on file (Documents sheet)",IF(AND(AS477=2,Documents!$O$18&lt;&gt;"ON FILE"),"INVALID – menu checklist not on file (Documents sheet)",IF(AND(AS477=3,NOT(ISNUMBER(Flights!$AX$18))),"INVALID – enter carrying flight KUL departure (Flights AX)",IF(AG477&gt;AsOfUTC,"INVALID – completion time is in the future",IF(AND(ISNUMBER(S477),AG477&lt;S477),IF(H477="Physical uplift","INVALID – before uplift window (cannot confirm loading)","INVALID – before valid window"),IF(AG477&gt;Flights!$AA$18,"INVALID – completed after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f>
        <v>OPEN</v>
      </c>
      <c r="AI477" s="61" t="n">
        <f aca="false">IF(OR(AH477="N/A – RULE",AH477="N/A – JUSTIFIED"),0,1)</f>
        <v>1</v>
      </c>
      <c r="AJ477" s="61" t="n">
        <f aca="false">IF(LEFT(AH477,8)="COMPLETE",1,0)</f>
        <v>0</v>
      </c>
      <c r="AK477" s="61" t="n">
        <f aca="false">IF(AND(AI477=1,AJ477=0,AsOfUTC&gt;Q477),1,0)</f>
        <v>0</v>
      </c>
      <c r="AL477" s="61" t="n">
        <f aca="false">IF(AND(AI477=1,OR(TRIM(U477)="Fail",AB477="Open",AND(ISNUMBER(AF477),AF477&lt;&gt;0,TRIM(U477)&lt;&gt;"Pass after CA"))),1,0)</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row>
    <row r="478" customFormat="false" ht="116.25" hidden="false" customHeight="true" outlineLevel="0" collapsed="false">
      <c r="A478" s="57" t="s">
        <v>1090</v>
      </c>
      <c r="B478" s="57" t="s">
        <v>266</v>
      </c>
      <c r="C478" s="57" t="str">
        <f aca="false">Flights!$F$18</f>
        <v>MH0004</v>
      </c>
      <c r="D478" s="58" t="n">
        <f aca="false">Flights!$D$18</f>
        <v>46310</v>
      </c>
      <c r="E478" s="57" t="str">
        <f aca="false">Flights!$G$18&amp;"-"&amp;Flights!$H$18</f>
        <v>KUL-LHR</v>
      </c>
      <c r="F478" s="57" t="str">
        <f aca="false">Flights!$K$18</f>
        <v>EY</v>
      </c>
      <c r="G478" s="57" t="s">
        <v>422</v>
      </c>
      <c r="H478" s="57" t="s">
        <v>423</v>
      </c>
      <c r="I478" s="57" t="s">
        <v>403</v>
      </c>
      <c r="J478" s="57" t="s">
        <v>430</v>
      </c>
      <c r="K478" s="67" t="s">
        <v>464</v>
      </c>
      <c r="L478" s="67" t="s">
        <v>406</v>
      </c>
      <c r="M478" s="67" t="s">
        <v>689</v>
      </c>
      <c r="N478" s="67" t="s">
        <v>407</v>
      </c>
      <c r="O478" s="67" t="s">
        <v>1084</v>
      </c>
      <c r="P478" s="57" t="s">
        <v>177</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IF(N478="N/A – rule","N/A – RULE",IF(TRIM(U478)="N/A",IF(AT478=0,"INVALID – N/A not permitted for this mandatory check",IF(AND(TRIM(AC478)&lt;&gt;"",TRIM(AE478)&lt;&gt;"",TRIM(T478)&lt;&gt;""),"N/A – JUSTIFIED","INVALID – N/A needs justification, PIC and verifier")),IF(OR(TRIM(U478)="Pass",TRIM(U478)="Pass after CA"),IF(NOT(ISNUMBER(AD478)),"INVALID – completion time missing",IF(TRIM(T478)="","INVALID – PIC missing",IF(TRIM(Z478)="","INVALID – evidence missing",IF(TRIM(AE478)="","INVALID – verifier missing",IF(AND(AQ478=1,TRIM(W478)=""),"INVALID – batch ID missing",IF(AND(AR478=1,OR(NOT(ISNUMBER(X478)),NOT(ISNUMBER(Y478)))),"INVALID – expected/actual qty missing",IF(IF(AND(TRIM(U478)="Pass",ISNUMBER(AF478)),IF(AF478&lt;&gt;0,"INVALID – qty variance: use Fail or Pass after CA",""),"")&amp;IF(AND(TRIM(U478)="Pass",AB478="Open"),"INVALID – corrective action still open: use Fail, then Pass after CA","")&amp;IF(AND(TRIM(U478)="Pass after CA",OR(TRIM(AA478)="",AB478&lt;&gt;"Closed")),"INVALID – corrective action not recorded/closed","")&lt;&gt;"",IF(AND(TRIM(U478)="Pass",ISNUMBER(AF478)),IF(AF478&lt;&gt;0,"INVALID – qty variance: use Fail or Pass after CA",""),"")&amp;IF(AND(TRIM(U478)="Pass",AB478="Open"),"INVALID – corrective action still open: use Fail, then Pass after CA","")&amp;IF(AND(TRIM(U478)="Pass after CA",OR(TRIM(AA478)="",AB478&lt;&gt;"Closed")),"INVALID – corrective action not recorded/closed",""),IF(AND(AS478=1,Documents!$J$18&lt;&gt;"ON FILE"),"INVALID – GLD not on file (Documents sheet)",IF(AND(AS478=2,Documents!$O$18&lt;&gt;"ON FILE"),"INVALID – menu checklist not on file (Documents sheet)",IF(AND(AS478=3,NOT(ISNUMBER(Flights!$AX$18))),"INVALID – enter carrying flight KUL departure (Flights AX)",IF(AG478&gt;AsOfUTC,"INVALID – completion time is in the future",IF(AND(ISNUMBER(S478),AG478&lt;S478),IF(H478="Physical uplift","INVALID – before uplift window (cannot confirm loading)","INVALID – before valid window"),IF(AG478&gt;Flights!$AA$18,"INVALID – completed after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f>
        <v>OPEN – CLARIFICATION</v>
      </c>
      <c r="AI478" s="61" t="n">
        <f aca="false">IF(OR(AH478="N/A – RULE",AH478="N/A – JUSTIFIED"),0,1)</f>
        <v>1</v>
      </c>
      <c r="AJ478" s="61" t="n">
        <f aca="false">IF(LEFT(AH478,8)="COMPLETE",1,0)</f>
        <v>0</v>
      </c>
      <c r="AK478" s="61" t="n">
        <f aca="false">IF(AND(AI478=1,AJ478=0,AsOfUTC&gt;Q478),1,0)</f>
        <v>0</v>
      </c>
      <c r="AL478" s="61" t="n">
        <f aca="false">IF(AND(AI478=1,OR(TRIM(U478)="Fail",AB478="Open",AND(ISNUMBER(AF478),AF478&lt;&gt;0,TRIM(U478)&lt;&gt;"Pass after CA"))),1,0)</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row>
    <row r="479" customFormat="false" ht="39.75" hidden="false" customHeight="true" outlineLevel="0" collapsed="false">
      <c r="A479" s="57" t="s">
        <v>1091</v>
      </c>
      <c r="B479" s="57" t="s">
        <v>266</v>
      </c>
      <c r="C479" s="57" t="str">
        <f aca="false">Flights!$F$18</f>
        <v>MH0004</v>
      </c>
      <c r="D479" s="58" t="n">
        <f aca="false">Flights!$D$18</f>
        <v>46310</v>
      </c>
      <c r="E479" s="57" t="str">
        <f aca="false">Flights!$G$18&amp;"-"&amp;Flights!$H$18</f>
        <v>KUL-LHR</v>
      </c>
      <c r="F479" s="57" t="str">
        <f aca="false">Flights!$K$18</f>
        <v>EY</v>
      </c>
      <c r="G479" s="57" t="s">
        <v>422</v>
      </c>
      <c r="H479" s="57" t="s">
        <v>423</v>
      </c>
      <c r="I479" s="57" t="s">
        <v>410</v>
      </c>
      <c r="J479" s="57" t="s">
        <v>432</v>
      </c>
      <c r="K479" s="67" t="s">
        <v>412</v>
      </c>
      <c r="L479" s="67" t="s">
        <v>413</v>
      </c>
      <c r="M479" s="67" t="s">
        <v>414</v>
      </c>
      <c r="N479" s="67" t="s">
        <v>346</v>
      </c>
      <c r="O479" s="67"/>
      <c r="P479" s="57" t="s">
        <v>177</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IF(N479="N/A – rule","N/A – RULE",IF(TRIM(U479)="N/A",IF(AT479=0,"INVALID – N/A not permitted for this mandatory check",IF(AND(TRIM(AC479)&lt;&gt;"",TRIM(AE479)&lt;&gt;"",TRIM(T479)&lt;&gt;""),"N/A – JUSTIFIED","INVALID – N/A needs justification, PIC and verifier")),IF(OR(TRIM(U479)="Pass",TRIM(U479)="Pass after CA"),IF(NOT(ISNUMBER(AD479)),"INVALID – completion time missing",IF(TRIM(T479)="","INVALID – PIC missing",IF(TRIM(Z479)="","INVALID – evidence missing",IF(TRIM(AE479)="","INVALID – verifier missing",IF(AND(AQ479=1,TRIM(W479)=""),"INVALID – batch ID missing",IF(AND(AR479=1,OR(NOT(ISNUMBER(X479)),NOT(ISNUMBER(Y479)))),"INVALID – expected/actual qty missing",IF(IF(AND(TRIM(U479)="Pass",ISNUMBER(AF479)),IF(AF479&lt;&gt;0,"INVALID – qty variance: use Fail or Pass after CA",""),"")&amp;IF(AND(TRIM(U479)="Pass",AB479="Open"),"INVALID – corrective action still open: use Fail, then Pass after CA","")&amp;IF(AND(TRIM(U479)="Pass after CA",OR(TRIM(AA479)="",AB479&lt;&gt;"Closed")),"INVALID – corrective action not recorded/closed","")&lt;&gt;"",IF(AND(TRIM(U479)="Pass",ISNUMBER(AF479)),IF(AF479&lt;&gt;0,"INVALID – qty variance: use Fail or Pass after CA",""),"")&amp;IF(AND(TRIM(U479)="Pass",AB479="Open"),"INVALID – corrective action still open: use Fail, then Pass after CA","")&amp;IF(AND(TRIM(U479)="Pass after CA",OR(TRIM(AA479)="",AB479&lt;&gt;"Closed")),"INVALID – corrective action not recorded/closed",""),IF(AND(AS479=1,Documents!$J$18&lt;&gt;"ON FILE"),"INVALID – GLD not on file (Documents sheet)",IF(AND(AS479=2,Documents!$O$18&lt;&gt;"ON FILE"),"INVALID – menu checklist not on file (Documents sheet)",IF(AND(AS479=3,NOT(ISNUMBER(Flights!$AX$18))),"INVALID – enter carrying flight KUL departure (Flights AX)",IF(AG479&gt;AsOfUTC,"INVALID – completion time is in the future",IF(AND(ISNUMBER(S479),AG479&lt;S479),IF(H479="Physical uplift","INVALID – before uplift window (cannot confirm loading)","INVALID – before valid window"),IF(AG479&gt;Flights!$AA$18,"INVALID – completed after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f>
        <v>OPEN</v>
      </c>
      <c r="AI479" s="61" t="n">
        <f aca="false">IF(OR(AH479="N/A – RULE",AH479="N/A – JUSTIFIED"),0,1)</f>
        <v>1</v>
      </c>
      <c r="AJ479" s="61" t="n">
        <f aca="false">IF(LEFT(AH479,8)="COMPLETE",1,0)</f>
        <v>0</v>
      </c>
      <c r="AK479" s="61" t="n">
        <f aca="false">IF(AND(AI479=1,AJ479=0,AsOfUTC&gt;Q479),1,0)</f>
        <v>0</v>
      </c>
      <c r="AL479" s="61" t="n">
        <f aca="false">IF(AND(AI479=1,OR(TRIM(U479)="Fail",AB479="Open",AND(ISNUMBER(AF479),AF479&lt;&gt;0,TRIM(U479)&lt;&gt;"Pass after CA"))),1,0)</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1</v>
      </c>
    </row>
    <row r="480" customFormat="false" ht="54" hidden="false" customHeight="true" outlineLevel="0" collapsed="false">
      <c r="A480" s="57" t="s">
        <v>1092</v>
      </c>
      <c r="B480" s="57" t="s">
        <v>266</v>
      </c>
      <c r="C480" s="57" t="str">
        <f aca="false">Flights!$F$18</f>
        <v>MH0004</v>
      </c>
      <c r="D480" s="58" t="n">
        <f aca="false">Flights!$D$18</f>
        <v>46310</v>
      </c>
      <c r="E480" s="57" t="str">
        <f aca="false">Flights!$G$18&amp;"-"&amp;Flights!$H$18</f>
        <v>KUL-LHR</v>
      </c>
      <c r="F480" s="57" t="str">
        <f aca="false">Flights!$K$18</f>
        <v>EY</v>
      </c>
      <c r="G480" s="57" t="s">
        <v>422</v>
      </c>
      <c r="H480" s="57" t="s">
        <v>423</v>
      </c>
      <c r="I480" s="57" t="s">
        <v>410</v>
      </c>
      <c r="J480" s="57" t="s">
        <v>434</v>
      </c>
      <c r="K480" s="67" t="s">
        <v>418</v>
      </c>
      <c r="L480" s="67" t="s">
        <v>419</v>
      </c>
      <c r="M480" s="67" t="s">
        <v>414</v>
      </c>
      <c r="N480" s="67" t="s">
        <v>346</v>
      </c>
      <c r="O480" s="67" t="s">
        <v>1093</v>
      </c>
      <c r="P480" s="57" t="s">
        <v>177</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IF(N480="N/A – rule","N/A – RULE",IF(TRIM(U480)="N/A",IF(AT480=0,"INVALID – N/A not permitted for this mandatory check",IF(AND(TRIM(AC480)&lt;&gt;"",TRIM(AE480)&lt;&gt;"",TRIM(T480)&lt;&gt;""),"N/A – JUSTIFIED","INVALID – N/A needs justification, PIC and verifier")),IF(OR(TRIM(U480)="Pass",TRIM(U480)="Pass after CA"),IF(NOT(ISNUMBER(AD480)),"INVALID – completion time missing",IF(TRIM(T480)="","INVALID – PIC missing",IF(TRIM(Z480)="","INVALID – evidence missing",IF(TRIM(AE480)="","INVALID – verifier missing",IF(AND(AQ480=1,TRIM(W480)=""),"INVALID – batch ID missing",IF(AND(AR480=1,OR(NOT(ISNUMBER(X480)),NOT(ISNUMBER(Y480)))),"INVALID – expected/actual qty missing",IF(IF(AND(TRIM(U480)="Pass",ISNUMBER(AF480)),IF(AF480&lt;&gt;0,"INVALID – qty variance: use Fail or Pass after CA",""),"")&amp;IF(AND(TRIM(U480)="Pass",AB480="Open"),"INVALID – corrective action still open: use Fail, then Pass after CA","")&amp;IF(AND(TRIM(U480)="Pass after CA",OR(TRIM(AA480)="",AB480&lt;&gt;"Closed")),"INVALID – corrective action not recorded/closed","")&lt;&gt;"",IF(AND(TRIM(U480)="Pass",ISNUMBER(AF480)),IF(AF480&lt;&gt;0,"INVALID – qty variance: use Fail or Pass after CA",""),"")&amp;IF(AND(TRIM(U480)="Pass",AB480="Open"),"INVALID – corrective action still open: use Fail, then Pass after CA","")&amp;IF(AND(TRIM(U480)="Pass after CA",OR(TRIM(AA480)="",AB480&lt;&gt;"Closed")),"INVALID – corrective action not recorded/closed",""),IF(AND(AS480=1,Documents!$J$18&lt;&gt;"ON FILE"),"INVALID – GLD not on file (Documents sheet)",IF(AND(AS480=2,Documents!$O$18&lt;&gt;"ON FILE"),"INVALID – menu checklist not on file (Documents sheet)",IF(AND(AS480=3,NOT(ISNUMBER(Flights!$AX$18))),"INVALID – enter carrying flight KUL departure (Flights AX)",IF(AG480&gt;AsOfUTC,"INVALID – completion time is in the future",IF(AND(ISNUMBER(S480),AG480&lt;S480),IF(H480="Physical uplift","INVALID – before uplift window (cannot confirm loading)","INVALID – before valid window"),IF(AG480&gt;Flights!$AA$18,"INVALID – completed after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f>
        <v>OPEN</v>
      </c>
      <c r="AI480" s="61" t="n">
        <f aca="false">IF(OR(AH480="N/A – RULE",AH480="N/A – JUSTIFIED"),0,1)</f>
        <v>1</v>
      </c>
      <c r="AJ480" s="61" t="n">
        <f aca="false">IF(LEFT(AH480,8)="COMPLETE",1,0)</f>
        <v>0</v>
      </c>
      <c r="AK480" s="61" t="n">
        <f aca="false">IF(AND(AI480=1,AJ480=0,AsOfUTC&gt;Q480),1,0)</f>
        <v>0</v>
      </c>
      <c r="AL480" s="61" t="n">
        <f aca="false">IF(AND(AI480=1,OR(TRIM(U480)="Fail",AB480="Open",AND(ISNUMBER(AF480),AF480&lt;&gt;0,TRIM(U480)&lt;&gt;"Pass after CA"))),1,0)</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1</v>
      </c>
    </row>
    <row r="481" customFormat="false" ht="39.75" hidden="false" customHeight="true" outlineLevel="0" collapsed="false">
      <c r="A481" s="57" t="s">
        <v>1094</v>
      </c>
      <c r="B481" s="57" t="s">
        <v>268</v>
      </c>
      <c r="C481" s="57" t="str">
        <f aca="false">Flights!$F$19</f>
        <v>MH0003</v>
      </c>
      <c r="D481" s="58" t="n">
        <f aca="false">Flights!$D$19</f>
        <v>46320</v>
      </c>
      <c r="E481" s="57" t="str">
        <f aca="false">Flights!$G$19&amp;"-"&amp;Flights!$H$19</f>
        <v>LHR-KUL</v>
      </c>
      <c r="F481" s="57" t="str">
        <f aca="false">Flights!$K$19</f>
        <v>EY</v>
      </c>
      <c r="G481" s="57" t="s">
        <v>74</v>
      </c>
      <c r="H481" s="57" t="s">
        <v>341</v>
      </c>
      <c r="I481" s="57" t="s">
        <v>342</v>
      </c>
      <c r="J481" s="57" t="s">
        <v>343</v>
      </c>
      <c r="K481" s="67" t="s">
        <v>344</v>
      </c>
      <c r="L481" s="67" t="s">
        <v>345</v>
      </c>
      <c r="M481" s="67"/>
      <c r="N481" s="67" t="s">
        <v>346</v>
      </c>
      <c r="O481" s="67"/>
      <c r="P481" s="57" t="s">
        <v>176</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IF(N481="N/A – rule","N/A – RULE",IF(TRIM(U481)="N/A",IF(AT481=0,"INVALID – N/A not permitted for this mandatory check",IF(AND(TRIM(AC481)&lt;&gt;"",TRIM(AE481)&lt;&gt;"",TRIM(T481)&lt;&gt;""),"N/A – JUSTIFIED","INVALID – N/A needs justification, PIC and verifier")),IF(OR(TRIM(U481)="Pass",TRIM(U481)="Pass after CA"),IF(NOT(ISNUMBER(AD481)),"INVALID – completion time missing",IF(TRIM(T481)="","INVALID – PIC missing",IF(TRIM(Z481)="","INVALID – evidence missing",IF(TRIM(AE481)="","INVALID – verifier missing",IF(AND(AQ481=1,TRIM(W481)=""),"INVALID – batch ID missing",IF(AND(AR481=1,OR(NOT(ISNUMBER(X481)),NOT(ISNUMBER(Y481)))),"INVALID – expected/actual qty missing",IF(IF(AND(TRIM(U481)="Pass",ISNUMBER(AF481)),IF(AF481&lt;&gt;0,"INVALID – qty variance: use Fail or Pass after CA",""),"")&amp;IF(AND(TRIM(U481)="Pass",AB481="Open"),"INVALID – corrective action still open: use Fail, then Pass after CA","")&amp;IF(AND(TRIM(U481)="Pass after CA",OR(TRIM(AA481)="",AB481&lt;&gt;"Closed")),"INVALID – corrective action not recorded/closed","")&lt;&gt;"",IF(AND(TRIM(U481)="Pass",ISNUMBER(AF481)),IF(AF481&lt;&gt;0,"INVALID – qty variance: use Fail or Pass after CA",""),"")&amp;IF(AND(TRIM(U481)="Pass",AB481="Open"),"INVALID – corrective action still open: use Fail, then Pass after CA","")&amp;IF(AND(TRIM(U481)="Pass after CA",OR(TRIM(AA481)="",AB481&lt;&gt;"Closed")),"INVALID – corrective action not recorded/closed",""),IF(AND(AS481=1,Documents!$J$19&lt;&gt;"ON FILE"),"INVALID – GLD not on file (Documents sheet)",IF(AND(AS481=2,Documents!$O$19&lt;&gt;"ON FILE"),"INVALID – menu checklist not on file (Documents sheet)",IF(AND(AS481=3,NOT(ISNUMBER(Flights!$AX$19))),"INVALID – enter carrying flight KUL departure (Flights AX)",IF(AG481&gt;AsOfUTC,"INVALID – completion time is in the future",IF(AND(ISNUMBER(S481),AG481&lt;S481),IF(H481="Physical uplift","INVALID – before uplift window (cannot confirm loading)","INVALID – before valid window"),IF(AG481&gt;Flights!$AA$19,"INVALID – completed after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f>
        <v>OPEN</v>
      </c>
      <c r="AI481" s="61" t="n">
        <f aca="false">IF(OR(AH481="N/A – RULE",AH481="N/A – JUSTIFIED"),0,1)</f>
        <v>1</v>
      </c>
      <c r="AJ481" s="61" t="n">
        <f aca="false">IF(LEFT(AH481,8)="COMPLETE",1,0)</f>
        <v>0</v>
      </c>
      <c r="AK481" s="61" t="n">
        <f aca="false">IF(AND(AI481=1,AJ481=0,AsOfUTC&gt;Q481),1,0)</f>
        <v>0</v>
      </c>
      <c r="AL481" s="61" t="n">
        <f aca="false">IF(AND(AI481=1,OR(TRIM(U481)="Fail",AB481="Open",AND(ISNUMBER(AF481),AF481&lt;&gt;0,TRIM(U481)&lt;&gt;"Pass after CA"))),1,0)</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row>
    <row r="482" customFormat="false" ht="39.75" hidden="false" customHeight="true" outlineLevel="0" collapsed="false">
      <c r="A482" s="57" t="s">
        <v>1095</v>
      </c>
      <c r="B482" s="57" t="s">
        <v>268</v>
      </c>
      <c r="C482" s="57" t="str">
        <f aca="false">Flights!$F$19</f>
        <v>MH0003</v>
      </c>
      <c r="D482" s="58" t="n">
        <f aca="false">Flights!$D$19</f>
        <v>46320</v>
      </c>
      <c r="E482" s="57" t="str">
        <f aca="false">Flights!$G$19&amp;"-"&amp;Flights!$H$19</f>
        <v>LHR-KUL</v>
      </c>
      <c r="F482" s="57" t="str">
        <f aca="false">Flights!$K$19</f>
        <v>EY</v>
      </c>
      <c r="G482" s="57" t="s">
        <v>74</v>
      </c>
      <c r="H482" s="57" t="s">
        <v>341</v>
      </c>
      <c r="I482" s="57" t="s">
        <v>348</v>
      </c>
      <c r="J482" s="57" t="s">
        <v>349</v>
      </c>
      <c r="K482" s="67" t="s">
        <v>350</v>
      </c>
      <c r="L482" s="67" t="s">
        <v>345</v>
      </c>
      <c r="M482" s="67"/>
      <c r="N482" s="67" t="s">
        <v>346</v>
      </c>
      <c r="O482" s="67"/>
      <c r="P482" s="57" t="s">
        <v>176</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IF(N482="N/A – rule","N/A – RULE",IF(TRIM(U482)="N/A",IF(AT482=0,"INVALID – N/A not permitted for this mandatory check",IF(AND(TRIM(AC482)&lt;&gt;"",TRIM(AE482)&lt;&gt;"",TRIM(T482)&lt;&gt;""),"N/A – JUSTIFIED","INVALID – N/A needs justification, PIC and verifier")),IF(OR(TRIM(U482)="Pass",TRIM(U482)="Pass after CA"),IF(NOT(ISNUMBER(AD482)),"INVALID – completion time missing",IF(TRIM(T482)="","INVALID – PIC missing",IF(TRIM(Z482)="","INVALID – evidence missing",IF(TRIM(AE482)="","INVALID – verifier missing",IF(AND(AQ482=1,TRIM(W482)=""),"INVALID – batch ID missing",IF(AND(AR482=1,OR(NOT(ISNUMBER(X482)),NOT(ISNUMBER(Y482)))),"INVALID – expected/actual qty missing",IF(IF(AND(TRIM(U482)="Pass",ISNUMBER(AF482)),IF(AF482&lt;&gt;0,"INVALID – qty variance: use Fail or Pass after CA",""),"")&amp;IF(AND(TRIM(U482)="Pass",AB482="Open"),"INVALID – corrective action still open: use Fail, then Pass after CA","")&amp;IF(AND(TRIM(U482)="Pass after CA",OR(TRIM(AA482)="",AB482&lt;&gt;"Closed")),"INVALID – corrective action not recorded/closed","")&lt;&gt;"",IF(AND(TRIM(U482)="Pass",ISNUMBER(AF482)),IF(AF482&lt;&gt;0,"INVALID – qty variance: use Fail or Pass after CA",""),"")&amp;IF(AND(TRIM(U482)="Pass",AB482="Open"),"INVALID – corrective action still open: use Fail, then Pass after CA","")&amp;IF(AND(TRIM(U482)="Pass after CA",OR(TRIM(AA482)="",AB482&lt;&gt;"Closed")),"INVALID – corrective action not recorded/closed",""),IF(AND(AS482=1,Documents!$J$19&lt;&gt;"ON FILE"),"INVALID – GLD not on file (Documents sheet)",IF(AND(AS482=2,Documents!$O$19&lt;&gt;"ON FILE"),"INVALID – menu checklist not on file (Documents sheet)",IF(AND(AS482=3,NOT(ISNUMBER(Flights!$AX$19))),"INVALID – enter carrying flight KUL departure (Flights AX)",IF(AG482&gt;AsOfUTC,"INVALID – completion time is in the future",IF(AND(ISNUMBER(S482),AG482&lt;S482),IF(H482="Physical uplift","INVALID – before uplift window (cannot confirm loading)","INVALID – before valid window"),IF(AG482&gt;Flights!$AA$19,"INVALID – completed after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f>
        <v>OPEN</v>
      </c>
      <c r="AI482" s="61" t="n">
        <f aca="false">IF(OR(AH482="N/A – RULE",AH482="N/A – JUSTIFIED"),0,1)</f>
        <v>1</v>
      </c>
      <c r="AJ482" s="61" t="n">
        <f aca="false">IF(LEFT(AH482,8)="COMPLETE",1,0)</f>
        <v>0</v>
      </c>
      <c r="AK482" s="61" t="n">
        <f aca="false">IF(AND(AI482=1,AJ482=0,AsOfUTC&gt;Q482),1,0)</f>
        <v>0</v>
      </c>
      <c r="AL482" s="61" t="n">
        <f aca="false">IF(AND(AI482=1,OR(TRIM(U482)="Fail",AB482="Open",AND(ISNUMBER(AF482),AF482&lt;&gt;0,TRIM(U482)&lt;&gt;"Pass after CA"))),1,0)</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1</v>
      </c>
    </row>
    <row r="483" customFormat="false" ht="41.25" hidden="false" customHeight="true" outlineLevel="0" collapsed="false">
      <c r="A483" s="57" t="s">
        <v>1096</v>
      </c>
      <c r="B483" s="57" t="s">
        <v>268</v>
      </c>
      <c r="C483" s="57" t="str">
        <f aca="false">Flights!$F$19</f>
        <v>MH0003</v>
      </c>
      <c r="D483" s="58" t="n">
        <f aca="false">Flights!$D$19</f>
        <v>46320</v>
      </c>
      <c r="E483" s="57" t="str">
        <f aca="false">Flights!$G$19&amp;"-"&amp;Flights!$H$19</f>
        <v>LHR-KUL</v>
      </c>
      <c r="F483" s="57" t="str">
        <f aca="false">Flights!$K$19</f>
        <v>EY</v>
      </c>
      <c r="G483" s="57" t="s">
        <v>74</v>
      </c>
      <c r="H483" s="57" t="s">
        <v>341</v>
      </c>
      <c r="I483" s="57" t="s">
        <v>352</v>
      </c>
      <c r="J483" s="57" t="s">
        <v>353</v>
      </c>
      <c r="K483" s="67" t="s">
        <v>354</v>
      </c>
      <c r="L483" s="67" t="s">
        <v>345</v>
      </c>
      <c r="M483" s="67"/>
      <c r="N483" s="67" t="str">
        <f aca="false">IF(TRIM(Flights!$L$19)="A339","Required","N/A – rule")</f>
        <v>N/A – rule</v>
      </c>
      <c r="O483" s="67" t="s">
        <v>355</v>
      </c>
      <c r="P483" s="57" t="s">
        <v>176</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IF(N483="N/A – rule","N/A – RULE",IF(TRIM(U483)="N/A",IF(AT483=0,"INVALID – N/A not permitted for this mandatory check",IF(AND(TRIM(AC483)&lt;&gt;"",TRIM(AE483)&lt;&gt;"",TRIM(T483)&lt;&gt;""),"N/A – JUSTIFIED","INVALID – N/A needs justification, PIC and verifier")),IF(OR(TRIM(U483)="Pass",TRIM(U483)="Pass after CA"),IF(NOT(ISNUMBER(AD483)),"INVALID – completion time missing",IF(TRIM(T483)="","INVALID – PIC missing",IF(TRIM(Z483)="","INVALID – evidence missing",IF(TRIM(AE483)="","INVALID – verifier missing",IF(AND(AQ483=1,TRIM(W483)=""),"INVALID – batch ID missing",IF(AND(AR483=1,OR(NOT(ISNUMBER(X483)),NOT(ISNUMBER(Y483)))),"INVALID – expected/actual qty missing",IF(IF(AND(TRIM(U483)="Pass",ISNUMBER(AF483)),IF(AF483&lt;&gt;0,"INVALID – qty variance: use Fail or Pass after CA",""),"")&amp;IF(AND(TRIM(U483)="Pass",AB483="Open"),"INVALID – corrective action still open: use Fail, then Pass after CA","")&amp;IF(AND(TRIM(U483)="Pass after CA",OR(TRIM(AA483)="",AB483&lt;&gt;"Closed")),"INVALID – corrective action not recorded/closed","")&lt;&gt;"",IF(AND(TRIM(U483)="Pass",ISNUMBER(AF483)),IF(AF483&lt;&gt;0,"INVALID – qty variance: use Fail or Pass after CA",""),"")&amp;IF(AND(TRIM(U483)="Pass",AB483="Open"),"INVALID – corrective action still open: use Fail, then Pass after CA","")&amp;IF(AND(TRIM(U483)="Pass after CA",OR(TRIM(AA483)="",AB483&lt;&gt;"Closed")),"INVALID – corrective action not recorded/closed",""),IF(AND(AS483=1,Documents!$J$19&lt;&gt;"ON FILE"),"INVALID – GLD not on file (Documents sheet)",IF(AND(AS483=2,Documents!$O$19&lt;&gt;"ON FILE"),"INVALID – menu checklist not on file (Documents sheet)",IF(AND(AS483=3,NOT(ISNUMBER(Flights!$AX$19))),"INVALID – enter carrying flight KUL departure (Flights AX)",IF(AG483&gt;AsOfUTC,"INVALID – completion time is in the future",IF(AND(ISNUMBER(S483),AG483&lt;S483),IF(H483="Physical uplift","INVALID – before uplift window (cannot confirm loading)","INVALID – before valid window"),IF(AG483&gt;Flights!$AA$19,"INVALID – completed after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f>
        <v>N/A – RULE</v>
      </c>
      <c r="AI483" s="61" t="n">
        <f aca="false">IF(OR(AH483="N/A – RULE",AH483="N/A – JUSTIFIED"),0,1)</f>
        <v>0</v>
      </c>
      <c r="AJ483" s="61" t="n">
        <f aca="false">IF(LEFT(AH483,8)="COMPLETE",1,0)</f>
        <v>0</v>
      </c>
      <c r="AK483" s="61" t="n">
        <f aca="false">IF(AND(AI483=1,AJ483=0,AsOfUTC&gt;Q483),1,0)</f>
        <v>0</v>
      </c>
      <c r="AL483" s="61" t="n">
        <f aca="false">IF(AND(AI483=1,OR(TRIM(U483)="Fail",AB483="Open",AND(ISNUMBER(AF483),AF483&lt;&gt;0,TRIM(U483)&lt;&gt;"Pass after CA"))),1,0)</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row>
    <row r="484" customFormat="false" ht="39.75" hidden="false" customHeight="true" outlineLevel="0" collapsed="false">
      <c r="A484" s="57" t="s">
        <v>1097</v>
      </c>
      <c r="B484" s="57" t="s">
        <v>268</v>
      </c>
      <c r="C484" s="57" t="str">
        <f aca="false">Flights!$F$19</f>
        <v>MH0003</v>
      </c>
      <c r="D484" s="58" t="n">
        <f aca="false">Flights!$D$19</f>
        <v>46320</v>
      </c>
      <c r="E484" s="57" t="str">
        <f aca="false">Flights!$G$19&amp;"-"&amp;Flights!$H$19</f>
        <v>LHR-KUL</v>
      </c>
      <c r="F484" s="57" t="str">
        <f aca="false">Flights!$K$19</f>
        <v>EY</v>
      </c>
      <c r="G484" s="57" t="s">
        <v>74</v>
      </c>
      <c r="H484" s="57" t="s">
        <v>341</v>
      </c>
      <c r="I484" s="57" t="s">
        <v>357</v>
      </c>
      <c r="J484" s="57" t="s">
        <v>358</v>
      </c>
      <c r="K484" s="67" t="s">
        <v>359</v>
      </c>
      <c r="L484" s="67" t="s">
        <v>345</v>
      </c>
      <c r="M484" s="67"/>
      <c r="N484" s="67" t="s">
        <v>346</v>
      </c>
      <c r="O484" s="67"/>
      <c r="P484" s="57" t="s">
        <v>176</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IF(N484="N/A – rule","N/A – RULE",IF(TRIM(U484)="N/A",IF(AT484=0,"INVALID – N/A not permitted for this mandatory check",IF(AND(TRIM(AC484)&lt;&gt;"",TRIM(AE484)&lt;&gt;"",TRIM(T484)&lt;&gt;""),"N/A – JUSTIFIED","INVALID – N/A needs justification, PIC and verifier")),IF(OR(TRIM(U484)="Pass",TRIM(U484)="Pass after CA"),IF(NOT(ISNUMBER(AD484)),"INVALID – completion time missing",IF(TRIM(T484)="","INVALID – PIC missing",IF(TRIM(Z484)="","INVALID – evidence missing",IF(TRIM(AE484)="","INVALID – verifier missing",IF(AND(AQ484=1,TRIM(W484)=""),"INVALID – batch ID missing",IF(AND(AR484=1,OR(NOT(ISNUMBER(X484)),NOT(ISNUMBER(Y484)))),"INVALID – expected/actual qty missing",IF(IF(AND(TRIM(U484)="Pass",ISNUMBER(AF484)),IF(AF484&lt;&gt;0,"INVALID – qty variance: use Fail or Pass after CA",""),"")&amp;IF(AND(TRIM(U484)="Pass",AB484="Open"),"INVALID – corrective action still open: use Fail, then Pass after CA","")&amp;IF(AND(TRIM(U484)="Pass after CA",OR(TRIM(AA484)="",AB484&lt;&gt;"Closed")),"INVALID – corrective action not recorded/closed","")&lt;&gt;"",IF(AND(TRIM(U484)="Pass",ISNUMBER(AF484)),IF(AF484&lt;&gt;0,"INVALID – qty variance: use Fail or Pass after CA",""),"")&amp;IF(AND(TRIM(U484)="Pass",AB484="Open"),"INVALID – corrective action still open: use Fail, then Pass after CA","")&amp;IF(AND(TRIM(U484)="Pass after CA",OR(TRIM(AA484)="",AB484&lt;&gt;"Closed")),"INVALID – corrective action not recorded/closed",""),IF(AND(AS484=1,Documents!$J$19&lt;&gt;"ON FILE"),"INVALID – GLD not on file (Documents sheet)",IF(AND(AS484=2,Documents!$O$19&lt;&gt;"ON FILE"),"INVALID – menu checklist not on file (Documents sheet)",IF(AND(AS484=3,NOT(ISNUMBER(Flights!$AX$19))),"INVALID – enter carrying flight KUL departure (Flights AX)",IF(AG484&gt;AsOfUTC,"INVALID – completion time is in the future",IF(AND(ISNUMBER(S484),AG484&lt;S484),IF(H484="Physical uplift","INVALID – before uplift window (cannot confirm loading)","INVALID – before valid window"),IF(AG484&gt;Flights!$AA$19,"INVALID – completed after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f>
        <v>OPEN</v>
      </c>
      <c r="AI484" s="61" t="n">
        <f aca="false">IF(OR(AH484="N/A – RULE",AH484="N/A – JUSTIFIED"),0,1)</f>
        <v>1</v>
      </c>
      <c r="AJ484" s="61" t="n">
        <f aca="false">IF(LEFT(AH484,8)="COMPLETE",1,0)</f>
        <v>0</v>
      </c>
      <c r="AK484" s="61" t="n">
        <f aca="false">IF(AND(AI484=1,AJ484=0,AsOfUTC&gt;Q484),1,0)</f>
        <v>0</v>
      </c>
      <c r="AL484" s="61" t="n">
        <f aca="false">IF(AND(AI484=1,OR(TRIM(U484)="Fail",AB484="Open",AND(ISNUMBER(AF484),AF484&lt;&gt;0,TRIM(U484)&lt;&gt;"Pass after CA"))),1,0)</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row>
    <row r="485" customFormat="false" ht="39.75" hidden="false" customHeight="true" outlineLevel="0" collapsed="false">
      <c r="A485" s="57" t="s">
        <v>1098</v>
      </c>
      <c r="B485" s="57" t="s">
        <v>268</v>
      </c>
      <c r="C485" s="57" t="str">
        <f aca="false">Flights!$F$19</f>
        <v>MH0003</v>
      </c>
      <c r="D485" s="58" t="n">
        <f aca="false">Flights!$D$19</f>
        <v>46320</v>
      </c>
      <c r="E485" s="57" t="str">
        <f aca="false">Flights!$G$19&amp;"-"&amp;Flights!$H$19</f>
        <v>LHR-KUL</v>
      </c>
      <c r="F485" s="57" t="str">
        <f aca="false">Flights!$K$19</f>
        <v>EY</v>
      </c>
      <c r="G485" s="57" t="s">
        <v>74</v>
      </c>
      <c r="H485" s="57" t="s">
        <v>341</v>
      </c>
      <c r="I485" s="57" t="s">
        <v>361</v>
      </c>
      <c r="J485" s="57" t="s">
        <v>362</v>
      </c>
      <c r="K485" s="67" t="s">
        <v>363</v>
      </c>
      <c r="L485" s="67" t="s">
        <v>345</v>
      </c>
      <c r="M485" s="67"/>
      <c r="N485" s="67" t="s">
        <v>346</v>
      </c>
      <c r="O485" s="67"/>
      <c r="P485" s="57" t="s">
        <v>176</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IF(N485="N/A – rule","N/A – RULE",IF(TRIM(U485)="N/A",IF(AT485=0,"INVALID – N/A not permitted for this mandatory check",IF(AND(TRIM(AC485)&lt;&gt;"",TRIM(AE485)&lt;&gt;"",TRIM(T485)&lt;&gt;""),"N/A – JUSTIFIED","INVALID – N/A needs justification, PIC and verifier")),IF(OR(TRIM(U485)="Pass",TRIM(U485)="Pass after CA"),IF(NOT(ISNUMBER(AD485)),"INVALID – completion time missing",IF(TRIM(T485)="","INVALID – PIC missing",IF(TRIM(Z485)="","INVALID – evidence missing",IF(TRIM(AE485)="","INVALID – verifier missing",IF(AND(AQ485=1,TRIM(W485)=""),"INVALID – batch ID missing",IF(AND(AR485=1,OR(NOT(ISNUMBER(X485)),NOT(ISNUMBER(Y485)))),"INVALID – expected/actual qty missing",IF(IF(AND(TRIM(U485)="Pass",ISNUMBER(AF485)),IF(AF485&lt;&gt;0,"INVALID – qty variance: use Fail or Pass after CA",""),"")&amp;IF(AND(TRIM(U485)="Pass",AB485="Open"),"INVALID – corrective action still open: use Fail, then Pass after CA","")&amp;IF(AND(TRIM(U485)="Pass after CA",OR(TRIM(AA485)="",AB485&lt;&gt;"Closed")),"INVALID – corrective action not recorded/closed","")&lt;&gt;"",IF(AND(TRIM(U485)="Pass",ISNUMBER(AF485)),IF(AF485&lt;&gt;0,"INVALID – qty variance: use Fail or Pass after CA",""),"")&amp;IF(AND(TRIM(U485)="Pass",AB485="Open"),"INVALID – corrective action still open: use Fail, then Pass after CA","")&amp;IF(AND(TRIM(U485)="Pass after CA",OR(TRIM(AA485)="",AB485&lt;&gt;"Closed")),"INVALID – corrective action not recorded/closed",""),IF(AND(AS485=1,Documents!$J$19&lt;&gt;"ON FILE"),"INVALID – GLD not on file (Documents sheet)",IF(AND(AS485=2,Documents!$O$19&lt;&gt;"ON FILE"),"INVALID – menu checklist not on file (Documents sheet)",IF(AND(AS485=3,NOT(ISNUMBER(Flights!$AX$19))),"INVALID – enter carrying flight KUL departure (Flights AX)",IF(AG485&gt;AsOfUTC,"INVALID – completion time is in the future",IF(AND(ISNUMBER(S485),AG485&lt;S485),IF(H485="Physical uplift","INVALID – before uplift window (cannot confirm loading)","INVALID – before valid window"),IF(AG485&gt;Flights!$AA$19,"INVALID – completed after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f>
        <v>OPEN</v>
      </c>
      <c r="AI485" s="61" t="n">
        <f aca="false">IF(OR(AH485="N/A – RULE",AH485="N/A – JUSTIFIED"),0,1)</f>
        <v>1</v>
      </c>
      <c r="AJ485" s="61" t="n">
        <f aca="false">IF(LEFT(AH485,8)="COMPLETE",1,0)</f>
        <v>0</v>
      </c>
      <c r="AK485" s="61" t="n">
        <f aca="false">IF(AND(AI485=1,AJ485=0,AsOfUTC&gt;Q485),1,0)</f>
        <v>0</v>
      </c>
      <c r="AL485" s="61" t="n">
        <f aca="false">IF(AND(AI485=1,OR(TRIM(U485)="Fail",AB485="Open",AND(ISNUMBER(AF485),AF485&lt;&gt;0,TRIM(U485)&lt;&gt;"Pass after CA"))),1,0)</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row>
    <row r="486" customFormat="false" ht="39.75" hidden="false" customHeight="true" outlineLevel="0" collapsed="false">
      <c r="A486" s="57" t="s">
        <v>1099</v>
      </c>
      <c r="B486" s="57" t="s">
        <v>268</v>
      </c>
      <c r="C486" s="57" t="str">
        <f aca="false">Flights!$F$19</f>
        <v>MH0003</v>
      </c>
      <c r="D486" s="58" t="n">
        <f aca="false">Flights!$D$19</f>
        <v>46320</v>
      </c>
      <c r="E486" s="57" t="str">
        <f aca="false">Flights!$G$19&amp;"-"&amp;Flights!$H$19</f>
        <v>LHR-KUL</v>
      </c>
      <c r="F486" s="57" t="str">
        <f aca="false">Flights!$K$19</f>
        <v>EY</v>
      </c>
      <c r="G486" s="57" t="s">
        <v>74</v>
      </c>
      <c r="H486" s="57" t="s">
        <v>341</v>
      </c>
      <c r="I486" s="57" t="s">
        <v>361</v>
      </c>
      <c r="J486" s="57" t="s">
        <v>365</v>
      </c>
      <c r="K486" s="67" t="s">
        <v>366</v>
      </c>
      <c r="L486" s="67" t="s">
        <v>345</v>
      </c>
      <c r="M486" s="67"/>
      <c r="N486" s="67" t="s">
        <v>346</v>
      </c>
      <c r="O486" s="67"/>
      <c r="P486" s="57" t="s">
        <v>176</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IF(N486="N/A – rule","N/A – RULE",IF(TRIM(U486)="N/A",IF(AT486=0,"INVALID – N/A not permitted for this mandatory check",IF(AND(TRIM(AC486)&lt;&gt;"",TRIM(AE486)&lt;&gt;"",TRIM(T486)&lt;&gt;""),"N/A – JUSTIFIED","INVALID – N/A needs justification, PIC and verifier")),IF(OR(TRIM(U486)="Pass",TRIM(U486)="Pass after CA"),IF(NOT(ISNUMBER(AD486)),"INVALID – completion time missing",IF(TRIM(T486)="","INVALID – PIC missing",IF(TRIM(Z486)="","INVALID – evidence missing",IF(TRIM(AE486)="","INVALID – verifier missing",IF(AND(AQ486=1,TRIM(W486)=""),"INVALID – batch ID missing",IF(AND(AR486=1,OR(NOT(ISNUMBER(X486)),NOT(ISNUMBER(Y486)))),"INVALID – expected/actual qty missing",IF(IF(AND(TRIM(U486)="Pass",ISNUMBER(AF486)),IF(AF486&lt;&gt;0,"INVALID – qty variance: use Fail or Pass after CA",""),"")&amp;IF(AND(TRIM(U486)="Pass",AB486="Open"),"INVALID – corrective action still open: use Fail, then Pass after CA","")&amp;IF(AND(TRIM(U486)="Pass after CA",OR(TRIM(AA486)="",AB486&lt;&gt;"Closed")),"INVALID – corrective action not recorded/closed","")&lt;&gt;"",IF(AND(TRIM(U486)="Pass",ISNUMBER(AF486)),IF(AF486&lt;&gt;0,"INVALID – qty variance: use Fail or Pass after CA",""),"")&amp;IF(AND(TRIM(U486)="Pass",AB486="Open"),"INVALID – corrective action still open: use Fail, then Pass after CA","")&amp;IF(AND(TRIM(U486)="Pass after CA",OR(TRIM(AA486)="",AB486&lt;&gt;"Closed")),"INVALID – corrective action not recorded/closed",""),IF(AND(AS486=1,Documents!$J$19&lt;&gt;"ON FILE"),"INVALID – GLD not on file (Documents sheet)",IF(AND(AS486=2,Documents!$O$19&lt;&gt;"ON FILE"),"INVALID – menu checklist not on file (Documents sheet)",IF(AND(AS486=3,NOT(ISNUMBER(Flights!$AX$19))),"INVALID – enter carrying flight KUL departure (Flights AX)",IF(AG486&gt;AsOfUTC,"INVALID – completion time is in the future",IF(AND(ISNUMBER(S486),AG486&lt;S486),IF(H486="Physical uplift","INVALID – before uplift window (cannot confirm loading)","INVALID – before valid window"),IF(AG486&gt;Flights!$AA$19,"INVALID – completed after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f>
        <v>OPEN</v>
      </c>
      <c r="AI486" s="61" t="n">
        <f aca="false">IF(OR(AH486="N/A – RULE",AH486="N/A – JUSTIFIED"),0,1)</f>
        <v>1</v>
      </c>
      <c r="AJ486" s="61" t="n">
        <f aca="false">IF(LEFT(AH486,8)="COMPLETE",1,0)</f>
        <v>0</v>
      </c>
      <c r="AK486" s="61" t="n">
        <f aca="false">IF(AND(AI486=1,AJ486=0,AsOfUTC&gt;Q486),1,0)</f>
        <v>0</v>
      </c>
      <c r="AL486" s="61" t="n">
        <f aca="false">IF(AND(AI486=1,OR(TRIM(U486)="Fail",AB486="Open",AND(ISNUMBER(AF486),AF486&lt;&gt;0,TRIM(U486)&lt;&gt;"Pass after CA"))),1,0)</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row>
    <row r="487" customFormat="false" ht="39.75" hidden="false" customHeight="true" outlineLevel="0" collapsed="false">
      <c r="A487" s="57" t="s">
        <v>1100</v>
      </c>
      <c r="B487" s="57" t="s">
        <v>268</v>
      </c>
      <c r="C487" s="57" t="str">
        <f aca="false">Flights!$F$19</f>
        <v>MH0003</v>
      </c>
      <c r="D487" s="58" t="n">
        <f aca="false">Flights!$D$19</f>
        <v>46320</v>
      </c>
      <c r="E487" s="57" t="str">
        <f aca="false">Flights!$G$19&amp;"-"&amp;Flights!$H$19</f>
        <v>LHR-KUL</v>
      </c>
      <c r="F487" s="57" t="str">
        <f aca="false">Flights!$K$19</f>
        <v>EY</v>
      </c>
      <c r="G487" s="57" t="s">
        <v>74</v>
      </c>
      <c r="H487" s="57" t="s">
        <v>341</v>
      </c>
      <c r="I487" s="57" t="s">
        <v>368</v>
      </c>
      <c r="J487" s="57" t="s">
        <v>369</v>
      </c>
      <c r="K487" s="67" t="s">
        <v>370</v>
      </c>
      <c r="L487" s="67" t="s">
        <v>345</v>
      </c>
      <c r="M487" s="67"/>
      <c r="N487" s="67" t="s">
        <v>346</v>
      </c>
      <c r="O487" s="67"/>
      <c r="P487" s="57" t="s">
        <v>176</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IF(N487="N/A – rule","N/A – RULE",IF(TRIM(U487)="N/A",IF(AT487=0,"INVALID – N/A not permitted for this mandatory check",IF(AND(TRIM(AC487)&lt;&gt;"",TRIM(AE487)&lt;&gt;"",TRIM(T487)&lt;&gt;""),"N/A – JUSTIFIED","INVALID – N/A needs justification, PIC and verifier")),IF(OR(TRIM(U487)="Pass",TRIM(U487)="Pass after CA"),IF(NOT(ISNUMBER(AD487)),"INVALID – completion time missing",IF(TRIM(T487)="","INVALID – PIC missing",IF(TRIM(Z487)="","INVALID – evidence missing",IF(TRIM(AE487)="","INVALID – verifier missing",IF(AND(AQ487=1,TRIM(W487)=""),"INVALID – batch ID missing",IF(AND(AR487=1,OR(NOT(ISNUMBER(X487)),NOT(ISNUMBER(Y487)))),"INVALID – expected/actual qty missing",IF(IF(AND(TRIM(U487)="Pass",ISNUMBER(AF487)),IF(AF487&lt;&gt;0,"INVALID – qty variance: use Fail or Pass after CA",""),"")&amp;IF(AND(TRIM(U487)="Pass",AB487="Open"),"INVALID – corrective action still open: use Fail, then Pass after CA","")&amp;IF(AND(TRIM(U487)="Pass after CA",OR(TRIM(AA487)="",AB487&lt;&gt;"Closed")),"INVALID – corrective action not recorded/closed","")&lt;&gt;"",IF(AND(TRIM(U487)="Pass",ISNUMBER(AF487)),IF(AF487&lt;&gt;0,"INVALID – qty variance: use Fail or Pass after CA",""),"")&amp;IF(AND(TRIM(U487)="Pass",AB487="Open"),"INVALID – corrective action still open: use Fail, then Pass after CA","")&amp;IF(AND(TRIM(U487)="Pass after CA",OR(TRIM(AA487)="",AB487&lt;&gt;"Closed")),"INVALID – corrective action not recorded/closed",""),IF(AND(AS487=1,Documents!$J$19&lt;&gt;"ON FILE"),"INVALID – GLD not on file (Documents sheet)",IF(AND(AS487=2,Documents!$O$19&lt;&gt;"ON FILE"),"INVALID – menu checklist not on file (Documents sheet)",IF(AND(AS487=3,NOT(ISNUMBER(Flights!$AX$19))),"INVALID – enter carrying flight KUL departure (Flights AX)",IF(AG487&gt;AsOfUTC,"INVALID – completion time is in the future",IF(AND(ISNUMBER(S487),AG487&lt;S487),IF(H487="Physical uplift","INVALID – before uplift window (cannot confirm loading)","INVALID – before valid window"),IF(AG487&gt;Flights!$AA$19,"INVALID – completed after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f>
        <v>OPEN</v>
      </c>
      <c r="AI487" s="61" t="n">
        <f aca="false">IF(OR(AH487="N/A – RULE",AH487="N/A – JUSTIFIED"),0,1)</f>
        <v>1</v>
      </c>
      <c r="AJ487" s="61" t="n">
        <f aca="false">IF(LEFT(AH487,8)="COMPLETE",1,0)</f>
        <v>0</v>
      </c>
      <c r="AK487" s="61" t="n">
        <f aca="false">IF(AND(AI487=1,AJ487=0,AsOfUTC&gt;Q487),1,0)</f>
        <v>0</v>
      </c>
      <c r="AL487" s="61" t="n">
        <f aca="false">IF(AND(AI487=1,OR(TRIM(U487)="Fail",AB487="Open",AND(ISNUMBER(AF487),AF487&lt;&gt;0,TRIM(U487)&lt;&gt;"Pass after CA"))),1,0)</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row>
    <row r="488" customFormat="false" ht="39.75" hidden="false" customHeight="true" outlineLevel="0" collapsed="false">
      <c r="A488" s="57" t="s">
        <v>1101</v>
      </c>
      <c r="B488" s="57" t="s">
        <v>268</v>
      </c>
      <c r="C488" s="57" t="str">
        <f aca="false">Flights!$F$19</f>
        <v>MH0003</v>
      </c>
      <c r="D488" s="58" t="n">
        <f aca="false">Flights!$D$19</f>
        <v>46320</v>
      </c>
      <c r="E488" s="57" t="str">
        <f aca="false">Flights!$G$19&amp;"-"&amp;Flights!$H$19</f>
        <v>LHR-KUL</v>
      </c>
      <c r="F488" s="57" t="str">
        <f aca="false">Flights!$K$19</f>
        <v>EY</v>
      </c>
      <c r="G488" s="57" t="s">
        <v>74</v>
      </c>
      <c r="H488" s="57" t="s">
        <v>341</v>
      </c>
      <c r="I488" s="57" t="s">
        <v>368</v>
      </c>
      <c r="J488" s="57" t="s">
        <v>372</v>
      </c>
      <c r="K488" s="67" t="s">
        <v>370</v>
      </c>
      <c r="L488" s="67" t="s">
        <v>345</v>
      </c>
      <c r="M488" s="67"/>
      <c r="N488" s="67" t="s">
        <v>346</v>
      </c>
      <c r="O488" s="67"/>
      <c r="P488" s="57" t="s">
        <v>176</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IF(N488="N/A – rule","N/A – RULE",IF(TRIM(U488)="N/A",IF(AT488=0,"INVALID – N/A not permitted for this mandatory check",IF(AND(TRIM(AC488)&lt;&gt;"",TRIM(AE488)&lt;&gt;"",TRIM(T488)&lt;&gt;""),"N/A – JUSTIFIED","INVALID – N/A needs justification, PIC and verifier")),IF(OR(TRIM(U488)="Pass",TRIM(U488)="Pass after CA"),IF(NOT(ISNUMBER(AD488)),"INVALID – completion time missing",IF(TRIM(T488)="","INVALID – PIC missing",IF(TRIM(Z488)="","INVALID – evidence missing",IF(TRIM(AE488)="","INVALID – verifier missing",IF(AND(AQ488=1,TRIM(W488)=""),"INVALID – batch ID missing",IF(AND(AR488=1,OR(NOT(ISNUMBER(X488)),NOT(ISNUMBER(Y488)))),"INVALID – expected/actual qty missing",IF(IF(AND(TRIM(U488)="Pass",ISNUMBER(AF488)),IF(AF488&lt;&gt;0,"INVALID – qty variance: use Fail or Pass after CA",""),"")&amp;IF(AND(TRIM(U488)="Pass",AB488="Open"),"INVALID – corrective action still open: use Fail, then Pass after CA","")&amp;IF(AND(TRIM(U488)="Pass after CA",OR(TRIM(AA488)="",AB488&lt;&gt;"Closed")),"INVALID – corrective action not recorded/closed","")&lt;&gt;"",IF(AND(TRIM(U488)="Pass",ISNUMBER(AF488)),IF(AF488&lt;&gt;0,"INVALID – qty variance: use Fail or Pass after CA",""),"")&amp;IF(AND(TRIM(U488)="Pass",AB488="Open"),"INVALID – corrective action still open: use Fail, then Pass after CA","")&amp;IF(AND(TRIM(U488)="Pass after CA",OR(TRIM(AA488)="",AB488&lt;&gt;"Closed")),"INVALID – corrective action not recorded/closed",""),IF(AND(AS488=1,Documents!$J$19&lt;&gt;"ON FILE"),"INVALID – GLD not on file (Documents sheet)",IF(AND(AS488=2,Documents!$O$19&lt;&gt;"ON FILE"),"INVALID – menu checklist not on file (Documents sheet)",IF(AND(AS488=3,NOT(ISNUMBER(Flights!$AX$19))),"INVALID – enter carrying flight KUL departure (Flights AX)",IF(AG488&gt;AsOfUTC,"INVALID – completion time is in the future",IF(AND(ISNUMBER(S488),AG488&lt;S488),IF(H488="Physical uplift","INVALID – before uplift window (cannot confirm loading)","INVALID – before valid window"),IF(AG488&gt;Flights!$AA$19,"INVALID – completed after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f>
        <v>OPEN</v>
      </c>
      <c r="AI488" s="61" t="n">
        <f aca="false">IF(OR(AH488="N/A – RULE",AH488="N/A – JUSTIFIED"),0,1)</f>
        <v>1</v>
      </c>
      <c r="AJ488" s="61" t="n">
        <f aca="false">IF(LEFT(AH488,8)="COMPLETE",1,0)</f>
        <v>0</v>
      </c>
      <c r="AK488" s="61" t="n">
        <f aca="false">IF(AND(AI488=1,AJ488=0,AsOfUTC&gt;Q488),1,0)</f>
        <v>0</v>
      </c>
      <c r="AL488" s="61" t="n">
        <f aca="false">IF(AND(AI488=1,OR(TRIM(U488)="Fail",AB488="Open",AND(ISNUMBER(AF488),AF488&lt;&gt;0,TRIM(U488)&lt;&gt;"Pass after CA"))),1,0)</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row>
    <row r="489" customFormat="false" ht="39.75" hidden="false" customHeight="true" outlineLevel="0" collapsed="false">
      <c r="A489" s="57" t="s">
        <v>1102</v>
      </c>
      <c r="B489" s="57" t="s">
        <v>268</v>
      </c>
      <c r="C489" s="57" t="str">
        <f aca="false">Flights!$F$19</f>
        <v>MH0003</v>
      </c>
      <c r="D489" s="58" t="n">
        <f aca="false">Flights!$D$19</f>
        <v>46320</v>
      </c>
      <c r="E489" s="57" t="str">
        <f aca="false">Flights!$G$19&amp;"-"&amp;Flights!$H$19</f>
        <v>LHR-KUL</v>
      </c>
      <c r="F489" s="57" t="str">
        <f aca="false">Flights!$K$19</f>
        <v>EY</v>
      </c>
      <c r="G489" s="57" t="s">
        <v>74</v>
      </c>
      <c r="H489" s="57" t="s">
        <v>341</v>
      </c>
      <c r="I489" s="57" t="s">
        <v>374</v>
      </c>
      <c r="J489" s="57" t="s">
        <v>375</v>
      </c>
      <c r="K489" s="67" t="s">
        <v>376</v>
      </c>
      <c r="L489" s="67" t="s">
        <v>377</v>
      </c>
      <c r="M489" s="67"/>
      <c r="N489" s="67" t="s">
        <v>346</v>
      </c>
      <c r="O489" s="67"/>
      <c r="P489" s="57" t="s">
        <v>176</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IF(N489="N/A – rule","N/A – RULE",IF(TRIM(U489)="N/A",IF(AT489=0,"INVALID – N/A not permitted for this mandatory check",IF(AND(TRIM(AC489)&lt;&gt;"",TRIM(AE489)&lt;&gt;"",TRIM(T489)&lt;&gt;""),"N/A – JUSTIFIED","INVALID – N/A needs justification, PIC and verifier")),IF(OR(TRIM(U489)="Pass",TRIM(U489)="Pass after CA"),IF(NOT(ISNUMBER(AD489)),"INVALID – completion time missing",IF(TRIM(T489)="","INVALID – PIC missing",IF(TRIM(Z489)="","INVALID – evidence missing",IF(TRIM(AE489)="","INVALID – verifier missing",IF(AND(AQ489=1,TRIM(W489)=""),"INVALID – batch ID missing",IF(AND(AR489=1,OR(NOT(ISNUMBER(X489)),NOT(ISNUMBER(Y489)))),"INVALID – expected/actual qty missing",IF(IF(AND(TRIM(U489)="Pass",ISNUMBER(AF489)),IF(AF489&lt;&gt;0,"INVALID – qty variance: use Fail or Pass after CA",""),"")&amp;IF(AND(TRIM(U489)="Pass",AB489="Open"),"INVALID – corrective action still open: use Fail, then Pass after CA","")&amp;IF(AND(TRIM(U489)="Pass after CA",OR(TRIM(AA489)="",AB489&lt;&gt;"Closed")),"INVALID – corrective action not recorded/closed","")&lt;&gt;"",IF(AND(TRIM(U489)="Pass",ISNUMBER(AF489)),IF(AF489&lt;&gt;0,"INVALID – qty variance: use Fail or Pass after CA",""),"")&amp;IF(AND(TRIM(U489)="Pass",AB489="Open"),"INVALID – corrective action still open: use Fail, then Pass after CA","")&amp;IF(AND(TRIM(U489)="Pass after CA",OR(TRIM(AA489)="",AB489&lt;&gt;"Closed")),"INVALID – corrective action not recorded/closed",""),IF(AND(AS489=1,Documents!$J$19&lt;&gt;"ON FILE"),"INVALID – GLD not on file (Documents sheet)",IF(AND(AS489=2,Documents!$O$19&lt;&gt;"ON FILE"),"INVALID – menu checklist not on file (Documents sheet)",IF(AND(AS489=3,NOT(ISNUMBER(Flights!$AX$19))),"INVALID – enter carrying flight KUL departure (Flights AX)",IF(AG489&gt;AsOfUTC,"INVALID – completion time is in the future",IF(AND(ISNUMBER(S489),AG489&lt;S489),IF(H489="Physical uplift","INVALID – before uplift window (cannot confirm loading)","INVALID – before valid window"),IF(AG489&gt;Flights!$AA$19,"INVALID – completed after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f>
        <v>OPEN</v>
      </c>
      <c r="AI489" s="61" t="n">
        <f aca="false">IF(OR(AH489="N/A – RULE",AH489="N/A – JUSTIFIED"),0,1)</f>
        <v>1</v>
      </c>
      <c r="AJ489" s="61" t="n">
        <f aca="false">IF(LEFT(AH489,8)="COMPLETE",1,0)</f>
        <v>0</v>
      </c>
      <c r="AK489" s="61" t="n">
        <f aca="false">IF(AND(AI489=1,AJ489=0,AsOfUTC&gt;Q489),1,0)</f>
        <v>0</v>
      </c>
      <c r="AL489" s="61" t="n">
        <f aca="false">IF(AND(AI489=1,OR(TRIM(U489)="Fail",AB489="Open",AND(ISNUMBER(AF489),AF489&lt;&gt;0,TRIM(U489)&lt;&gt;"Pass after CA"))),1,0)</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row>
    <row r="490" customFormat="false" ht="39.75" hidden="false" customHeight="true" outlineLevel="0" collapsed="false">
      <c r="A490" s="57" t="s">
        <v>1103</v>
      </c>
      <c r="B490" s="57" t="s">
        <v>268</v>
      </c>
      <c r="C490" s="57" t="str">
        <f aca="false">Flights!$F$19</f>
        <v>MH0003</v>
      </c>
      <c r="D490" s="58" t="n">
        <f aca="false">Flights!$D$19</f>
        <v>46320</v>
      </c>
      <c r="E490" s="57" t="str">
        <f aca="false">Flights!$G$19&amp;"-"&amp;Flights!$H$19</f>
        <v>LHR-KUL</v>
      </c>
      <c r="F490" s="57" t="str">
        <f aca="false">Flights!$K$19</f>
        <v>EY</v>
      </c>
      <c r="G490" s="57" t="s">
        <v>76</v>
      </c>
      <c r="H490" s="57" t="s">
        <v>341</v>
      </c>
      <c r="I490" s="57" t="s">
        <v>342</v>
      </c>
      <c r="J490" s="57" t="s">
        <v>379</v>
      </c>
      <c r="K490" s="67" t="s">
        <v>380</v>
      </c>
      <c r="L490" s="67" t="s">
        <v>381</v>
      </c>
      <c r="M490" s="67"/>
      <c r="N490" s="67" t="s">
        <v>346</v>
      </c>
      <c r="O490" s="67"/>
      <c r="P490" s="57" t="s">
        <v>176</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IF(N490="N/A – rule","N/A – RULE",IF(TRIM(U490)="N/A",IF(AT490=0,"INVALID – N/A not permitted for this mandatory check",IF(AND(TRIM(AC490)&lt;&gt;"",TRIM(AE490)&lt;&gt;"",TRIM(T490)&lt;&gt;""),"N/A – JUSTIFIED","INVALID – N/A needs justification, PIC and verifier")),IF(OR(TRIM(U490)="Pass",TRIM(U490)="Pass after CA"),IF(NOT(ISNUMBER(AD490)),"INVALID – completion time missing",IF(TRIM(T490)="","INVALID – PIC missing",IF(TRIM(Z490)="","INVALID – evidence missing",IF(TRIM(AE490)="","INVALID – verifier missing",IF(AND(AQ490=1,TRIM(W490)=""),"INVALID – batch ID missing",IF(AND(AR490=1,OR(NOT(ISNUMBER(X490)),NOT(ISNUMBER(Y490)))),"INVALID – expected/actual qty missing",IF(IF(AND(TRIM(U490)="Pass",ISNUMBER(AF490)),IF(AF490&lt;&gt;0,"INVALID – qty variance: use Fail or Pass after CA",""),"")&amp;IF(AND(TRIM(U490)="Pass",AB490="Open"),"INVALID – corrective action still open: use Fail, then Pass after CA","")&amp;IF(AND(TRIM(U490)="Pass after CA",OR(TRIM(AA490)="",AB490&lt;&gt;"Closed")),"INVALID – corrective action not recorded/closed","")&lt;&gt;"",IF(AND(TRIM(U490)="Pass",ISNUMBER(AF490)),IF(AF490&lt;&gt;0,"INVALID – qty variance: use Fail or Pass after CA",""),"")&amp;IF(AND(TRIM(U490)="Pass",AB490="Open"),"INVALID – corrective action still open: use Fail, then Pass after CA","")&amp;IF(AND(TRIM(U490)="Pass after CA",OR(TRIM(AA490)="",AB490&lt;&gt;"Closed")),"INVALID – corrective action not recorded/closed",""),IF(AND(AS490=1,Documents!$J$19&lt;&gt;"ON FILE"),"INVALID – GLD not on file (Documents sheet)",IF(AND(AS490=2,Documents!$O$19&lt;&gt;"ON FILE"),"INVALID – menu checklist not on file (Documents sheet)",IF(AND(AS490=3,NOT(ISNUMBER(Flights!$AX$19))),"INVALID – enter carrying flight KUL departure (Flights AX)",IF(AG490&gt;AsOfUTC,"INVALID – completion time is in the future",IF(AND(ISNUMBER(S490),AG490&lt;S490),IF(H490="Physical uplift","INVALID – before uplift window (cannot confirm loading)","INVALID – before valid window"),IF(AG490&gt;Flights!$AA$19,"INVALID – completed after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f>
        <v>OPEN</v>
      </c>
      <c r="AI490" s="61" t="n">
        <f aca="false">IF(OR(AH490="N/A – RULE",AH490="N/A – JUSTIFIED"),0,1)</f>
        <v>1</v>
      </c>
      <c r="AJ490" s="61" t="n">
        <f aca="false">IF(LEFT(AH490,8)="COMPLETE",1,0)</f>
        <v>0</v>
      </c>
      <c r="AK490" s="61" t="n">
        <f aca="false">IF(AND(AI490=1,AJ490=0,AsOfUTC&gt;Q490),1,0)</f>
        <v>0</v>
      </c>
      <c r="AL490" s="61" t="n">
        <f aca="false">IF(AND(AI490=1,OR(TRIM(U490)="Fail",AB490="Open",AND(ISNUMBER(AF490),AF490&lt;&gt;0,TRIM(U490)&lt;&gt;"Pass after CA"))),1,0)</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row>
    <row r="491" customFormat="false" ht="39.75" hidden="false" customHeight="true" outlineLevel="0" collapsed="false">
      <c r="A491" s="57" t="s">
        <v>1104</v>
      </c>
      <c r="B491" s="57" t="s">
        <v>268</v>
      </c>
      <c r="C491" s="57" t="str">
        <f aca="false">Flights!$F$19</f>
        <v>MH0003</v>
      </c>
      <c r="D491" s="58" t="n">
        <f aca="false">Flights!$D$19</f>
        <v>46320</v>
      </c>
      <c r="E491" s="57" t="str">
        <f aca="false">Flights!$G$19&amp;"-"&amp;Flights!$H$19</f>
        <v>LHR-KUL</v>
      </c>
      <c r="F491" s="57" t="str">
        <f aca="false">Flights!$K$19</f>
        <v>EY</v>
      </c>
      <c r="G491" s="57" t="s">
        <v>383</v>
      </c>
      <c r="H491" s="57" t="s">
        <v>341</v>
      </c>
      <c r="I491" s="57" t="s">
        <v>342</v>
      </c>
      <c r="J491" s="57" t="s">
        <v>384</v>
      </c>
      <c r="K491" s="67"/>
      <c r="L491" s="67" t="s">
        <v>385</v>
      </c>
      <c r="M491" s="67"/>
      <c r="N491" s="67" t="s">
        <v>346</v>
      </c>
      <c r="O491" s="67" t="s">
        <v>386</v>
      </c>
      <c r="P491" s="57" t="s">
        <v>176</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IF(N491="N/A – rule","N/A – RULE",IF(TRIM(U491)="N/A",IF(AT491=0,"INVALID – N/A not permitted for this mandatory check",IF(AND(TRIM(AC491)&lt;&gt;"",TRIM(AE491)&lt;&gt;"",TRIM(T491)&lt;&gt;""),"N/A – JUSTIFIED","INVALID – N/A needs justification, PIC and verifier")),IF(OR(TRIM(U491)="Pass",TRIM(U491)="Pass after CA"),IF(NOT(ISNUMBER(AD491)),"INVALID – completion time missing",IF(TRIM(T491)="","INVALID – PIC missing",IF(TRIM(Z491)="","INVALID – evidence missing",IF(TRIM(AE491)="","INVALID – verifier missing",IF(AND(AQ491=1,TRIM(W491)=""),"INVALID – batch ID missing",IF(AND(AR491=1,OR(NOT(ISNUMBER(X491)),NOT(ISNUMBER(Y491)))),"INVALID – expected/actual qty missing",IF(IF(AND(TRIM(U491)="Pass",ISNUMBER(AF491)),IF(AF491&lt;&gt;0,"INVALID – qty variance: use Fail or Pass after CA",""),"")&amp;IF(AND(TRIM(U491)="Pass",AB491="Open"),"INVALID – corrective action still open: use Fail, then Pass after CA","")&amp;IF(AND(TRIM(U491)="Pass after CA",OR(TRIM(AA491)="",AB491&lt;&gt;"Closed")),"INVALID – corrective action not recorded/closed","")&lt;&gt;"",IF(AND(TRIM(U491)="Pass",ISNUMBER(AF491)),IF(AF491&lt;&gt;0,"INVALID – qty variance: use Fail or Pass after CA",""),"")&amp;IF(AND(TRIM(U491)="Pass",AB491="Open"),"INVALID – corrective action still open: use Fail, then Pass after CA","")&amp;IF(AND(TRIM(U491)="Pass after CA",OR(TRIM(AA491)="",AB491&lt;&gt;"Closed")),"INVALID – corrective action not recorded/closed",""),IF(AND(AS491=1,Documents!$J$19&lt;&gt;"ON FILE"),"INVALID – GLD not on file (Documents sheet)",IF(AND(AS491=2,Documents!$O$19&lt;&gt;"ON FILE"),"INVALID – menu checklist not on file (Documents sheet)",IF(AND(AS491=3,NOT(ISNUMBER(Flights!$AX$19))),"INVALID – enter carrying flight KUL departure (Flights AX)",IF(AG491&gt;AsOfUTC,"INVALID – completion time is in the future",IF(AND(ISNUMBER(S491),AG491&lt;S491),IF(H491="Physical uplift","INVALID – before uplift window (cannot confirm loading)","INVALID – before valid window"),IF(AG491&gt;Flights!$AA$19,"INVALID – completed after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f>
        <v>OPEN</v>
      </c>
      <c r="AI491" s="61" t="n">
        <f aca="false">IF(OR(AH491="N/A – RULE",AH491="N/A – JUSTIFIED"),0,1)</f>
        <v>1</v>
      </c>
      <c r="AJ491" s="61" t="n">
        <f aca="false">IF(LEFT(AH491,8)="COMPLETE",1,0)</f>
        <v>0</v>
      </c>
      <c r="AK491" s="61" t="n">
        <f aca="false">IF(AND(AI491=1,AJ491=0,AsOfUTC&gt;Q491),1,0)</f>
        <v>0</v>
      </c>
      <c r="AL491" s="61" t="n">
        <f aca="false">IF(AND(AI491=1,OR(TRIM(U491)="Fail",AB491="Open",AND(ISNUMBER(AF491),AF491&lt;&gt;0,TRIM(U491)&lt;&gt;"Pass after CA"))),1,0)</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row>
    <row r="492" customFormat="false" ht="39.75" hidden="false" customHeight="true" outlineLevel="0" collapsed="false">
      <c r="A492" s="57" t="s">
        <v>1105</v>
      </c>
      <c r="B492" s="57" t="s">
        <v>268</v>
      </c>
      <c r="C492" s="57" t="str">
        <f aca="false">Flights!$F$19</f>
        <v>MH0003</v>
      </c>
      <c r="D492" s="58" t="n">
        <f aca="false">Flights!$D$19</f>
        <v>46320</v>
      </c>
      <c r="E492" s="57" t="str">
        <f aca="false">Flights!$G$19&amp;"-"&amp;Flights!$H$19</f>
        <v>LHR-KUL</v>
      </c>
      <c r="F492" s="57" t="str">
        <f aca="false">Flights!$K$19</f>
        <v>EY</v>
      </c>
      <c r="G492" s="57" t="s">
        <v>383</v>
      </c>
      <c r="H492" s="57" t="s">
        <v>341</v>
      </c>
      <c r="I492" s="57" t="s">
        <v>342</v>
      </c>
      <c r="J492" s="57" t="s">
        <v>388</v>
      </c>
      <c r="K492" s="67" t="s">
        <v>389</v>
      </c>
      <c r="L492" s="67" t="s">
        <v>385</v>
      </c>
      <c r="M492" s="67"/>
      <c r="N492" s="67" t="s">
        <v>346</v>
      </c>
      <c r="O492" s="67" t="s">
        <v>386</v>
      </c>
      <c r="P492" s="57" t="s">
        <v>176</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IF(N492="N/A – rule","N/A – RULE",IF(TRIM(U492)="N/A",IF(AT492=0,"INVALID – N/A not permitted for this mandatory check",IF(AND(TRIM(AC492)&lt;&gt;"",TRIM(AE492)&lt;&gt;"",TRIM(T492)&lt;&gt;""),"N/A – JUSTIFIED","INVALID – N/A needs justification, PIC and verifier")),IF(OR(TRIM(U492)="Pass",TRIM(U492)="Pass after CA"),IF(NOT(ISNUMBER(AD492)),"INVALID – completion time missing",IF(TRIM(T492)="","INVALID – PIC missing",IF(TRIM(Z492)="","INVALID – evidence missing",IF(TRIM(AE492)="","INVALID – verifier missing",IF(AND(AQ492=1,TRIM(W492)=""),"INVALID – batch ID missing",IF(AND(AR492=1,OR(NOT(ISNUMBER(X492)),NOT(ISNUMBER(Y492)))),"INVALID – expected/actual qty missing",IF(IF(AND(TRIM(U492)="Pass",ISNUMBER(AF492)),IF(AF492&lt;&gt;0,"INVALID – qty variance: use Fail or Pass after CA",""),"")&amp;IF(AND(TRIM(U492)="Pass",AB492="Open"),"INVALID – corrective action still open: use Fail, then Pass after CA","")&amp;IF(AND(TRIM(U492)="Pass after CA",OR(TRIM(AA492)="",AB492&lt;&gt;"Closed")),"INVALID – corrective action not recorded/closed","")&lt;&gt;"",IF(AND(TRIM(U492)="Pass",ISNUMBER(AF492)),IF(AF492&lt;&gt;0,"INVALID – qty variance: use Fail or Pass after CA",""),"")&amp;IF(AND(TRIM(U492)="Pass",AB492="Open"),"INVALID – corrective action still open: use Fail, then Pass after CA","")&amp;IF(AND(TRIM(U492)="Pass after CA",OR(TRIM(AA492)="",AB492&lt;&gt;"Closed")),"INVALID – corrective action not recorded/closed",""),IF(AND(AS492=1,Documents!$J$19&lt;&gt;"ON FILE"),"INVALID – GLD not on file (Documents sheet)",IF(AND(AS492=2,Documents!$O$19&lt;&gt;"ON FILE"),"INVALID – menu checklist not on file (Documents sheet)",IF(AND(AS492=3,NOT(ISNUMBER(Flights!$AX$19))),"INVALID – enter carrying flight KUL departure (Flights AX)",IF(AG492&gt;AsOfUTC,"INVALID – completion time is in the future",IF(AND(ISNUMBER(S492),AG492&lt;S492),IF(H492="Physical uplift","INVALID – before uplift window (cannot confirm loading)","INVALID – before valid window"),IF(AG492&gt;Flights!$AA$19,"INVALID – completed after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f>
        <v>OPEN</v>
      </c>
      <c r="AI492" s="61" t="n">
        <f aca="false">IF(OR(AH492="N/A – RULE",AH492="N/A – JUSTIFIED"),0,1)</f>
        <v>1</v>
      </c>
      <c r="AJ492" s="61" t="n">
        <f aca="false">IF(LEFT(AH492,8)="COMPLETE",1,0)</f>
        <v>0</v>
      </c>
      <c r="AK492" s="61" t="n">
        <f aca="false">IF(AND(AI492=1,AJ492=0,AsOfUTC&gt;Q492),1,0)</f>
        <v>0</v>
      </c>
      <c r="AL492" s="61" t="n">
        <f aca="false">IF(AND(AI492=1,OR(TRIM(U492)="Fail",AB492="Open",AND(ISNUMBER(AF492),AF492&lt;&gt;0,TRIM(U492)&lt;&gt;"Pass after CA"))),1,0)</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row>
    <row r="493" customFormat="false" ht="39.75" hidden="false" customHeight="true" outlineLevel="0" collapsed="false">
      <c r="A493" s="57" t="s">
        <v>1106</v>
      </c>
      <c r="B493" s="57" t="s">
        <v>268</v>
      </c>
      <c r="C493" s="57" t="str">
        <f aca="false">Flights!$F$19</f>
        <v>MH0003</v>
      </c>
      <c r="D493" s="58" t="n">
        <f aca="false">Flights!$D$19</f>
        <v>46320</v>
      </c>
      <c r="E493" s="57" t="str">
        <f aca="false">Flights!$G$19&amp;"-"&amp;Flights!$H$19</f>
        <v>LHR-KUL</v>
      </c>
      <c r="F493" s="57" t="str">
        <f aca="false">Flights!$K$19</f>
        <v>EY</v>
      </c>
      <c r="G493" s="57" t="s">
        <v>383</v>
      </c>
      <c r="H493" s="57" t="s">
        <v>341</v>
      </c>
      <c r="I493" s="57" t="s">
        <v>391</v>
      </c>
      <c r="J493" s="57" t="s">
        <v>392</v>
      </c>
      <c r="K493" s="67"/>
      <c r="L493" s="67" t="s">
        <v>385</v>
      </c>
      <c r="M493" s="67"/>
      <c r="N493" s="67" t="s">
        <v>346</v>
      </c>
      <c r="O493" s="67" t="s">
        <v>386</v>
      </c>
      <c r="P493" s="57" t="s">
        <v>176</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IF(N493="N/A – rule","N/A – RULE",IF(TRIM(U493)="N/A",IF(AT493=0,"INVALID – N/A not permitted for this mandatory check",IF(AND(TRIM(AC493)&lt;&gt;"",TRIM(AE493)&lt;&gt;"",TRIM(T493)&lt;&gt;""),"N/A – JUSTIFIED","INVALID – N/A needs justification, PIC and verifier")),IF(OR(TRIM(U493)="Pass",TRIM(U493)="Pass after CA"),IF(NOT(ISNUMBER(AD493)),"INVALID – completion time missing",IF(TRIM(T493)="","INVALID – PIC missing",IF(TRIM(Z493)="","INVALID – evidence missing",IF(TRIM(AE493)="","INVALID – verifier missing",IF(AND(AQ493=1,TRIM(W493)=""),"INVALID – batch ID missing",IF(AND(AR493=1,OR(NOT(ISNUMBER(X493)),NOT(ISNUMBER(Y493)))),"INVALID – expected/actual qty missing",IF(IF(AND(TRIM(U493)="Pass",ISNUMBER(AF493)),IF(AF493&lt;&gt;0,"INVALID – qty variance: use Fail or Pass after CA",""),"")&amp;IF(AND(TRIM(U493)="Pass",AB493="Open"),"INVALID – corrective action still open: use Fail, then Pass after CA","")&amp;IF(AND(TRIM(U493)="Pass after CA",OR(TRIM(AA493)="",AB493&lt;&gt;"Closed")),"INVALID – corrective action not recorded/closed","")&lt;&gt;"",IF(AND(TRIM(U493)="Pass",ISNUMBER(AF493)),IF(AF493&lt;&gt;0,"INVALID – qty variance: use Fail or Pass after CA",""),"")&amp;IF(AND(TRIM(U493)="Pass",AB493="Open"),"INVALID – corrective action still open: use Fail, then Pass after CA","")&amp;IF(AND(TRIM(U493)="Pass after CA",OR(TRIM(AA493)="",AB493&lt;&gt;"Closed")),"INVALID – corrective action not recorded/closed",""),IF(AND(AS493=1,Documents!$J$19&lt;&gt;"ON FILE"),"INVALID – GLD not on file (Documents sheet)",IF(AND(AS493=2,Documents!$O$19&lt;&gt;"ON FILE"),"INVALID – menu checklist not on file (Documents sheet)",IF(AND(AS493=3,NOT(ISNUMBER(Flights!$AX$19))),"INVALID – enter carrying flight KUL departure (Flights AX)",IF(AG493&gt;AsOfUTC,"INVALID – completion time is in the future",IF(AND(ISNUMBER(S493),AG493&lt;S493),IF(H493="Physical uplift","INVALID – before uplift window (cannot confirm loading)","INVALID – before valid window"),IF(AG493&gt;Flights!$AA$19,"INVALID – completed after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f>
        <v>OPEN</v>
      </c>
      <c r="AI493" s="61" t="n">
        <f aca="false">IF(OR(AH493="N/A – RULE",AH493="N/A – JUSTIFIED"),0,1)</f>
        <v>1</v>
      </c>
      <c r="AJ493" s="61" t="n">
        <f aca="false">IF(LEFT(AH493,8)="COMPLETE",1,0)</f>
        <v>0</v>
      </c>
      <c r="AK493" s="61" t="n">
        <f aca="false">IF(AND(AI493=1,AJ493=0,AsOfUTC&gt;Q493),1,0)</f>
        <v>0</v>
      </c>
      <c r="AL493" s="61" t="n">
        <f aca="false">IF(AND(AI493=1,OR(TRIM(U493)="Fail",AB493="Open",AND(ISNUMBER(AF493),AF493&lt;&gt;0,TRIM(U493)&lt;&gt;"Pass after CA"))),1,0)</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row>
    <row r="494" customFormat="false" ht="39.75" hidden="false" customHeight="true" outlineLevel="0" collapsed="false">
      <c r="A494" s="57" t="s">
        <v>1107</v>
      </c>
      <c r="B494" s="57" t="s">
        <v>268</v>
      </c>
      <c r="C494" s="57" t="str">
        <f aca="false">Flights!$F$19</f>
        <v>MH0003</v>
      </c>
      <c r="D494" s="58" t="n">
        <f aca="false">Flights!$D$19</f>
        <v>46320</v>
      </c>
      <c r="E494" s="57" t="str">
        <f aca="false">Flights!$G$19&amp;"-"&amp;Flights!$H$19</f>
        <v>LHR-KUL</v>
      </c>
      <c r="F494" s="57" t="str">
        <f aca="false">Flights!$K$19</f>
        <v>EY</v>
      </c>
      <c r="G494" s="57" t="s">
        <v>383</v>
      </c>
      <c r="H494" s="57" t="s">
        <v>341</v>
      </c>
      <c r="I494" s="57" t="s">
        <v>391</v>
      </c>
      <c r="J494" s="57" t="s">
        <v>394</v>
      </c>
      <c r="K494" s="67"/>
      <c r="L494" s="67" t="s">
        <v>385</v>
      </c>
      <c r="M494" s="67"/>
      <c r="N494" s="67" t="s">
        <v>346</v>
      </c>
      <c r="O494" s="67" t="s">
        <v>386</v>
      </c>
      <c r="P494" s="57" t="s">
        <v>176</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IF(N494="N/A – rule","N/A – RULE",IF(TRIM(U494)="N/A",IF(AT494=0,"INVALID – N/A not permitted for this mandatory check",IF(AND(TRIM(AC494)&lt;&gt;"",TRIM(AE494)&lt;&gt;"",TRIM(T494)&lt;&gt;""),"N/A – JUSTIFIED","INVALID – N/A needs justification, PIC and verifier")),IF(OR(TRIM(U494)="Pass",TRIM(U494)="Pass after CA"),IF(NOT(ISNUMBER(AD494)),"INVALID – completion time missing",IF(TRIM(T494)="","INVALID – PIC missing",IF(TRIM(Z494)="","INVALID – evidence missing",IF(TRIM(AE494)="","INVALID – verifier missing",IF(AND(AQ494=1,TRIM(W494)=""),"INVALID – batch ID missing",IF(AND(AR494=1,OR(NOT(ISNUMBER(X494)),NOT(ISNUMBER(Y494)))),"INVALID – expected/actual qty missing",IF(IF(AND(TRIM(U494)="Pass",ISNUMBER(AF494)),IF(AF494&lt;&gt;0,"INVALID – qty variance: use Fail or Pass after CA",""),"")&amp;IF(AND(TRIM(U494)="Pass",AB494="Open"),"INVALID – corrective action still open: use Fail, then Pass after CA","")&amp;IF(AND(TRIM(U494)="Pass after CA",OR(TRIM(AA494)="",AB494&lt;&gt;"Closed")),"INVALID – corrective action not recorded/closed","")&lt;&gt;"",IF(AND(TRIM(U494)="Pass",ISNUMBER(AF494)),IF(AF494&lt;&gt;0,"INVALID – qty variance: use Fail or Pass after CA",""),"")&amp;IF(AND(TRIM(U494)="Pass",AB494="Open"),"INVALID – corrective action still open: use Fail, then Pass after CA","")&amp;IF(AND(TRIM(U494)="Pass after CA",OR(TRIM(AA494)="",AB494&lt;&gt;"Closed")),"INVALID – corrective action not recorded/closed",""),IF(AND(AS494=1,Documents!$J$19&lt;&gt;"ON FILE"),"INVALID – GLD not on file (Documents sheet)",IF(AND(AS494=2,Documents!$O$19&lt;&gt;"ON FILE"),"INVALID – menu checklist not on file (Documents sheet)",IF(AND(AS494=3,NOT(ISNUMBER(Flights!$AX$19))),"INVALID – enter carrying flight KUL departure (Flights AX)",IF(AG494&gt;AsOfUTC,"INVALID – completion time is in the future",IF(AND(ISNUMBER(S494),AG494&lt;S494),IF(H494="Physical uplift","INVALID – before uplift window (cannot confirm loading)","INVALID – before valid window"),IF(AG494&gt;Flights!$AA$19,"INVALID – completed after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f>
        <v>OPEN</v>
      </c>
      <c r="AI494" s="61" t="n">
        <f aca="false">IF(OR(AH494="N/A – RULE",AH494="N/A – JUSTIFIED"),0,1)</f>
        <v>1</v>
      </c>
      <c r="AJ494" s="61" t="n">
        <f aca="false">IF(LEFT(AH494,8)="COMPLETE",1,0)</f>
        <v>0</v>
      </c>
      <c r="AK494" s="61" t="n">
        <f aca="false">IF(AND(AI494=1,AJ494=0,AsOfUTC&gt;Q494),1,0)</f>
        <v>0</v>
      </c>
      <c r="AL494" s="61" t="n">
        <f aca="false">IF(AND(AI494=1,OR(TRIM(U494)="Fail",AB494="Open",AND(ISNUMBER(AF494),AF494&lt;&gt;0,TRIM(U494)&lt;&gt;"Pass after CA"))),1,0)</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row>
    <row r="495" customFormat="false" ht="39.75" hidden="false" customHeight="true" outlineLevel="0" collapsed="false">
      <c r="A495" s="57" t="s">
        <v>1108</v>
      </c>
      <c r="B495" s="57" t="s">
        <v>268</v>
      </c>
      <c r="C495" s="57" t="str">
        <f aca="false">Flights!$F$19</f>
        <v>MH0003</v>
      </c>
      <c r="D495" s="58" t="n">
        <f aca="false">Flights!$D$19</f>
        <v>46320</v>
      </c>
      <c r="E495" s="57" t="str">
        <f aca="false">Flights!$G$19&amp;"-"&amp;Flights!$H$19</f>
        <v>LHR-KUL</v>
      </c>
      <c r="F495" s="57" t="str">
        <f aca="false">Flights!$K$19</f>
        <v>EY</v>
      </c>
      <c r="G495" s="57" t="s">
        <v>383</v>
      </c>
      <c r="H495" s="57" t="s">
        <v>341</v>
      </c>
      <c r="I495" s="57" t="s">
        <v>391</v>
      </c>
      <c r="J495" s="57" t="s">
        <v>396</v>
      </c>
      <c r="K495" s="67"/>
      <c r="L495" s="67" t="s">
        <v>385</v>
      </c>
      <c r="M495" s="67"/>
      <c r="N495" s="67" t="s">
        <v>346</v>
      </c>
      <c r="O495" s="67" t="s">
        <v>386</v>
      </c>
      <c r="P495" s="57" t="s">
        <v>176</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IF(N495="N/A – rule","N/A – RULE",IF(TRIM(U495)="N/A",IF(AT495=0,"INVALID – N/A not permitted for this mandatory check",IF(AND(TRIM(AC495)&lt;&gt;"",TRIM(AE495)&lt;&gt;"",TRIM(T495)&lt;&gt;""),"N/A – JUSTIFIED","INVALID – N/A needs justification, PIC and verifier")),IF(OR(TRIM(U495)="Pass",TRIM(U495)="Pass after CA"),IF(NOT(ISNUMBER(AD495)),"INVALID – completion time missing",IF(TRIM(T495)="","INVALID – PIC missing",IF(TRIM(Z495)="","INVALID – evidence missing",IF(TRIM(AE495)="","INVALID – verifier missing",IF(AND(AQ495=1,TRIM(W495)=""),"INVALID – batch ID missing",IF(AND(AR495=1,OR(NOT(ISNUMBER(X495)),NOT(ISNUMBER(Y495)))),"INVALID – expected/actual qty missing",IF(IF(AND(TRIM(U495)="Pass",ISNUMBER(AF495)),IF(AF495&lt;&gt;0,"INVALID – qty variance: use Fail or Pass after CA",""),"")&amp;IF(AND(TRIM(U495)="Pass",AB495="Open"),"INVALID – corrective action still open: use Fail, then Pass after CA","")&amp;IF(AND(TRIM(U495)="Pass after CA",OR(TRIM(AA495)="",AB495&lt;&gt;"Closed")),"INVALID – corrective action not recorded/closed","")&lt;&gt;"",IF(AND(TRIM(U495)="Pass",ISNUMBER(AF495)),IF(AF495&lt;&gt;0,"INVALID – qty variance: use Fail or Pass after CA",""),"")&amp;IF(AND(TRIM(U495)="Pass",AB495="Open"),"INVALID – corrective action still open: use Fail, then Pass after CA","")&amp;IF(AND(TRIM(U495)="Pass after CA",OR(TRIM(AA495)="",AB495&lt;&gt;"Closed")),"INVALID – corrective action not recorded/closed",""),IF(AND(AS495=1,Documents!$J$19&lt;&gt;"ON FILE"),"INVALID – GLD not on file (Documents sheet)",IF(AND(AS495=2,Documents!$O$19&lt;&gt;"ON FILE"),"INVALID – menu checklist not on file (Documents sheet)",IF(AND(AS495=3,NOT(ISNUMBER(Flights!$AX$19))),"INVALID – enter carrying flight KUL departure (Flights AX)",IF(AG495&gt;AsOfUTC,"INVALID – completion time is in the future",IF(AND(ISNUMBER(S495),AG495&lt;S495),IF(H495="Physical uplift","INVALID – before uplift window (cannot confirm loading)","INVALID – before valid window"),IF(AG495&gt;Flights!$AA$19,"INVALID – completed after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f>
        <v>OPEN</v>
      </c>
      <c r="AI495" s="61" t="n">
        <f aca="false">IF(OR(AH495="N/A – RULE",AH495="N/A – JUSTIFIED"),0,1)</f>
        <v>1</v>
      </c>
      <c r="AJ495" s="61" t="n">
        <f aca="false">IF(LEFT(AH495,8)="COMPLETE",1,0)</f>
        <v>0</v>
      </c>
      <c r="AK495" s="61" t="n">
        <f aca="false">IF(AND(AI495=1,AJ495=0,AsOfUTC&gt;Q495),1,0)</f>
        <v>0</v>
      </c>
      <c r="AL495" s="61" t="n">
        <f aca="false">IF(AND(AI495=1,OR(TRIM(U495)="Fail",AB495="Open",AND(ISNUMBER(AF495),AF495&lt;&gt;0,TRIM(U495)&lt;&gt;"Pass after CA"))),1,0)</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row>
    <row r="496" customFormat="false" ht="141" hidden="false" customHeight="true" outlineLevel="0" collapsed="false">
      <c r="A496" s="57" t="s">
        <v>1109</v>
      </c>
      <c r="B496" s="57" t="s">
        <v>268</v>
      </c>
      <c r="C496" s="57" t="str">
        <f aca="false">Flights!$F$19</f>
        <v>MH0003</v>
      </c>
      <c r="D496" s="58" t="n">
        <f aca="false">Flights!$D$19</f>
        <v>46320</v>
      </c>
      <c r="E496" s="57" t="str">
        <f aca="false">Flights!$G$19&amp;"-"&amp;Flights!$H$19</f>
        <v>LHR-KUL</v>
      </c>
      <c r="F496" s="57" t="str">
        <f aca="false">Flights!$K$19</f>
        <v>EY</v>
      </c>
      <c r="G496" s="57" t="s">
        <v>383</v>
      </c>
      <c r="H496" s="57" t="s">
        <v>341</v>
      </c>
      <c r="I496" s="57" t="s">
        <v>391</v>
      </c>
      <c r="J496" s="57" t="s">
        <v>398</v>
      </c>
      <c r="K496" s="67" t="s">
        <v>399</v>
      </c>
      <c r="L496" s="67" t="s">
        <v>385</v>
      </c>
      <c r="M496" s="67"/>
      <c r="N496" s="67" t="s">
        <v>346</v>
      </c>
      <c r="O496" s="67" t="s">
        <v>386</v>
      </c>
      <c r="P496" s="57" t="s">
        <v>176</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IF(N496="N/A – rule","N/A – RULE",IF(TRIM(U496)="N/A",IF(AT496=0,"INVALID – N/A not permitted for this mandatory check",IF(AND(TRIM(AC496)&lt;&gt;"",TRIM(AE496)&lt;&gt;"",TRIM(T496)&lt;&gt;""),"N/A – JUSTIFIED","INVALID – N/A needs justification, PIC and verifier")),IF(OR(TRIM(U496)="Pass",TRIM(U496)="Pass after CA"),IF(NOT(ISNUMBER(AD496)),"INVALID – completion time missing",IF(TRIM(T496)="","INVALID – PIC missing",IF(TRIM(Z496)="","INVALID – evidence missing",IF(TRIM(AE496)="","INVALID – verifier missing",IF(AND(AQ496=1,TRIM(W496)=""),"INVALID – batch ID missing",IF(AND(AR496=1,OR(NOT(ISNUMBER(X496)),NOT(ISNUMBER(Y496)))),"INVALID – expected/actual qty missing",IF(IF(AND(TRIM(U496)="Pass",ISNUMBER(AF496)),IF(AF496&lt;&gt;0,"INVALID – qty variance: use Fail or Pass after CA",""),"")&amp;IF(AND(TRIM(U496)="Pass",AB496="Open"),"INVALID – corrective action still open: use Fail, then Pass after CA","")&amp;IF(AND(TRIM(U496)="Pass after CA",OR(TRIM(AA496)="",AB496&lt;&gt;"Closed")),"INVALID – corrective action not recorded/closed","")&lt;&gt;"",IF(AND(TRIM(U496)="Pass",ISNUMBER(AF496)),IF(AF496&lt;&gt;0,"INVALID – qty variance: use Fail or Pass after CA",""),"")&amp;IF(AND(TRIM(U496)="Pass",AB496="Open"),"INVALID – corrective action still open: use Fail, then Pass after CA","")&amp;IF(AND(TRIM(U496)="Pass after CA",OR(TRIM(AA496)="",AB496&lt;&gt;"Closed")),"INVALID – corrective action not recorded/closed",""),IF(AND(AS496=1,Documents!$J$19&lt;&gt;"ON FILE"),"INVALID – GLD not on file (Documents sheet)",IF(AND(AS496=2,Documents!$O$19&lt;&gt;"ON FILE"),"INVALID – menu checklist not on file (Documents sheet)",IF(AND(AS496=3,NOT(ISNUMBER(Flights!$AX$19))),"INVALID – enter carrying flight KUL departure (Flights AX)",IF(AG496&gt;AsOfUTC,"INVALID – completion time is in the future",IF(AND(ISNUMBER(S496),AG496&lt;S496),IF(H496="Physical uplift","INVALID – before uplift window (cannot confirm loading)","INVALID – before valid window"),IF(AG496&gt;Flights!$AA$19,"INVALID – completed after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f>
        <v>OPEN</v>
      </c>
      <c r="AI496" s="61" t="n">
        <f aca="false">IF(OR(AH496="N/A – RULE",AH496="N/A – JUSTIFIED"),0,1)</f>
        <v>1</v>
      </c>
      <c r="AJ496" s="61" t="n">
        <f aca="false">IF(LEFT(AH496,8)="COMPLETE",1,0)</f>
        <v>0</v>
      </c>
      <c r="AK496" s="61" t="n">
        <f aca="false">IF(AND(AI496=1,AJ496=0,AsOfUTC&gt;Q496),1,0)</f>
        <v>0</v>
      </c>
      <c r="AL496" s="61" t="n">
        <f aca="false">IF(AND(AI496=1,OR(TRIM(U496)="Fail",AB496="Open",AND(ISNUMBER(AF496),AF496&lt;&gt;0,TRIM(U496)&lt;&gt;"Pass after CA"))),1,0)</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row>
    <row r="497" customFormat="false" ht="39.75" hidden="false" customHeight="true" outlineLevel="0" collapsed="false">
      <c r="A497" s="57" t="s">
        <v>1110</v>
      </c>
      <c r="B497" s="57" t="s">
        <v>268</v>
      </c>
      <c r="C497" s="57" t="str">
        <f aca="false">Flights!$F$19</f>
        <v>MH0003</v>
      </c>
      <c r="D497" s="58" t="n">
        <f aca="false">Flights!$D$19</f>
        <v>46320</v>
      </c>
      <c r="E497" s="57" t="str">
        <f aca="false">Flights!$G$19&amp;"-"&amp;Flights!$H$19</f>
        <v>LHR-KUL</v>
      </c>
      <c r="F497" s="57" t="str">
        <f aca="false">Flights!$K$19</f>
        <v>EY</v>
      </c>
      <c r="G497" s="57" t="s">
        <v>383</v>
      </c>
      <c r="H497" s="57" t="s">
        <v>341</v>
      </c>
      <c r="I497" s="57" t="s">
        <v>391</v>
      </c>
      <c r="J497" s="57" t="s">
        <v>401</v>
      </c>
      <c r="K497" s="67"/>
      <c r="L497" s="67" t="s">
        <v>385</v>
      </c>
      <c r="M497" s="67"/>
      <c r="N497" s="67" t="s">
        <v>346</v>
      </c>
      <c r="O497" s="67" t="s">
        <v>386</v>
      </c>
      <c r="P497" s="57" t="s">
        <v>176</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IF(N497="N/A – rule","N/A – RULE",IF(TRIM(U497)="N/A",IF(AT497=0,"INVALID – N/A not permitted for this mandatory check",IF(AND(TRIM(AC497)&lt;&gt;"",TRIM(AE497)&lt;&gt;"",TRIM(T497)&lt;&gt;""),"N/A – JUSTIFIED","INVALID – N/A needs justification, PIC and verifier")),IF(OR(TRIM(U497)="Pass",TRIM(U497)="Pass after CA"),IF(NOT(ISNUMBER(AD497)),"INVALID – completion time missing",IF(TRIM(T497)="","INVALID – PIC missing",IF(TRIM(Z497)="","INVALID – evidence missing",IF(TRIM(AE497)="","INVALID – verifier missing",IF(AND(AQ497=1,TRIM(W497)=""),"INVALID – batch ID missing",IF(AND(AR497=1,OR(NOT(ISNUMBER(X497)),NOT(ISNUMBER(Y497)))),"INVALID – expected/actual qty missing",IF(IF(AND(TRIM(U497)="Pass",ISNUMBER(AF497)),IF(AF497&lt;&gt;0,"INVALID – qty variance: use Fail or Pass after CA",""),"")&amp;IF(AND(TRIM(U497)="Pass",AB497="Open"),"INVALID – corrective action still open: use Fail, then Pass after CA","")&amp;IF(AND(TRIM(U497)="Pass after CA",OR(TRIM(AA497)="",AB497&lt;&gt;"Closed")),"INVALID – corrective action not recorded/closed","")&lt;&gt;"",IF(AND(TRIM(U497)="Pass",ISNUMBER(AF497)),IF(AF497&lt;&gt;0,"INVALID – qty variance: use Fail or Pass after CA",""),"")&amp;IF(AND(TRIM(U497)="Pass",AB497="Open"),"INVALID – corrective action still open: use Fail, then Pass after CA","")&amp;IF(AND(TRIM(U497)="Pass after CA",OR(TRIM(AA497)="",AB497&lt;&gt;"Closed")),"INVALID – corrective action not recorded/closed",""),IF(AND(AS497=1,Documents!$J$19&lt;&gt;"ON FILE"),"INVALID – GLD not on file (Documents sheet)",IF(AND(AS497=2,Documents!$O$19&lt;&gt;"ON FILE"),"INVALID – menu checklist not on file (Documents sheet)",IF(AND(AS497=3,NOT(ISNUMBER(Flights!$AX$19))),"INVALID – enter carrying flight KUL departure (Flights AX)",IF(AG497&gt;AsOfUTC,"INVALID – completion time is in the future",IF(AND(ISNUMBER(S497),AG497&lt;S497),IF(H497="Physical uplift","INVALID – before uplift window (cannot confirm loading)","INVALID – before valid window"),IF(AG497&gt;Flights!$AA$19,"INVALID – completed after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f>
        <v>OPEN</v>
      </c>
      <c r="AI497" s="61" t="n">
        <f aca="false">IF(OR(AH497="N/A – RULE",AH497="N/A – JUSTIFIED"),0,1)</f>
        <v>1</v>
      </c>
      <c r="AJ497" s="61" t="n">
        <f aca="false">IF(LEFT(AH497,8)="COMPLETE",1,0)</f>
        <v>0</v>
      </c>
      <c r="AK497" s="61" t="n">
        <f aca="false">IF(AND(AI497=1,AJ497=0,AsOfUTC&gt;Q497),1,0)</f>
        <v>0</v>
      </c>
      <c r="AL497" s="61" t="n">
        <f aca="false">IF(AND(AI497=1,OR(TRIM(U497)="Fail",AB497="Open",AND(ISNUMBER(AF497),AF497&lt;&gt;0,TRIM(U497)&lt;&gt;"Pass after CA"))),1,0)</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row>
    <row r="498" customFormat="false" ht="54" hidden="false" customHeight="true" outlineLevel="0" collapsed="false">
      <c r="A498" s="57" t="s">
        <v>1111</v>
      </c>
      <c r="B498" s="57" t="s">
        <v>268</v>
      </c>
      <c r="C498" s="57" t="str">
        <f aca="false">Flights!$F$19</f>
        <v>MH0003</v>
      </c>
      <c r="D498" s="58" t="n">
        <f aca="false">Flights!$D$19</f>
        <v>46320</v>
      </c>
      <c r="E498" s="57" t="str">
        <f aca="false">Flights!$G$19&amp;"-"&amp;Flights!$H$19</f>
        <v>LHR-KUL</v>
      </c>
      <c r="F498" s="57" t="str">
        <f aca="false">Flights!$K$19</f>
        <v>EY</v>
      </c>
      <c r="G498" s="57" t="s">
        <v>383</v>
      </c>
      <c r="H498" s="57" t="s">
        <v>341</v>
      </c>
      <c r="I498" s="57" t="s">
        <v>403</v>
      </c>
      <c r="J498" s="57" t="s">
        <v>404</v>
      </c>
      <c r="K498" s="67" t="s">
        <v>405</v>
      </c>
      <c r="L498" s="67" t="s">
        <v>406</v>
      </c>
      <c r="M498" s="67" t="s">
        <v>176</v>
      </c>
      <c r="N498" s="67" t="s">
        <v>407</v>
      </c>
      <c r="O498" s="67" t="s">
        <v>408</v>
      </c>
      <c r="P498" s="57" t="s">
        <v>176</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IF(N498="N/A – rule","N/A – RULE",IF(TRIM(U498)="N/A",IF(AT498=0,"INVALID – N/A not permitted for this mandatory check",IF(AND(TRIM(AC498)&lt;&gt;"",TRIM(AE498)&lt;&gt;"",TRIM(T498)&lt;&gt;""),"N/A – JUSTIFIED","INVALID – N/A needs justification, PIC and verifier")),IF(OR(TRIM(U498)="Pass",TRIM(U498)="Pass after CA"),IF(NOT(ISNUMBER(AD498)),"INVALID – completion time missing",IF(TRIM(T498)="","INVALID – PIC missing",IF(TRIM(Z498)="","INVALID – evidence missing",IF(TRIM(AE498)="","INVALID – verifier missing",IF(AND(AQ498=1,TRIM(W498)=""),"INVALID – batch ID missing",IF(AND(AR498=1,OR(NOT(ISNUMBER(X498)),NOT(ISNUMBER(Y498)))),"INVALID – expected/actual qty missing",IF(IF(AND(TRIM(U498)="Pass",ISNUMBER(AF498)),IF(AF498&lt;&gt;0,"INVALID – qty variance: use Fail or Pass after CA",""),"")&amp;IF(AND(TRIM(U498)="Pass",AB498="Open"),"INVALID – corrective action still open: use Fail, then Pass after CA","")&amp;IF(AND(TRIM(U498)="Pass after CA",OR(TRIM(AA498)="",AB498&lt;&gt;"Closed")),"INVALID – corrective action not recorded/closed","")&lt;&gt;"",IF(AND(TRIM(U498)="Pass",ISNUMBER(AF498)),IF(AF498&lt;&gt;0,"INVALID – qty variance: use Fail or Pass after CA",""),"")&amp;IF(AND(TRIM(U498)="Pass",AB498="Open"),"INVALID – corrective action still open: use Fail, then Pass after CA","")&amp;IF(AND(TRIM(U498)="Pass after CA",OR(TRIM(AA498)="",AB498&lt;&gt;"Closed")),"INVALID – corrective action not recorded/closed",""),IF(AND(AS498=1,Documents!$J$19&lt;&gt;"ON FILE"),"INVALID – GLD not on file (Documents sheet)",IF(AND(AS498=2,Documents!$O$19&lt;&gt;"ON FILE"),"INVALID – menu checklist not on file (Documents sheet)",IF(AND(AS498=3,NOT(ISNUMBER(Flights!$AX$19))),"INVALID – enter carrying flight KUL departure (Flights AX)",IF(AG498&gt;AsOfUTC,"INVALID – completion time is in the future",IF(AND(ISNUMBER(S498),AG498&lt;S498),IF(H498="Physical uplift","INVALID – before uplift window (cannot confirm loading)","INVALID – before valid window"),IF(AG498&gt;Flights!$AA$19,"INVALID – completed after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f>
        <v>OPEN – CLARIFICATION</v>
      </c>
      <c r="AI498" s="61" t="n">
        <f aca="false">IF(OR(AH498="N/A – RULE",AH498="N/A – JUSTIFIED"),0,1)</f>
        <v>1</v>
      </c>
      <c r="AJ498" s="61" t="n">
        <f aca="false">IF(LEFT(AH498,8)="COMPLETE",1,0)</f>
        <v>0</v>
      </c>
      <c r="AK498" s="61" t="n">
        <f aca="false">IF(AND(AI498=1,AJ498=0,AsOfUTC&gt;Q498),1,0)</f>
        <v>0</v>
      </c>
      <c r="AL498" s="61" t="n">
        <f aca="false">IF(AND(AI498=1,OR(TRIM(U498)="Fail",AB498="Open",AND(ISNUMBER(AF498),AF498&lt;&gt;0,TRIM(U498)&lt;&gt;"Pass after CA"))),1,0)</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row>
    <row r="499" customFormat="false" ht="41.25" hidden="false" customHeight="true" outlineLevel="0" collapsed="false">
      <c r="A499" s="57" t="s">
        <v>1112</v>
      </c>
      <c r="B499" s="57" t="s">
        <v>268</v>
      </c>
      <c r="C499" s="57" t="str">
        <f aca="false">Flights!$F$19</f>
        <v>MH0003</v>
      </c>
      <c r="D499" s="58" t="n">
        <f aca="false">Flights!$D$19</f>
        <v>46320</v>
      </c>
      <c r="E499" s="57" t="str">
        <f aca="false">Flights!$G$19&amp;"-"&amp;Flights!$H$19</f>
        <v>LHR-KUL</v>
      </c>
      <c r="F499" s="57" t="str">
        <f aca="false">Flights!$K$19</f>
        <v>EY</v>
      </c>
      <c r="G499" s="57" t="s">
        <v>383</v>
      </c>
      <c r="H499" s="57" t="s">
        <v>341</v>
      </c>
      <c r="I499" s="57" t="s">
        <v>410</v>
      </c>
      <c r="J499" s="57" t="s">
        <v>411</v>
      </c>
      <c r="K499" s="67" t="s">
        <v>412</v>
      </c>
      <c r="L499" s="67" t="s">
        <v>413</v>
      </c>
      <c r="M499" s="67" t="s">
        <v>414</v>
      </c>
      <c r="N499" s="67" t="s">
        <v>346</v>
      </c>
      <c r="O499" s="67" t="s">
        <v>415</v>
      </c>
      <c r="P499" s="57" t="s">
        <v>176</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IF(N499="N/A – rule","N/A – RULE",IF(TRIM(U499)="N/A",IF(AT499=0,"INVALID – N/A not permitted for this mandatory check",IF(AND(TRIM(AC499)&lt;&gt;"",TRIM(AE499)&lt;&gt;"",TRIM(T499)&lt;&gt;""),"N/A – JUSTIFIED","INVALID – N/A needs justification, PIC and verifier")),IF(OR(TRIM(U499)="Pass",TRIM(U499)="Pass after CA"),IF(NOT(ISNUMBER(AD499)),"INVALID – completion time missing",IF(TRIM(T499)="","INVALID – PIC missing",IF(TRIM(Z499)="","INVALID – evidence missing",IF(TRIM(AE499)="","INVALID – verifier missing",IF(AND(AQ499=1,TRIM(W499)=""),"INVALID – batch ID missing",IF(AND(AR499=1,OR(NOT(ISNUMBER(X499)),NOT(ISNUMBER(Y499)))),"INVALID – expected/actual qty missing",IF(IF(AND(TRIM(U499)="Pass",ISNUMBER(AF499)),IF(AF499&lt;&gt;0,"INVALID – qty variance: use Fail or Pass after CA",""),"")&amp;IF(AND(TRIM(U499)="Pass",AB499="Open"),"INVALID – corrective action still open: use Fail, then Pass after CA","")&amp;IF(AND(TRIM(U499)="Pass after CA",OR(TRIM(AA499)="",AB499&lt;&gt;"Closed")),"INVALID – corrective action not recorded/closed","")&lt;&gt;"",IF(AND(TRIM(U499)="Pass",ISNUMBER(AF499)),IF(AF499&lt;&gt;0,"INVALID – qty variance: use Fail or Pass after CA",""),"")&amp;IF(AND(TRIM(U499)="Pass",AB499="Open"),"INVALID – corrective action still open: use Fail, then Pass after CA","")&amp;IF(AND(TRIM(U499)="Pass after CA",OR(TRIM(AA499)="",AB499&lt;&gt;"Closed")),"INVALID – corrective action not recorded/closed",""),IF(AND(AS499=1,Documents!$J$19&lt;&gt;"ON FILE"),"INVALID – GLD not on file (Documents sheet)",IF(AND(AS499=2,Documents!$O$19&lt;&gt;"ON FILE"),"INVALID – menu checklist not on file (Documents sheet)",IF(AND(AS499=3,NOT(ISNUMBER(Flights!$AX$19))),"INVALID – enter carrying flight KUL departure (Flights AX)",IF(AG499&gt;AsOfUTC,"INVALID – completion time is in the future",IF(AND(ISNUMBER(S499),AG499&lt;S499),IF(H499="Physical uplift","INVALID – before uplift window (cannot confirm loading)","INVALID – before valid window"),IF(AG499&gt;Flights!$AA$19,"INVALID – completed after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f>
        <v>OPEN</v>
      </c>
      <c r="AI499" s="61" t="n">
        <f aca="false">IF(OR(AH499="N/A – RULE",AH499="N/A – JUSTIFIED"),0,1)</f>
        <v>1</v>
      </c>
      <c r="AJ499" s="61" t="n">
        <f aca="false">IF(LEFT(AH499,8)="COMPLETE",1,0)</f>
        <v>0</v>
      </c>
      <c r="AK499" s="61" t="n">
        <f aca="false">IF(AND(AI499=1,AJ499=0,AsOfUTC&gt;Q499),1,0)</f>
        <v>0</v>
      </c>
      <c r="AL499" s="61" t="n">
        <f aca="false">IF(AND(AI499=1,OR(TRIM(U499)="Fail",AB499="Open",AND(ISNUMBER(AF499),AF499&lt;&gt;0,TRIM(U499)&lt;&gt;"Pass after CA"))),1,0)</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1</v>
      </c>
    </row>
    <row r="500" customFormat="false" ht="91.5" hidden="false" customHeight="true" outlineLevel="0" collapsed="false">
      <c r="A500" s="57" t="s">
        <v>1113</v>
      </c>
      <c r="B500" s="57" t="s">
        <v>268</v>
      </c>
      <c r="C500" s="57" t="str">
        <f aca="false">Flights!$F$19</f>
        <v>MH0003</v>
      </c>
      <c r="D500" s="58" t="n">
        <f aca="false">Flights!$D$19</f>
        <v>46320</v>
      </c>
      <c r="E500" s="57" t="str">
        <f aca="false">Flights!$G$19&amp;"-"&amp;Flights!$H$19</f>
        <v>LHR-KUL</v>
      </c>
      <c r="F500" s="57" t="str">
        <f aca="false">Flights!$K$19</f>
        <v>EY</v>
      </c>
      <c r="G500" s="57" t="s">
        <v>383</v>
      </c>
      <c r="H500" s="57" t="s">
        <v>341</v>
      </c>
      <c r="I500" s="57" t="s">
        <v>410</v>
      </c>
      <c r="J500" s="57" t="s">
        <v>417</v>
      </c>
      <c r="K500" s="67" t="s">
        <v>418</v>
      </c>
      <c r="L500" s="67" t="s">
        <v>419</v>
      </c>
      <c r="M500" s="67" t="s">
        <v>414</v>
      </c>
      <c r="N500" s="67" t="s">
        <v>346</v>
      </c>
      <c r="O500" s="67" t="s">
        <v>1114</v>
      </c>
      <c r="P500" s="57" t="s">
        <v>176</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IF(N500="N/A – rule","N/A – RULE",IF(TRIM(U500)="N/A",IF(AT500=0,"INVALID – N/A not permitted for this mandatory check",IF(AND(TRIM(AC500)&lt;&gt;"",TRIM(AE500)&lt;&gt;"",TRIM(T500)&lt;&gt;""),"N/A – JUSTIFIED","INVALID – N/A needs justification, PIC and verifier")),IF(OR(TRIM(U500)="Pass",TRIM(U500)="Pass after CA"),IF(NOT(ISNUMBER(AD500)),"INVALID – completion time missing",IF(TRIM(T500)="","INVALID – PIC missing",IF(TRIM(Z500)="","INVALID – evidence missing",IF(TRIM(AE500)="","INVALID – verifier missing",IF(AND(AQ500=1,TRIM(W500)=""),"INVALID – batch ID missing",IF(AND(AR500=1,OR(NOT(ISNUMBER(X500)),NOT(ISNUMBER(Y500)))),"INVALID – expected/actual qty missing",IF(IF(AND(TRIM(U500)="Pass",ISNUMBER(AF500)),IF(AF500&lt;&gt;0,"INVALID – qty variance: use Fail or Pass after CA",""),"")&amp;IF(AND(TRIM(U500)="Pass",AB500="Open"),"INVALID – corrective action still open: use Fail, then Pass after CA","")&amp;IF(AND(TRIM(U500)="Pass after CA",OR(TRIM(AA500)="",AB500&lt;&gt;"Closed")),"INVALID – corrective action not recorded/closed","")&lt;&gt;"",IF(AND(TRIM(U500)="Pass",ISNUMBER(AF500)),IF(AF500&lt;&gt;0,"INVALID – qty variance: use Fail or Pass after CA",""),"")&amp;IF(AND(TRIM(U500)="Pass",AB500="Open"),"INVALID – corrective action still open: use Fail, then Pass after CA","")&amp;IF(AND(TRIM(U500)="Pass after CA",OR(TRIM(AA500)="",AB500&lt;&gt;"Closed")),"INVALID – corrective action not recorded/closed",""),IF(AND(AS500=1,Documents!$J$19&lt;&gt;"ON FILE"),"INVALID – GLD not on file (Documents sheet)",IF(AND(AS500=2,Documents!$O$19&lt;&gt;"ON FILE"),"INVALID – menu checklist not on file (Documents sheet)",IF(AND(AS500=3,NOT(ISNUMBER(Flights!$AX$19))),"INVALID – enter carrying flight KUL departure (Flights AX)",IF(AG500&gt;AsOfUTC,"INVALID – completion time is in the future",IF(AND(ISNUMBER(S500),AG500&lt;S500),IF(H500="Physical uplift","INVALID – before uplift window (cannot confirm loading)","INVALID – before valid window"),IF(AG500&gt;Flights!$AA$19,"INVALID – completed after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f>
        <v>OPEN</v>
      </c>
      <c r="AI500" s="61" t="n">
        <f aca="false">IF(OR(AH500="N/A – RULE",AH500="N/A – JUSTIFIED"),0,1)</f>
        <v>1</v>
      </c>
      <c r="AJ500" s="61" t="n">
        <f aca="false">IF(LEFT(AH500,8)="COMPLETE",1,0)</f>
        <v>0</v>
      </c>
      <c r="AK500" s="61" t="n">
        <f aca="false">IF(AND(AI500=1,AJ500=0,AsOfUTC&gt;Q500),1,0)</f>
        <v>0</v>
      </c>
      <c r="AL500" s="61" t="n">
        <f aca="false">IF(AND(AI500=1,OR(TRIM(U500)="Fail",AB500="Open",AND(ISNUMBER(AF500),AF500&lt;&gt;0,TRIM(U500)&lt;&gt;"Pass after CA"))),1,0)</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1</v>
      </c>
    </row>
    <row r="501" customFormat="false" ht="39.75" hidden="false" customHeight="true" outlineLevel="0" collapsed="false">
      <c r="A501" s="57" t="s">
        <v>1115</v>
      </c>
      <c r="B501" s="57" t="s">
        <v>268</v>
      </c>
      <c r="C501" s="57" t="str">
        <f aca="false">Flights!$F$19</f>
        <v>MH0003</v>
      </c>
      <c r="D501" s="58" t="n">
        <f aca="false">Flights!$D$19</f>
        <v>46320</v>
      </c>
      <c r="E501" s="57" t="str">
        <f aca="false">Flights!$G$19&amp;"-"&amp;Flights!$H$19</f>
        <v>LHR-KUL</v>
      </c>
      <c r="F501" s="57" t="str">
        <f aca="false">Flights!$K$19</f>
        <v>EY</v>
      </c>
      <c r="G501" s="57" t="s">
        <v>422</v>
      </c>
      <c r="H501" s="57" t="s">
        <v>423</v>
      </c>
      <c r="I501" s="57" t="s">
        <v>342</v>
      </c>
      <c r="J501" s="57" t="s">
        <v>424</v>
      </c>
      <c r="K501" s="67" t="s">
        <v>389</v>
      </c>
      <c r="L501" s="67" t="s">
        <v>425</v>
      </c>
      <c r="M501" s="67"/>
      <c r="N501" s="67" t="s">
        <v>346</v>
      </c>
      <c r="O501" s="67" t="s">
        <v>426</v>
      </c>
      <c r="P501" s="57" t="s">
        <v>176</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IF(N501="N/A – rule","N/A – RULE",IF(TRIM(U501)="N/A",IF(AT501=0,"INVALID – N/A not permitted for this mandatory check",IF(AND(TRIM(AC501)&lt;&gt;"",TRIM(AE501)&lt;&gt;"",TRIM(T501)&lt;&gt;""),"N/A – JUSTIFIED","INVALID – N/A needs justification, PIC and verifier")),IF(OR(TRIM(U501)="Pass",TRIM(U501)="Pass after CA"),IF(NOT(ISNUMBER(AD501)),"INVALID – completion time missing",IF(TRIM(T501)="","INVALID – PIC missing",IF(TRIM(Z501)="","INVALID – evidence missing",IF(TRIM(AE501)="","INVALID – verifier missing",IF(AND(AQ501=1,TRIM(W501)=""),"INVALID – batch ID missing",IF(AND(AR501=1,OR(NOT(ISNUMBER(X501)),NOT(ISNUMBER(Y501)))),"INVALID – expected/actual qty missing",IF(IF(AND(TRIM(U501)="Pass",ISNUMBER(AF501)),IF(AF501&lt;&gt;0,"INVALID – qty variance: use Fail or Pass after CA",""),"")&amp;IF(AND(TRIM(U501)="Pass",AB501="Open"),"INVALID – corrective action still open: use Fail, then Pass after CA","")&amp;IF(AND(TRIM(U501)="Pass after CA",OR(TRIM(AA501)="",AB501&lt;&gt;"Closed")),"INVALID – corrective action not recorded/closed","")&lt;&gt;"",IF(AND(TRIM(U501)="Pass",ISNUMBER(AF501)),IF(AF501&lt;&gt;0,"INVALID – qty variance: use Fail or Pass after CA",""),"")&amp;IF(AND(TRIM(U501)="Pass",AB501="Open"),"INVALID – corrective action still open: use Fail, then Pass after CA","")&amp;IF(AND(TRIM(U501)="Pass after CA",OR(TRIM(AA501)="",AB501&lt;&gt;"Closed")),"INVALID – corrective action not recorded/closed",""),IF(AND(AS501=1,Documents!$J$19&lt;&gt;"ON FILE"),"INVALID – GLD not on file (Documents sheet)",IF(AND(AS501=2,Documents!$O$19&lt;&gt;"ON FILE"),"INVALID – menu checklist not on file (Documents sheet)",IF(AND(AS501=3,NOT(ISNUMBER(Flights!$AX$19))),"INVALID – enter carrying flight KUL departure (Flights AX)",IF(AG501&gt;AsOfUTC,"INVALID – completion time is in the future",IF(AND(ISNUMBER(S501),AG501&lt;S501),IF(H501="Physical uplift","INVALID – before uplift window (cannot confirm loading)","INVALID – before valid window"),IF(AG501&gt;Flights!$AA$19,"INVALID – completed after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f>
        <v>OPEN</v>
      </c>
      <c r="AI501" s="61" t="n">
        <f aca="false">IF(OR(AH501="N/A – RULE",AH501="N/A – JUSTIFIED"),0,1)</f>
        <v>1</v>
      </c>
      <c r="AJ501" s="61" t="n">
        <f aca="false">IF(LEFT(AH501,8)="COMPLETE",1,0)</f>
        <v>0</v>
      </c>
      <c r="AK501" s="61" t="n">
        <f aca="false">IF(AND(AI501=1,AJ501=0,AsOfUTC&gt;Q501),1,0)</f>
        <v>0</v>
      </c>
      <c r="AL501" s="61" t="n">
        <f aca="false">IF(AND(AI501=1,OR(TRIM(U501)="Fail",AB501="Open",AND(ISNUMBER(AF501),AF501&lt;&gt;0,TRIM(U501)&lt;&gt;"Pass after CA"))),1,0)</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row>
    <row r="502" customFormat="false" ht="39.75" hidden="false" customHeight="true" outlineLevel="0" collapsed="false">
      <c r="A502" s="57" t="s">
        <v>1116</v>
      </c>
      <c r="B502" s="57" t="s">
        <v>268</v>
      </c>
      <c r="C502" s="57" t="str">
        <f aca="false">Flights!$F$19</f>
        <v>MH0003</v>
      </c>
      <c r="D502" s="58" t="n">
        <f aca="false">Flights!$D$19</f>
        <v>46320</v>
      </c>
      <c r="E502" s="57" t="str">
        <f aca="false">Flights!$G$19&amp;"-"&amp;Flights!$H$19</f>
        <v>LHR-KUL</v>
      </c>
      <c r="F502" s="57" t="str">
        <f aca="false">Flights!$K$19</f>
        <v>EY</v>
      </c>
      <c r="G502" s="57" t="s">
        <v>422</v>
      </c>
      <c r="H502" s="57" t="s">
        <v>423</v>
      </c>
      <c r="I502" s="57" t="s">
        <v>391</v>
      </c>
      <c r="J502" s="57" t="s">
        <v>428</v>
      </c>
      <c r="K502" s="67" t="s">
        <v>389</v>
      </c>
      <c r="L502" s="67" t="s">
        <v>425</v>
      </c>
      <c r="M502" s="67"/>
      <c r="N502" s="67" t="s">
        <v>346</v>
      </c>
      <c r="O502" s="67" t="s">
        <v>426</v>
      </c>
      <c r="P502" s="57" t="s">
        <v>176</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IF(N502="N/A – rule","N/A – RULE",IF(TRIM(U502)="N/A",IF(AT502=0,"INVALID – N/A not permitted for this mandatory check",IF(AND(TRIM(AC502)&lt;&gt;"",TRIM(AE502)&lt;&gt;"",TRIM(T502)&lt;&gt;""),"N/A – JUSTIFIED","INVALID – N/A needs justification, PIC and verifier")),IF(OR(TRIM(U502)="Pass",TRIM(U502)="Pass after CA"),IF(NOT(ISNUMBER(AD502)),"INVALID – completion time missing",IF(TRIM(T502)="","INVALID – PIC missing",IF(TRIM(Z502)="","INVALID – evidence missing",IF(TRIM(AE502)="","INVALID – verifier missing",IF(AND(AQ502=1,TRIM(W502)=""),"INVALID – batch ID missing",IF(AND(AR502=1,OR(NOT(ISNUMBER(X502)),NOT(ISNUMBER(Y502)))),"INVALID – expected/actual qty missing",IF(IF(AND(TRIM(U502)="Pass",ISNUMBER(AF502)),IF(AF502&lt;&gt;0,"INVALID – qty variance: use Fail or Pass after CA",""),"")&amp;IF(AND(TRIM(U502)="Pass",AB502="Open"),"INVALID – corrective action still open: use Fail, then Pass after CA","")&amp;IF(AND(TRIM(U502)="Pass after CA",OR(TRIM(AA502)="",AB502&lt;&gt;"Closed")),"INVALID – corrective action not recorded/closed","")&lt;&gt;"",IF(AND(TRIM(U502)="Pass",ISNUMBER(AF502)),IF(AF502&lt;&gt;0,"INVALID – qty variance: use Fail or Pass after CA",""),"")&amp;IF(AND(TRIM(U502)="Pass",AB502="Open"),"INVALID – corrective action still open: use Fail, then Pass after CA","")&amp;IF(AND(TRIM(U502)="Pass after CA",OR(TRIM(AA502)="",AB502&lt;&gt;"Closed")),"INVALID – corrective action not recorded/closed",""),IF(AND(AS502=1,Documents!$J$19&lt;&gt;"ON FILE"),"INVALID – GLD not on file (Documents sheet)",IF(AND(AS502=2,Documents!$O$19&lt;&gt;"ON FILE"),"INVALID – menu checklist not on file (Documents sheet)",IF(AND(AS502=3,NOT(ISNUMBER(Flights!$AX$19))),"INVALID – enter carrying flight KUL departure (Flights AX)",IF(AG502&gt;AsOfUTC,"INVALID – completion time is in the future",IF(AND(ISNUMBER(S502),AG502&lt;S502),IF(H502="Physical uplift","INVALID – before uplift window (cannot confirm loading)","INVALID – before valid window"),IF(AG502&gt;Flights!$AA$19,"INVALID – completed after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f>
        <v>OPEN</v>
      </c>
      <c r="AI502" s="61" t="n">
        <f aca="false">IF(OR(AH502="N/A – RULE",AH502="N/A – JUSTIFIED"),0,1)</f>
        <v>1</v>
      </c>
      <c r="AJ502" s="61" t="n">
        <f aca="false">IF(LEFT(AH502,8)="COMPLETE",1,0)</f>
        <v>0</v>
      </c>
      <c r="AK502" s="61" t="n">
        <f aca="false">IF(AND(AI502=1,AJ502=0,AsOfUTC&gt;Q502),1,0)</f>
        <v>0</v>
      </c>
      <c r="AL502" s="61" t="n">
        <f aca="false">IF(AND(AI502=1,OR(TRIM(U502)="Fail",AB502="Open",AND(ISNUMBER(AF502),AF502&lt;&gt;0,TRIM(U502)&lt;&gt;"Pass after CA"))),1,0)</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row>
    <row r="503" customFormat="false" ht="54" hidden="false" customHeight="true" outlineLevel="0" collapsed="false">
      <c r="A503" s="57" t="s">
        <v>1117</v>
      </c>
      <c r="B503" s="57" t="s">
        <v>268</v>
      </c>
      <c r="C503" s="57" t="str">
        <f aca="false">Flights!$F$19</f>
        <v>MH0003</v>
      </c>
      <c r="D503" s="58" t="n">
        <f aca="false">Flights!$D$19</f>
        <v>46320</v>
      </c>
      <c r="E503" s="57" t="str">
        <f aca="false">Flights!$G$19&amp;"-"&amp;Flights!$H$19</f>
        <v>LHR-KUL</v>
      </c>
      <c r="F503" s="57" t="str">
        <f aca="false">Flights!$K$19</f>
        <v>EY</v>
      </c>
      <c r="G503" s="57" t="s">
        <v>422</v>
      </c>
      <c r="H503" s="57" t="s">
        <v>423</v>
      </c>
      <c r="I503" s="57" t="s">
        <v>403</v>
      </c>
      <c r="J503" s="57" t="s">
        <v>430</v>
      </c>
      <c r="K503" s="67" t="s">
        <v>405</v>
      </c>
      <c r="L503" s="67" t="s">
        <v>406</v>
      </c>
      <c r="M503" s="67" t="s">
        <v>176</v>
      </c>
      <c r="N503" s="67" t="s">
        <v>407</v>
      </c>
      <c r="O503" s="67" t="s">
        <v>408</v>
      </c>
      <c r="P503" s="57" t="s">
        <v>176</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IF(N503="N/A – rule","N/A – RULE",IF(TRIM(U503)="N/A",IF(AT503=0,"INVALID – N/A not permitted for this mandatory check",IF(AND(TRIM(AC503)&lt;&gt;"",TRIM(AE503)&lt;&gt;"",TRIM(T503)&lt;&gt;""),"N/A – JUSTIFIED","INVALID – N/A needs justification, PIC and verifier")),IF(OR(TRIM(U503)="Pass",TRIM(U503)="Pass after CA"),IF(NOT(ISNUMBER(AD503)),"INVALID – completion time missing",IF(TRIM(T503)="","INVALID – PIC missing",IF(TRIM(Z503)="","INVALID – evidence missing",IF(TRIM(AE503)="","INVALID – verifier missing",IF(AND(AQ503=1,TRIM(W503)=""),"INVALID – batch ID missing",IF(AND(AR503=1,OR(NOT(ISNUMBER(X503)),NOT(ISNUMBER(Y503)))),"INVALID – expected/actual qty missing",IF(IF(AND(TRIM(U503)="Pass",ISNUMBER(AF503)),IF(AF503&lt;&gt;0,"INVALID – qty variance: use Fail or Pass after CA",""),"")&amp;IF(AND(TRIM(U503)="Pass",AB503="Open"),"INVALID – corrective action still open: use Fail, then Pass after CA","")&amp;IF(AND(TRIM(U503)="Pass after CA",OR(TRIM(AA503)="",AB503&lt;&gt;"Closed")),"INVALID – corrective action not recorded/closed","")&lt;&gt;"",IF(AND(TRIM(U503)="Pass",ISNUMBER(AF503)),IF(AF503&lt;&gt;0,"INVALID – qty variance: use Fail or Pass after CA",""),"")&amp;IF(AND(TRIM(U503)="Pass",AB503="Open"),"INVALID – corrective action still open: use Fail, then Pass after CA","")&amp;IF(AND(TRIM(U503)="Pass after CA",OR(TRIM(AA503)="",AB503&lt;&gt;"Closed")),"INVALID – corrective action not recorded/closed",""),IF(AND(AS503=1,Documents!$J$19&lt;&gt;"ON FILE"),"INVALID – GLD not on file (Documents sheet)",IF(AND(AS503=2,Documents!$O$19&lt;&gt;"ON FILE"),"INVALID – menu checklist not on file (Documents sheet)",IF(AND(AS503=3,NOT(ISNUMBER(Flights!$AX$19))),"INVALID – enter carrying flight KUL departure (Flights AX)",IF(AG503&gt;AsOfUTC,"INVALID – completion time is in the future",IF(AND(ISNUMBER(S503),AG503&lt;S503),IF(H503="Physical uplift","INVALID – before uplift window (cannot confirm loading)","INVALID – before valid window"),IF(AG503&gt;Flights!$AA$19,"INVALID – completed after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f>
        <v>OPEN – CLARIFICATION</v>
      </c>
      <c r="AI503" s="61" t="n">
        <f aca="false">IF(OR(AH503="N/A – RULE",AH503="N/A – JUSTIFIED"),0,1)</f>
        <v>1</v>
      </c>
      <c r="AJ503" s="61" t="n">
        <f aca="false">IF(LEFT(AH503,8)="COMPLETE",1,0)</f>
        <v>0</v>
      </c>
      <c r="AK503" s="61" t="n">
        <f aca="false">IF(AND(AI503=1,AJ503=0,AsOfUTC&gt;Q503),1,0)</f>
        <v>0</v>
      </c>
      <c r="AL503" s="61" t="n">
        <f aca="false">IF(AND(AI503=1,OR(TRIM(U503)="Fail",AB503="Open",AND(ISNUMBER(AF503),AF503&lt;&gt;0,TRIM(U503)&lt;&gt;"Pass after CA"))),1,0)</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row>
    <row r="504" customFormat="false" ht="39.75" hidden="false" customHeight="true" outlineLevel="0" collapsed="false">
      <c r="A504" s="57" t="s">
        <v>1118</v>
      </c>
      <c r="B504" s="57" t="s">
        <v>268</v>
      </c>
      <c r="C504" s="57" t="str">
        <f aca="false">Flights!$F$19</f>
        <v>MH0003</v>
      </c>
      <c r="D504" s="58" t="n">
        <f aca="false">Flights!$D$19</f>
        <v>46320</v>
      </c>
      <c r="E504" s="57" t="str">
        <f aca="false">Flights!$G$19&amp;"-"&amp;Flights!$H$19</f>
        <v>LHR-KUL</v>
      </c>
      <c r="F504" s="57" t="str">
        <f aca="false">Flights!$K$19</f>
        <v>EY</v>
      </c>
      <c r="G504" s="57" t="s">
        <v>422</v>
      </c>
      <c r="H504" s="57" t="s">
        <v>423</v>
      </c>
      <c r="I504" s="57" t="s">
        <v>410</v>
      </c>
      <c r="J504" s="57" t="s">
        <v>432</v>
      </c>
      <c r="K504" s="67" t="s">
        <v>412</v>
      </c>
      <c r="L504" s="67" t="s">
        <v>413</v>
      </c>
      <c r="M504" s="67" t="s">
        <v>414</v>
      </c>
      <c r="N504" s="67" t="s">
        <v>346</v>
      </c>
      <c r="O504" s="67"/>
      <c r="P504" s="57" t="s">
        <v>176</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IF(N504="N/A – rule","N/A – RULE",IF(TRIM(U504)="N/A",IF(AT504=0,"INVALID – N/A not permitted for this mandatory check",IF(AND(TRIM(AC504)&lt;&gt;"",TRIM(AE504)&lt;&gt;"",TRIM(T504)&lt;&gt;""),"N/A – JUSTIFIED","INVALID – N/A needs justification, PIC and verifier")),IF(OR(TRIM(U504)="Pass",TRIM(U504)="Pass after CA"),IF(NOT(ISNUMBER(AD504)),"INVALID – completion time missing",IF(TRIM(T504)="","INVALID – PIC missing",IF(TRIM(Z504)="","INVALID – evidence missing",IF(TRIM(AE504)="","INVALID – verifier missing",IF(AND(AQ504=1,TRIM(W504)=""),"INVALID – batch ID missing",IF(AND(AR504=1,OR(NOT(ISNUMBER(X504)),NOT(ISNUMBER(Y504)))),"INVALID – expected/actual qty missing",IF(IF(AND(TRIM(U504)="Pass",ISNUMBER(AF504)),IF(AF504&lt;&gt;0,"INVALID – qty variance: use Fail or Pass after CA",""),"")&amp;IF(AND(TRIM(U504)="Pass",AB504="Open"),"INVALID – corrective action still open: use Fail, then Pass after CA","")&amp;IF(AND(TRIM(U504)="Pass after CA",OR(TRIM(AA504)="",AB504&lt;&gt;"Closed")),"INVALID – corrective action not recorded/closed","")&lt;&gt;"",IF(AND(TRIM(U504)="Pass",ISNUMBER(AF504)),IF(AF504&lt;&gt;0,"INVALID – qty variance: use Fail or Pass after CA",""),"")&amp;IF(AND(TRIM(U504)="Pass",AB504="Open"),"INVALID – corrective action still open: use Fail, then Pass after CA","")&amp;IF(AND(TRIM(U504)="Pass after CA",OR(TRIM(AA504)="",AB504&lt;&gt;"Closed")),"INVALID – corrective action not recorded/closed",""),IF(AND(AS504=1,Documents!$J$19&lt;&gt;"ON FILE"),"INVALID – GLD not on file (Documents sheet)",IF(AND(AS504=2,Documents!$O$19&lt;&gt;"ON FILE"),"INVALID – menu checklist not on file (Documents sheet)",IF(AND(AS504=3,NOT(ISNUMBER(Flights!$AX$19))),"INVALID – enter carrying flight KUL departure (Flights AX)",IF(AG504&gt;AsOfUTC,"INVALID – completion time is in the future",IF(AND(ISNUMBER(S504),AG504&lt;S504),IF(H504="Physical uplift","INVALID – before uplift window (cannot confirm loading)","INVALID – before valid window"),IF(AG504&gt;Flights!$AA$19,"INVALID – completed after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f>
        <v>OPEN</v>
      </c>
      <c r="AI504" s="61" t="n">
        <f aca="false">IF(OR(AH504="N/A – RULE",AH504="N/A – JUSTIFIED"),0,1)</f>
        <v>1</v>
      </c>
      <c r="AJ504" s="61" t="n">
        <f aca="false">IF(LEFT(AH504,8)="COMPLETE",1,0)</f>
        <v>0</v>
      </c>
      <c r="AK504" s="61" t="n">
        <f aca="false">IF(AND(AI504=1,AJ504=0,AsOfUTC&gt;Q504),1,0)</f>
        <v>0</v>
      </c>
      <c r="AL504" s="61" t="n">
        <f aca="false">IF(AND(AI504=1,OR(TRIM(U504)="Fail",AB504="Open",AND(ISNUMBER(AF504),AF504&lt;&gt;0,TRIM(U504)&lt;&gt;"Pass after CA"))),1,0)</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1</v>
      </c>
    </row>
    <row r="505" customFormat="false" ht="54" hidden="false" customHeight="true" outlineLevel="0" collapsed="false">
      <c r="A505" s="57" t="s">
        <v>1119</v>
      </c>
      <c r="B505" s="57" t="s">
        <v>268</v>
      </c>
      <c r="C505" s="57" t="str">
        <f aca="false">Flights!$F$19</f>
        <v>MH0003</v>
      </c>
      <c r="D505" s="58" t="n">
        <f aca="false">Flights!$D$19</f>
        <v>46320</v>
      </c>
      <c r="E505" s="57" t="str">
        <f aca="false">Flights!$G$19&amp;"-"&amp;Flights!$H$19</f>
        <v>LHR-KUL</v>
      </c>
      <c r="F505" s="57" t="str">
        <f aca="false">Flights!$K$19</f>
        <v>EY</v>
      </c>
      <c r="G505" s="57" t="s">
        <v>422</v>
      </c>
      <c r="H505" s="57" t="s">
        <v>423</v>
      </c>
      <c r="I505" s="57" t="s">
        <v>410</v>
      </c>
      <c r="J505" s="57" t="s">
        <v>434</v>
      </c>
      <c r="K505" s="67" t="s">
        <v>418</v>
      </c>
      <c r="L505" s="67" t="s">
        <v>419</v>
      </c>
      <c r="M505" s="67" t="s">
        <v>414</v>
      </c>
      <c r="N505" s="67" t="s">
        <v>346</v>
      </c>
      <c r="O505" s="67" t="s">
        <v>1120</v>
      </c>
      <c r="P505" s="57" t="s">
        <v>176</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IF(N505="N/A – rule","N/A – RULE",IF(TRIM(U505)="N/A",IF(AT505=0,"INVALID – N/A not permitted for this mandatory check",IF(AND(TRIM(AC505)&lt;&gt;"",TRIM(AE505)&lt;&gt;"",TRIM(T505)&lt;&gt;""),"N/A – JUSTIFIED","INVALID – N/A needs justification, PIC and verifier")),IF(OR(TRIM(U505)="Pass",TRIM(U505)="Pass after CA"),IF(NOT(ISNUMBER(AD505)),"INVALID – completion time missing",IF(TRIM(T505)="","INVALID – PIC missing",IF(TRIM(Z505)="","INVALID – evidence missing",IF(TRIM(AE505)="","INVALID – verifier missing",IF(AND(AQ505=1,TRIM(W505)=""),"INVALID – batch ID missing",IF(AND(AR505=1,OR(NOT(ISNUMBER(X505)),NOT(ISNUMBER(Y505)))),"INVALID – expected/actual qty missing",IF(IF(AND(TRIM(U505)="Pass",ISNUMBER(AF505)),IF(AF505&lt;&gt;0,"INVALID – qty variance: use Fail or Pass after CA",""),"")&amp;IF(AND(TRIM(U505)="Pass",AB505="Open"),"INVALID – corrective action still open: use Fail, then Pass after CA","")&amp;IF(AND(TRIM(U505)="Pass after CA",OR(TRIM(AA505)="",AB505&lt;&gt;"Closed")),"INVALID – corrective action not recorded/closed","")&lt;&gt;"",IF(AND(TRIM(U505)="Pass",ISNUMBER(AF505)),IF(AF505&lt;&gt;0,"INVALID – qty variance: use Fail or Pass after CA",""),"")&amp;IF(AND(TRIM(U505)="Pass",AB505="Open"),"INVALID – corrective action still open: use Fail, then Pass after CA","")&amp;IF(AND(TRIM(U505)="Pass after CA",OR(TRIM(AA505)="",AB505&lt;&gt;"Closed")),"INVALID – corrective action not recorded/closed",""),IF(AND(AS505=1,Documents!$J$19&lt;&gt;"ON FILE"),"INVALID – GLD not on file (Documents sheet)",IF(AND(AS505=2,Documents!$O$19&lt;&gt;"ON FILE"),"INVALID – menu checklist not on file (Documents sheet)",IF(AND(AS505=3,NOT(ISNUMBER(Flights!$AX$19))),"INVALID – enter carrying flight KUL departure (Flights AX)",IF(AG505&gt;AsOfUTC,"INVALID – completion time is in the future",IF(AND(ISNUMBER(S505),AG505&lt;S505),IF(H505="Physical uplift","INVALID – before uplift window (cannot confirm loading)","INVALID – before valid window"),IF(AG505&gt;Flights!$AA$19,"INVALID – completed after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f>
        <v>OPEN</v>
      </c>
      <c r="AI505" s="61" t="n">
        <f aca="false">IF(OR(AH505="N/A – RULE",AH505="N/A – JUSTIFIED"),0,1)</f>
        <v>1</v>
      </c>
      <c r="AJ505" s="61" t="n">
        <f aca="false">IF(LEFT(AH505,8)="COMPLETE",1,0)</f>
        <v>0</v>
      </c>
      <c r="AK505" s="61" t="n">
        <f aca="false">IF(AND(AI505=1,AJ505=0,AsOfUTC&gt;Q505),1,0)</f>
        <v>0</v>
      </c>
      <c r="AL505" s="61" t="n">
        <f aca="false">IF(AND(AI505=1,OR(TRIM(U505)="Fail",AB505="Open",AND(ISNUMBER(AF505),AF505&lt;&gt;0,TRIM(U505)&lt;&gt;"Pass after CA"))),1,0)</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1</v>
      </c>
    </row>
    <row r="506" customFormat="false" ht="39.75" hidden="false" customHeight="true" outlineLevel="0" collapsed="false">
      <c r="A506" s="57" t="s">
        <v>1121</v>
      </c>
      <c r="B506" s="57" t="s">
        <v>270</v>
      </c>
      <c r="C506" s="57" t="str">
        <f aca="false">Flights!$F$20</f>
        <v>MH0072</v>
      </c>
      <c r="D506" s="58" t="n">
        <f aca="false">Flights!$D$20</f>
        <v>46321</v>
      </c>
      <c r="E506" s="57" t="str">
        <f aca="false">Flights!$G$20&amp;"-"&amp;Flights!$H$20</f>
        <v>KUL-HKG</v>
      </c>
      <c r="F506" s="57" t="str">
        <f aca="false">Flights!$K$20</f>
        <v>EY</v>
      </c>
      <c r="G506" s="57" t="s">
        <v>74</v>
      </c>
      <c r="H506" s="57" t="s">
        <v>341</v>
      </c>
      <c r="I506" s="57" t="s">
        <v>342</v>
      </c>
      <c r="J506" s="57" t="s">
        <v>343</v>
      </c>
      <c r="K506" s="67" t="s">
        <v>344</v>
      </c>
      <c r="L506" s="67" t="s">
        <v>345</v>
      </c>
      <c r="M506" s="67"/>
      <c r="N506" s="67" t="s">
        <v>346</v>
      </c>
      <c r="O506" s="67"/>
      <c r="P506" s="57" t="s">
        <v>177</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IF(N506="N/A – rule","N/A – RULE",IF(TRIM(U506)="N/A",IF(AT506=0,"INVALID – N/A not permitted for this mandatory check",IF(AND(TRIM(AC506)&lt;&gt;"",TRIM(AE506)&lt;&gt;"",TRIM(T506)&lt;&gt;""),"N/A – JUSTIFIED","INVALID – N/A needs justification, PIC and verifier")),IF(OR(TRIM(U506)="Pass",TRIM(U506)="Pass after CA"),IF(NOT(ISNUMBER(AD506)),"INVALID – completion time missing",IF(TRIM(T506)="","INVALID – PIC missing",IF(TRIM(Z506)="","INVALID – evidence missing",IF(TRIM(AE506)="","INVALID – verifier missing",IF(AND(AQ506=1,TRIM(W506)=""),"INVALID – batch ID missing",IF(AND(AR506=1,OR(NOT(ISNUMBER(X506)),NOT(ISNUMBER(Y506)))),"INVALID – expected/actual qty missing",IF(IF(AND(TRIM(U506)="Pass",ISNUMBER(AF506)),IF(AF506&lt;&gt;0,"INVALID – qty variance: use Fail or Pass after CA",""),"")&amp;IF(AND(TRIM(U506)="Pass",AB506="Open"),"INVALID – corrective action still open: use Fail, then Pass after CA","")&amp;IF(AND(TRIM(U506)="Pass after CA",OR(TRIM(AA506)="",AB506&lt;&gt;"Closed")),"INVALID – corrective action not recorded/closed","")&lt;&gt;"",IF(AND(TRIM(U506)="Pass",ISNUMBER(AF506)),IF(AF506&lt;&gt;0,"INVALID – qty variance: use Fail or Pass after CA",""),"")&amp;IF(AND(TRIM(U506)="Pass",AB506="Open"),"INVALID – corrective action still open: use Fail, then Pass after CA","")&amp;IF(AND(TRIM(U506)="Pass after CA",OR(TRIM(AA506)="",AB506&lt;&gt;"Closed")),"INVALID – corrective action not recorded/closed",""),IF(AND(AS506=1,Documents!$J$20&lt;&gt;"ON FILE"),"INVALID – GLD not on file (Documents sheet)",IF(AND(AS506=2,Documents!$O$20&lt;&gt;"ON FILE"),"INVALID – menu checklist not on file (Documents sheet)",IF(AND(AS506=3,NOT(ISNUMBER(Flights!$AX$20))),"INVALID – enter carrying flight KUL departure (Flights AX)",IF(AG506&gt;AsOfUTC,"INVALID – completion time is in the future",IF(AND(ISNUMBER(S506),AG506&lt;S506),IF(H506="Physical uplift","INVALID – before uplift window (cannot confirm loading)","INVALID – before valid window"),IF(AG506&gt;Flights!$AA$20,"INVALID – completed after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f>
        <v>OPEN</v>
      </c>
      <c r="AI506" s="61" t="n">
        <f aca="false">IF(OR(AH506="N/A – RULE",AH506="N/A – JUSTIFIED"),0,1)</f>
        <v>1</v>
      </c>
      <c r="AJ506" s="61" t="n">
        <f aca="false">IF(LEFT(AH506,8)="COMPLETE",1,0)</f>
        <v>0</v>
      </c>
      <c r="AK506" s="61" t="n">
        <f aca="false">IF(AND(AI506=1,AJ506=0,AsOfUTC&gt;Q506),1,0)</f>
        <v>0</v>
      </c>
      <c r="AL506" s="61" t="n">
        <f aca="false">IF(AND(AI506=1,OR(TRIM(U506)="Fail",AB506="Open",AND(ISNUMBER(AF506),AF506&lt;&gt;0,TRIM(U506)&lt;&gt;"Pass after CA"))),1,0)</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row>
    <row r="507" customFormat="false" ht="39.75" hidden="false" customHeight="true" outlineLevel="0" collapsed="false">
      <c r="A507" s="57" t="s">
        <v>1122</v>
      </c>
      <c r="B507" s="57" t="s">
        <v>270</v>
      </c>
      <c r="C507" s="57" t="str">
        <f aca="false">Flights!$F$20</f>
        <v>MH0072</v>
      </c>
      <c r="D507" s="58" t="n">
        <f aca="false">Flights!$D$20</f>
        <v>46321</v>
      </c>
      <c r="E507" s="57" t="str">
        <f aca="false">Flights!$G$20&amp;"-"&amp;Flights!$H$20</f>
        <v>KUL-HKG</v>
      </c>
      <c r="F507" s="57" t="str">
        <f aca="false">Flights!$K$20</f>
        <v>EY</v>
      </c>
      <c r="G507" s="57" t="s">
        <v>74</v>
      </c>
      <c r="H507" s="57" t="s">
        <v>341</v>
      </c>
      <c r="I507" s="57" t="s">
        <v>348</v>
      </c>
      <c r="J507" s="57" t="s">
        <v>349</v>
      </c>
      <c r="K507" s="67" t="s">
        <v>350</v>
      </c>
      <c r="L507" s="67" t="s">
        <v>345</v>
      </c>
      <c r="M507" s="67"/>
      <c r="N507" s="67" t="s">
        <v>346</v>
      </c>
      <c r="O507" s="67"/>
      <c r="P507" s="57" t="s">
        <v>177</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IF(N507="N/A – rule","N/A – RULE",IF(TRIM(U507)="N/A",IF(AT507=0,"INVALID – N/A not permitted for this mandatory check",IF(AND(TRIM(AC507)&lt;&gt;"",TRIM(AE507)&lt;&gt;"",TRIM(T507)&lt;&gt;""),"N/A – JUSTIFIED","INVALID – N/A needs justification, PIC and verifier")),IF(OR(TRIM(U507)="Pass",TRIM(U507)="Pass after CA"),IF(NOT(ISNUMBER(AD507)),"INVALID – completion time missing",IF(TRIM(T507)="","INVALID – PIC missing",IF(TRIM(Z507)="","INVALID – evidence missing",IF(TRIM(AE507)="","INVALID – verifier missing",IF(AND(AQ507=1,TRIM(W507)=""),"INVALID – batch ID missing",IF(AND(AR507=1,OR(NOT(ISNUMBER(X507)),NOT(ISNUMBER(Y507)))),"INVALID – expected/actual qty missing",IF(IF(AND(TRIM(U507)="Pass",ISNUMBER(AF507)),IF(AF507&lt;&gt;0,"INVALID – qty variance: use Fail or Pass after CA",""),"")&amp;IF(AND(TRIM(U507)="Pass",AB507="Open"),"INVALID – corrective action still open: use Fail, then Pass after CA","")&amp;IF(AND(TRIM(U507)="Pass after CA",OR(TRIM(AA507)="",AB507&lt;&gt;"Closed")),"INVALID – corrective action not recorded/closed","")&lt;&gt;"",IF(AND(TRIM(U507)="Pass",ISNUMBER(AF507)),IF(AF507&lt;&gt;0,"INVALID – qty variance: use Fail or Pass after CA",""),"")&amp;IF(AND(TRIM(U507)="Pass",AB507="Open"),"INVALID – corrective action still open: use Fail, then Pass after CA","")&amp;IF(AND(TRIM(U507)="Pass after CA",OR(TRIM(AA507)="",AB507&lt;&gt;"Closed")),"INVALID – corrective action not recorded/closed",""),IF(AND(AS507=1,Documents!$J$20&lt;&gt;"ON FILE"),"INVALID – GLD not on file (Documents sheet)",IF(AND(AS507=2,Documents!$O$20&lt;&gt;"ON FILE"),"INVALID – menu checklist not on file (Documents sheet)",IF(AND(AS507=3,NOT(ISNUMBER(Flights!$AX$20))),"INVALID – enter carrying flight KUL departure (Flights AX)",IF(AG507&gt;AsOfUTC,"INVALID – completion time is in the future",IF(AND(ISNUMBER(S507),AG507&lt;S507),IF(H507="Physical uplift","INVALID – before uplift window (cannot confirm loading)","INVALID – before valid window"),IF(AG507&gt;Flights!$AA$20,"INVALID – completed after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f>
        <v>OPEN</v>
      </c>
      <c r="AI507" s="61" t="n">
        <f aca="false">IF(OR(AH507="N/A – RULE",AH507="N/A – JUSTIFIED"),0,1)</f>
        <v>1</v>
      </c>
      <c r="AJ507" s="61" t="n">
        <f aca="false">IF(LEFT(AH507,8)="COMPLETE",1,0)</f>
        <v>0</v>
      </c>
      <c r="AK507" s="61" t="n">
        <f aca="false">IF(AND(AI507=1,AJ507=0,AsOfUTC&gt;Q507),1,0)</f>
        <v>0</v>
      </c>
      <c r="AL507" s="61" t="n">
        <f aca="false">IF(AND(AI507=1,OR(TRIM(U507)="Fail",AB507="Open",AND(ISNUMBER(AF507),AF507&lt;&gt;0,TRIM(U507)&lt;&gt;"Pass after CA"))),1,0)</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1</v>
      </c>
    </row>
    <row r="508" customFormat="false" ht="41.25" hidden="false" customHeight="true" outlineLevel="0" collapsed="false">
      <c r="A508" s="57" t="s">
        <v>1123</v>
      </c>
      <c r="B508" s="57" t="s">
        <v>270</v>
      </c>
      <c r="C508" s="57" t="str">
        <f aca="false">Flights!$F$20</f>
        <v>MH0072</v>
      </c>
      <c r="D508" s="58" t="n">
        <f aca="false">Flights!$D$20</f>
        <v>46321</v>
      </c>
      <c r="E508" s="57" t="str">
        <f aca="false">Flights!$G$20&amp;"-"&amp;Flights!$H$20</f>
        <v>KUL-HKG</v>
      </c>
      <c r="F508" s="57" t="str">
        <f aca="false">Flights!$K$20</f>
        <v>EY</v>
      </c>
      <c r="G508" s="57" t="s">
        <v>74</v>
      </c>
      <c r="H508" s="57" t="s">
        <v>341</v>
      </c>
      <c r="I508" s="57" t="s">
        <v>352</v>
      </c>
      <c r="J508" s="57" t="s">
        <v>353</v>
      </c>
      <c r="K508" s="67" t="s">
        <v>354</v>
      </c>
      <c r="L508" s="67" t="s">
        <v>345</v>
      </c>
      <c r="M508" s="67"/>
      <c r="N508" s="67" t="str">
        <f aca="false">IF(TRIM(Flights!$L$20)="A339","Required","N/A – rule")</f>
        <v>N/A – rule</v>
      </c>
      <c r="O508" s="67" t="s">
        <v>355</v>
      </c>
      <c r="P508" s="57" t="s">
        <v>177</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IF(N508="N/A – rule","N/A – RULE",IF(TRIM(U508)="N/A",IF(AT508=0,"INVALID – N/A not permitted for this mandatory check",IF(AND(TRIM(AC508)&lt;&gt;"",TRIM(AE508)&lt;&gt;"",TRIM(T508)&lt;&gt;""),"N/A – JUSTIFIED","INVALID – N/A needs justification, PIC and verifier")),IF(OR(TRIM(U508)="Pass",TRIM(U508)="Pass after CA"),IF(NOT(ISNUMBER(AD508)),"INVALID – completion time missing",IF(TRIM(T508)="","INVALID – PIC missing",IF(TRIM(Z508)="","INVALID – evidence missing",IF(TRIM(AE508)="","INVALID – verifier missing",IF(AND(AQ508=1,TRIM(W508)=""),"INVALID – batch ID missing",IF(AND(AR508=1,OR(NOT(ISNUMBER(X508)),NOT(ISNUMBER(Y508)))),"INVALID – expected/actual qty missing",IF(IF(AND(TRIM(U508)="Pass",ISNUMBER(AF508)),IF(AF508&lt;&gt;0,"INVALID – qty variance: use Fail or Pass after CA",""),"")&amp;IF(AND(TRIM(U508)="Pass",AB508="Open"),"INVALID – corrective action still open: use Fail, then Pass after CA","")&amp;IF(AND(TRIM(U508)="Pass after CA",OR(TRIM(AA508)="",AB508&lt;&gt;"Closed")),"INVALID – corrective action not recorded/closed","")&lt;&gt;"",IF(AND(TRIM(U508)="Pass",ISNUMBER(AF508)),IF(AF508&lt;&gt;0,"INVALID – qty variance: use Fail or Pass after CA",""),"")&amp;IF(AND(TRIM(U508)="Pass",AB508="Open"),"INVALID – corrective action still open: use Fail, then Pass after CA","")&amp;IF(AND(TRIM(U508)="Pass after CA",OR(TRIM(AA508)="",AB508&lt;&gt;"Closed")),"INVALID – corrective action not recorded/closed",""),IF(AND(AS508=1,Documents!$J$20&lt;&gt;"ON FILE"),"INVALID – GLD not on file (Documents sheet)",IF(AND(AS508=2,Documents!$O$20&lt;&gt;"ON FILE"),"INVALID – menu checklist not on file (Documents sheet)",IF(AND(AS508=3,NOT(ISNUMBER(Flights!$AX$20))),"INVALID – enter carrying flight KUL departure (Flights AX)",IF(AG508&gt;AsOfUTC,"INVALID – completion time is in the future",IF(AND(ISNUMBER(S508),AG508&lt;S508),IF(H508="Physical uplift","INVALID – before uplift window (cannot confirm loading)","INVALID – before valid window"),IF(AG508&gt;Flights!$AA$20,"INVALID – completed after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f>
        <v>N/A – RULE</v>
      </c>
      <c r="AI508" s="61" t="n">
        <f aca="false">IF(OR(AH508="N/A – RULE",AH508="N/A – JUSTIFIED"),0,1)</f>
        <v>0</v>
      </c>
      <c r="AJ508" s="61" t="n">
        <f aca="false">IF(LEFT(AH508,8)="COMPLETE",1,0)</f>
        <v>0</v>
      </c>
      <c r="AK508" s="61" t="n">
        <f aca="false">IF(AND(AI508=1,AJ508=0,AsOfUTC&gt;Q508),1,0)</f>
        <v>0</v>
      </c>
      <c r="AL508" s="61" t="n">
        <f aca="false">IF(AND(AI508=1,OR(TRIM(U508)="Fail",AB508="Open",AND(ISNUMBER(AF508),AF508&lt;&gt;0,TRIM(U508)&lt;&gt;"Pass after CA"))),1,0)</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row>
    <row r="509" customFormat="false" ht="39.75" hidden="false" customHeight="true" outlineLevel="0" collapsed="false">
      <c r="A509" s="57" t="s">
        <v>1124</v>
      </c>
      <c r="B509" s="57" t="s">
        <v>270</v>
      </c>
      <c r="C509" s="57" t="str">
        <f aca="false">Flights!$F$20</f>
        <v>MH0072</v>
      </c>
      <c r="D509" s="58" t="n">
        <f aca="false">Flights!$D$20</f>
        <v>46321</v>
      </c>
      <c r="E509" s="57" t="str">
        <f aca="false">Flights!$G$20&amp;"-"&amp;Flights!$H$20</f>
        <v>KUL-HKG</v>
      </c>
      <c r="F509" s="57" t="str">
        <f aca="false">Flights!$K$20</f>
        <v>EY</v>
      </c>
      <c r="G509" s="57" t="s">
        <v>74</v>
      </c>
      <c r="H509" s="57" t="s">
        <v>341</v>
      </c>
      <c r="I509" s="57" t="s">
        <v>357</v>
      </c>
      <c r="J509" s="57" t="s">
        <v>358</v>
      </c>
      <c r="K509" s="67" t="s">
        <v>359</v>
      </c>
      <c r="L509" s="67" t="s">
        <v>345</v>
      </c>
      <c r="M509" s="67"/>
      <c r="N509" s="67" t="s">
        <v>346</v>
      </c>
      <c r="O509" s="67"/>
      <c r="P509" s="57" t="s">
        <v>177</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IF(N509="N/A – rule","N/A – RULE",IF(TRIM(U509)="N/A",IF(AT509=0,"INVALID – N/A not permitted for this mandatory check",IF(AND(TRIM(AC509)&lt;&gt;"",TRIM(AE509)&lt;&gt;"",TRIM(T509)&lt;&gt;""),"N/A – JUSTIFIED","INVALID – N/A needs justification, PIC and verifier")),IF(OR(TRIM(U509)="Pass",TRIM(U509)="Pass after CA"),IF(NOT(ISNUMBER(AD509)),"INVALID – completion time missing",IF(TRIM(T509)="","INVALID – PIC missing",IF(TRIM(Z509)="","INVALID – evidence missing",IF(TRIM(AE509)="","INVALID – verifier missing",IF(AND(AQ509=1,TRIM(W509)=""),"INVALID – batch ID missing",IF(AND(AR509=1,OR(NOT(ISNUMBER(X509)),NOT(ISNUMBER(Y509)))),"INVALID – expected/actual qty missing",IF(IF(AND(TRIM(U509)="Pass",ISNUMBER(AF509)),IF(AF509&lt;&gt;0,"INVALID – qty variance: use Fail or Pass after CA",""),"")&amp;IF(AND(TRIM(U509)="Pass",AB509="Open"),"INVALID – corrective action still open: use Fail, then Pass after CA","")&amp;IF(AND(TRIM(U509)="Pass after CA",OR(TRIM(AA509)="",AB509&lt;&gt;"Closed")),"INVALID – corrective action not recorded/closed","")&lt;&gt;"",IF(AND(TRIM(U509)="Pass",ISNUMBER(AF509)),IF(AF509&lt;&gt;0,"INVALID – qty variance: use Fail or Pass after CA",""),"")&amp;IF(AND(TRIM(U509)="Pass",AB509="Open"),"INVALID – corrective action still open: use Fail, then Pass after CA","")&amp;IF(AND(TRIM(U509)="Pass after CA",OR(TRIM(AA509)="",AB509&lt;&gt;"Closed")),"INVALID – corrective action not recorded/closed",""),IF(AND(AS509=1,Documents!$J$20&lt;&gt;"ON FILE"),"INVALID – GLD not on file (Documents sheet)",IF(AND(AS509=2,Documents!$O$20&lt;&gt;"ON FILE"),"INVALID – menu checklist not on file (Documents sheet)",IF(AND(AS509=3,NOT(ISNUMBER(Flights!$AX$20))),"INVALID – enter carrying flight KUL departure (Flights AX)",IF(AG509&gt;AsOfUTC,"INVALID – completion time is in the future",IF(AND(ISNUMBER(S509),AG509&lt;S509),IF(H509="Physical uplift","INVALID – before uplift window (cannot confirm loading)","INVALID – before valid window"),IF(AG509&gt;Flights!$AA$20,"INVALID – completed after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f>
        <v>OPEN</v>
      </c>
      <c r="AI509" s="61" t="n">
        <f aca="false">IF(OR(AH509="N/A – RULE",AH509="N/A – JUSTIFIED"),0,1)</f>
        <v>1</v>
      </c>
      <c r="AJ509" s="61" t="n">
        <f aca="false">IF(LEFT(AH509,8)="COMPLETE",1,0)</f>
        <v>0</v>
      </c>
      <c r="AK509" s="61" t="n">
        <f aca="false">IF(AND(AI509=1,AJ509=0,AsOfUTC&gt;Q509),1,0)</f>
        <v>0</v>
      </c>
      <c r="AL509" s="61" t="n">
        <f aca="false">IF(AND(AI509=1,OR(TRIM(U509)="Fail",AB509="Open",AND(ISNUMBER(AF509),AF509&lt;&gt;0,TRIM(U509)&lt;&gt;"Pass after CA"))),1,0)</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row>
    <row r="510" customFormat="false" ht="39.75" hidden="false" customHeight="true" outlineLevel="0" collapsed="false">
      <c r="A510" s="57" t="s">
        <v>1125</v>
      </c>
      <c r="B510" s="57" t="s">
        <v>270</v>
      </c>
      <c r="C510" s="57" t="str">
        <f aca="false">Flights!$F$20</f>
        <v>MH0072</v>
      </c>
      <c r="D510" s="58" t="n">
        <f aca="false">Flights!$D$20</f>
        <v>46321</v>
      </c>
      <c r="E510" s="57" t="str">
        <f aca="false">Flights!$G$20&amp;"-"&amp;Flights!$H$20</f>
        <v>KUL-HKG</v>
      </c>
      <c r="F510" s="57" t="str">
        <f aca="false">Flights!$K$20</f>
        <v>EY</v>
      </c>
      <c r="G510" s="57" t="s">
        <v>74</v>
      </c>
      <c r="H510" s="57" t="s">
        <v>341</v>
      </c>
      <c r="I510" s="57" t="s">
        <v>361</v>
      </c>
      <c r="J510" s="57" t="s">
        <v>362</v>
      </c>
      <c r="K510" s="67" t="s">
        <v>363</v>
      </c>
      <c r="L510" s="67" t="s">
        <v>345</v>
      </c>
      <c r="M510" s="67"/>
      <c r="N510" s="67" t="s">
        <v>346</v>
      </c>
      <c r="O510" s="67"/>
      <c r="P510" s="57" t="s">
        <v>177</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IF(N510="N/A – rule","N/A – RULE",IF(TRIM(U510)="N/A",IF(AT510=0,"INVALID – N/A not permitted for this mandatory check",IF(AND(TRIM(AC510)&lt;&gt;"",TRIM(AE510)&lt;&gt;"",TRIM(T510)&lt;&gt;""),"N/A – JUSTIFIED","INVALID – N/A needs justification, PIC and verifier")),IF(OR(TRIM(U510)="Pass",TRIM(U510)="Pass after CA"),IF(NOT(ISNUMBER(AD510)),"INVALID – completion time missing",IF(TRIM(T510)="","INVALID – PIC missing",IF(TRIM(Z510)="","INVALID – evidence missing",IF(TRIM(AE510)="","INVALID – verifier missing",IF(AND(AQ510=1,TRIM(W510)=""),"INVALID – batch ID missing",IF(AND(AR510=1,OR(NOT(ISNUMBER(X510)),NOT(ISNUMBER(Y510)))),"INVALID – expected/actual qty missing",IF(IF(AND(TRIM(U510)="Pass",ISNUMBER(AF510)),IF(AF510&lt;&gt;0,"INVALID – qty variance: use Fail or Pass after CA",""),"")&amp;IF(AND(TRIM(U510)="Pass",AB510="Open"),"INVALID – corrective action still open: use Fail, then Pass after CA","")&amp;IF(AND(TRIM(U510)="Pass after CA",OR(TRIM(AA510)="",AB510&lt;&gt;"Closed")),"INVALID – corrective action not recorded/closed","")&lt;&gt;"",IF(AND(TRIM(U510)="Pass",ISNUMBER(AF510)),IF(AF510&lt;&gt;0,"INVALID – qty variance: use Fail or Pass after CA",""),"")&amp;IF(AND(TRIM(U510)="Pass",AB510="Open"),"INVALID – corrective action still open: use Fail, then Pass after CA","")&amp;IF(AND(TRIM(U510)="Pass after CA",OR(TRIM(AA510)="",AB510&lt;&gt;"Closed")),"INVALID – corrective action not recorded/closed",""),IF(AND(AS510=1,Documents!$J$20&lt;&gt;"ON FILE"),"INVALID – GLD not on file (Documents sheet)",IF(AND(AS510=2,Documents!$O$20&lt;&gt;"ON FILE"),"INVALID – menu checklist not on file (Documents sheet)",IF(AND(AS510=3,NOT(ISNUMBER(Flights!$AX$20))),"INVALID – enter carrying flight KUL departure (Flights AX)",IF(AG510&gt;AsOfUTC,"INVALID – completion time is in the future",IF(AND(ISNUMBER(S510),AG510&lt;S510),IF(H510="Physical uplift","INVALID – before uplift window (cannot confirm loading)","INVALID – before valid window"),IF(AG510&gt;Flights!$AA$20,"INVALID – completed after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f>
        <v>OPEN</v>
      </c>
      <c r="AI510" s="61" t="n">
        <f aca="false">IF(OR(AH510="N/A – RULE",AH510="N/A – JUSTIFIED"),0,1)</f>
        <v>1</v>
      </c>
      <c r="AJ510" s="61" t="n">
        <f aca="false">IF(LEFT(AH510,8)="COMPLETE",1,0)</f>
        <v>0</v>
      </c>
      <c r="AK510" s="61" t="n">
        <f aca="false">IF(AND(AI510=1,AJ510=0,AsOfUTC&gt;Q510),1,0)</f>
        <v>0</v>
      </c>
      <c r="AL510" s="61" t="n">
        <f aca="false">IF(AND(AI510=1,OR(TRIM(U510)="Fail",AB510="Open",AND(ISNUMBER(AF510),AF510&lt;&gt;0,TRIM(U510)&lt;&gt;"Pass after CA"))),1,0)</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row>
    <row r="511" customFormat="false" ht="39.75" hidden="false" customHeight="true" outlineLevel="0" collapsed="false">
      <c r="A511" s="57" t="s">
        <v>1126</v>
      </c>
      <c r="B511" s="57" t="s">
        <v>270</v>
      </c>
      <c r="C511" s="57" t="str">
        <f aca="false">Flights!$F$20</f>
        <v>MH0072</v>
      </c>
      <c r="D511" s="58" t="n">
        <f aca="false">Flights!$D$20</f>
        <v>46321</v>
      </c>
      <c r="E511" s="57" t="str">
        <f aca="false">Flights!$G$20&amp;"-"&amp;Flights!$H$20</f>
        <v>KUL-HKG</v>
      </c>
      <c r="F511" s="57" t="str">
        <f aca="false">Flights!$K$20</f>
        <v>EY</v>
      </c>
      <c r="G511" s="57" t="s">
        <v>74</v>
      </c>
      <c r="H511" s="57" t="s">
        <v>341</v>
      </c>
      <c r="I511" s="57" t="s">
        <v>361</v>
      </c>
      <c r="J511" s="57" t="s">
        <v>365</v>
      </c>
      <c r="K511" s="67" t="s">
        <v>366</v>
      </c>
      <c r="L511" s="67" t="s">
        <v>345</v>
      </c>
      <c r="M511" s="67"/>
      <c r="N511" s="67" t="s">
        <v>346</v>
      </c>
      <c r="O511" s="67"/>
      <c r="P511" s="57" t="s">
        <v>177</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IF(N511="N/A – rule","N/A – RULE",IF(TRIM(U511)="N/A",IF(AT511=0,"INVALID – N/A not permitted for this mandatory check",IF(AND(TRIM(AC511)&lt;&gt;"",TRIM(AE511)&lt;&gt;"",TRIM(T511)&lt;&gt;""),"N/A – JUSTIFIED","INVALID – N/A needs justification, PIC and verifier")),IF(OR(TRIM(U511)="Pass",TRIM(U511)="Pass after CA"),IF(NOT(ISNUMBER(AD511)),"INVALID – completion time missing",IF(TRIM(T511)="","INVALID – PIC missing",IF(TRIM(Z511)="","INVALID – evidence missing",IF(TRIM(AE511)="","INVALID – verifier missing",IF(AND(AQ511=1,TRIM(W511)=""),"INVALID – batch ID missing",IF(AND(AR511=1,OR(NOT(ISNUMBER(X511)),NOT(ISNUMBER(Y511)))),"INVALID – expected/actual qty missing",IF(IF(AND(TRIM(U511)="Pass",ISNUMBER(AF511)),IF(AF511&lt;&gt;0,"INVALID – qty variance: use Fail or Pass after CA",""),"")&amp;IF(AND(TRIM(U511)="Pass",AB511="Open"),"INVALID – corrective action still open: use Fail, then Pass after CA","")&amp;IF(AND(TRIM(U511)="Pass after CA",OR(TRIM(AA511)="",AB511&lt;&gt;"Closed")),"INVALID – corrective action not recorded/closed","")&lt;&gt;"",IF(AND(TRIM(U511)="Pass",ISNUMBER(AF511)),IF(AF511&lt;&gt;0,"INVALID – qty variance: use Fail or Pass after CA",""),"")&amp;IF(AND(TRIM(U511)="Pass",AB511="Open"),"INVALID – corrective action still open: use Fail, then Pass after CA","")&amp;IF(AND(TRIM(U511)="Pass after CA",OR(TRIM(AA511)="",AB511&lt;&gt;"Closed")),"INVALID – corrective action not recorded/closed",""),IF(AND(AS511=1,Documents!$J$20&lt;&gt;"ON FILE"),"INVALID – GLD not on file (Documents sheet)",IF(AND(AS511=2,Documents!$O$20&lt;&gt;"ON FILE"),"INVALID – menu checklist not on file (Documents sheet)",IF(AND(AS511=3,NOT(ISNUMBER(Flights!$AX$20))),"INVALID – enter carrying flight KUL departure (Flights AX)",IF(AG511&gt;AsOfUTC,"INVALID – completion time is in the future",IF(AND(ISNUMBER(S511),AG511&lt;S511),IF(H511="Physical uplift","INVALID – before uplift window (cannot confirm loading)","INVALID – before valid window"),IF(AG511&gt;Flights!$AA$20,"INVALID – completed after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f>
        <v>OPEN</v>
      </c>
      <c r="AI511" s="61" t="n">
        <f aca="false">IF(OR(AH511="N/A – RULE",AH511="N/A – JUSTIFIED"),0,1)</f>
        <v>1</v>
      </c>
      <c r="AJ511" s="61" t="n">
        <f aca="false">IF(LEFT(AH511,8)="COMPLETE",1,0)</f>
        <v>0</v>
      </c>
      <c r="AK511" s="61" t="n">
        <f aca="false">IF(AND(AI511=1,AJ511=0,AsOfUTC&gt;Q511),1,0)</f>
        <v>0</v>
      </c>
      <c r="AL511" s="61" t="n">
        <f aca="false">IF(AND(AI511=1,OR(TRIM(U511)="Fail",AB511="Open",AND(ISNUMBER(AF511),AF511&lt;&gt;0,TRIM(U511)&lt;&gt;"Pass after CA"))),1,0)</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row>
    <row r="512" customFormat="false" ht="39.75" hidden="false" customHeight="true" outlineLevel="0" collapsed="false">
      <c r="A512" s="57" t="s">
        <v>1127</v>
      </c>
      <c r="B512" s="57" t="s">
        <v>270</v>
      </c>
      <c r="C512" s="57" t="str">
        <f aca="false">Flights!$F$20</f>
        <v>MH0072</v>
      </c>
      <c r="D512" s="58" t="n">
        <f aca="false">Flights!$D$20</f>
        <v>46321</v>
      </c>
      <c r="E512" s="57" t="str">
        <f aca="false">Flights!$G$20&amp;"-"&amp;Flights!$H$20</f>
        <v>KUL-HKG</v>
      </c>
      <c r="F512" s="57" t="str">
        <f aca="false">Flights!$K$20</f>
        <v>EY</v>
      </c>
      <c r="G512" s="57" t="s">
        <v>74</v>
      </c>
      <c r="H512" s="57" t="s">
        <v>341</v>
      </c>
      <c r="I512" s="57" t="s">
        <v>368</v>
      </c>
      <c r="J512" s="57" t="s">
        <v>369</v>
      </c>
      <c r="K512" s="67" t="s">
        <v>370</v>
      </c>
      <c r="L512" s="67" t="s">
        <v>345</v>
      </c>
      <c r="M512" s="67"/>
      <c r="N512" s="67" t="s">
        <v>346</v>
      </c>
      <c r="O512" s="67"/>
      <c r="P512" s="57" t="s">
        <v>177</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IF(N512="N/A – rule","N/A – RULE",IF(TRIM(U512)="N/A",IF(AT512=0,"INVALID – N/A not permitted for this mandatory check",IF(AND(TRIM(AC512)&lt;&gt;"",TRIM(AE512)&lt;&gt;"",TRIM(T512)&lt;&gt;""),"N/A – JUSTIFIED","INVALID – N/A needs justification, PIC and verifier")),IF(OR(TRIM(U512)="Pass",TRIM(U512)="Pass after CA"),IF(NOT(ISNUMBER(AD512)),"INVALID – completion time missing",IF(TRIM(T512)="","INVALID – PIC missing",IF(TRIM(Z512)="","INVALID – evidence missing",IF(TRIM(AE512)="","INVALID – verifier missing",IF(AND(AQ512=1,TRIM(W512)=""),"INVALID – batch ID missing",IF(AND(AR512=1,OR(NOT(ISNUMBER(X512)),NOT(ISNUMBER(Y512)))),"INVALID – expected/actual qty missing",IF(IF(AND(TRIM(U512)="Pass",ISNUMBER(AF512)),IF(AF512&lt;&gt;0,"INVALID – qty variance: use Fail or Pass after CA",""),"")&amp;IF(AND(TRIM(U512)="Pass",AB512="Open"),"INVALID – corrective action still open: use Fail, then Pass after CA","")&amp;IF(AND(TRIM(U512)="Pass after CA",OR(TRIM(AA512)="",AB512&lt;&gt;"Closed")),"INVALID – corrective action not recorded/closed","")&lt;&gt;"",IF(AND(TRIM(U512)="Pass",ISNUMBER(AF512)),IF(AF512&lt;&gt;0,"INVALID – qty variance: use Fail or Pass after CA",""),"")&amp;IF(AND(TRIM(U512)="Pass",AB512="Open"),"INVALID – corrective action still open: use Fail, then Pass after CA","")&amp;IF(AND(TRIM(U512)="Pass after CA",OR(TRIM(AA512)="",AB512&lt;&gt;"Closed")),"INVALID – corrective action not recorded/closed",""),IF(AND(AS512=1,Documents!$J$20&lt;&gt;"ON FILE"),"INVALID – GLD not on file (Documents sheet)",IF(AND(AS512=2,Documents!$O$20&lt;&gt;"ON FILE"),"INVALID – menu checklist not on file (Documents sheet)",IF(AND(AS512=3,NOT(ISNUMBER(Flights!$AX$20))),"INVALID – enter carrying flight KUL departure (Flights AX)",IF(AG512&gt;AsOfUTC,"INVALID – completion time is in the future",IF(AND(ISNUMBER(S512),AG512&lt;S512),IF(H512="Physical uplift","INVALID – before uplift window (cannot confirm loading)","INVALID – before valid window"),IF(AG512&gt;Flights!$AA$20,"INVALID – completed after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f>
        <v>OPEN</v>
      </c>
      <c r="AI512" s="61" t="n">
        <f aca="false">IF(OR(AH512="N/A – RULE",AH512="N/A – JUSTIFIED"),0,1)</f>
        <v>1</v>
      </c>
      <c r="AJ512" s="61" t="n">
        <f aca="false">IF(LEFT(AH512,8)="COMPLETE",1,0)</f>
        <v>0</v>
      </c>
      <c r="AK512" s="61" t="n">
        <f aca="false">IF(AND(AI512=1,AJ512=0,AsOfUTC&gt;Q512),1,0)</f>
        <v>0</v>
      </c>
      <c r="AL512" s="61" t="n">
        <f aca="false">IF(AND(AI512=1,OR(TRIM(U512)="Fail",AB512="Open",AND(ISNUMBER(AF512),AF512&lt;&gt;0,TRIM(U512)&lt;&gt;"Pass after CA"))),1,0)</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row>
    <row r="513" customFormat="false" ht="39.75" hidden="false" customHeight="true" outlineLevel="0" collapsed="false">
      <c r="A513" s="57" t="s">
        <v>1128</v>
      </c>
      <c r="B513" s="57" t="s">
        <v>270</v>
      </c>
      <c r="C513" s="57" t="str">
        <f aca="false">Flights!$F$20</f>
        <v>MH0072</v>
      </c>
      <c r="D513" s="58" t="n">
        <f aca="false">Flights!$D$20</f>
        <v>46321</v>
      </c>
      <c r="E513" s="57" t="str">
        <f aca="false">Flights!$G$20&amp;"-"&amp;Flights!$H$20</f>
        <v>KUL-HKG</v>
      </c>
      <c r="F513" s="57" t="str">
        <f aca="false">Flights!$K$20</f>
        <v>EY</v>
      </c>
      <c r="G513" s="57" t="s">
        <v>74</v>
      </c>
      <c r="H513" s="57" t="s">
        <v>341</v>
      </c>
      <c r="I513" s="57" t="s">
        <v>368</v>
      </c>
      <c r="J513" s="57" t="s">
        <v>372</v>
      </c>
      <c r="K513" s="67" t="s">
        <v>370</v>
      </c>
      <c r="L513" s="67" t="s">
        <v>345</v>
      </c>
      <c r="M513" s="67"/>
      <c r="N513" s="67" t="s">
        <v>346</v>
      </c>
      <c r="O513" s="67"/>
      <c r="P513" s="57" t="s">
        <v>177</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IF(N513="N/A – rule","N/A – RULE",IF(TRIM(U513)="N/A",IF(AT513=0,"INVALID – N/A not permitted for this mandatory check",IF(AND(TRIM(AC513)&lt;&gt;"",TRIM(AE513)&lt;&gt;"",TRIM(T513)&lt;&gt;""),"N/A – JUSTIFIED","INVALID – N/A needs justification, PIC and verifier")),IF(OR(TRIM(U513)="Pass",TRIM(U513)="Pass after CA"),IF(NOT(ISNUMBER(AD513)),"INVALID – completion time missing",IF(TRIM(T513)="","INVALID – PIC missing",IF(TRIM(Z513)="","INVALID – evidence missing",IF(TRIM(AE513)="","INVALID – verifier missing",IF(AND(AQ513=1,TRIM(W513)=""),"INVALID – batch ID missing",IF(AND(AR513=1,OR(NOT(ISNUMBER(X513)),NOT(ISNUMBER(Y513)))),"INVALID – expected/actual qty missing",IF(IF(AND(TRIM(U513)="Pass",ISNUMBER(AF513)),IF(AF513&lt;&gt;0,"INVALID – qty variance: use Fail or Pass after CA",""),"")&amp;IF(AND(TRIM(U513)="Pass",AB513="Open"),"INVALID – corrective action still open: use Fail, then Pass after CA","")&amp;IF(AND(TRIM(U513)="Pass after CA",OR(TRIM(AA513)="",AB513&lt;&gt;"Closed")),"INVALID – corrective action not recorded/closed","")&lt;&gt;"",IF(AND(TRIM(U513)="Pass",ISNUMBER(AF513)),IF(AF513&lt;&gt;0,"INVALID – qty variance: use Fail or Pass after CA",""),"")&amp;IF(AND(TRIM(U513)="Pass",AB513="Open"),"INVALID – corrective action still open: use Fail, then Pass after CA","")&amp;IF(AND(TRIM(U513)="Pass after CA",OR(TRIM(AA513)="",AB513&lt;&gt;"Closed")),"INVALID – corrective action not recorded/closed",""),IF(AND(AS513=1,Documents!$J$20&lt;&gt;"ON FILE"),"INVALID – GLD not on file (Documents sheet)",IF(AND(AS513=2,Documents!$O$20&lt;&gt;"ON FILE"),"INVALID – menu checklist not on file (Documents sheet)",IF(AND(AS513=3,NOT(ISNUMBER(Flights!$AX$20))),"INVALID – enter carrying flight KUL departure (Flights AX)",IF(AG513&gt;AsOfUTC,"INVALID – completion time is in the future",IF(AND(ISNUMBER(S513),AG513&lt;S513),IF(H513="Physical uplift","INVALID – before uplift window (cannot confirm loading)","INVALID – before valid window"),IF(AG513&gt;Flights!$AA$20,"INVALID – completed after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f>
        <v>OPEN</v>
      </c>
      <c r="AI513" s="61" t="n">
        <f aca="false">IF(OR(AH513="N/A – RULE",AH513="N/A – JUSTIFIED"),0,1)</f>
        <v>1</v>
      </c>
      <c r="AJ513" s="61" t="n">
        <f aca="false">IF(LEFT(AH513,8)="COMPLETE",1,0)</f>
        <v>0</v>
      </c>
      <c r="AK513" s="61" t="n">
        <f aca="false">IF(AND(AI513=1,AJ513=0,AsOfUTC&gt;Q513),1,0)</f>
        <v>0</v>
      </c>
      <c r="AL513" s="61" t="n">
        <f aca="false">IF(AND(AI513=1,OR(TRIM(U513)="Fail",AB513="Open",AND(ISNUMBER(AF513),AF513&lt;&gt;0,TRIM(U513)&lt;&gt;"Pass after CA"))),1,0)</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row>
    <row r="514" customFormat="false" ht="39.75" hidden="false" customHeight="true" outlineLevel="0" collapsed="false">
      <c r="A514" s="57" t="s">
        <v>1129</v>
      </c>
      <c r="B514" s="57" t="s">
        <v>270</v>
      </c>
      <c r="C514" s="57" t="str">
        <f aca="false">Flights!$F$20</f>
        <v>MH0072</v>
      </c>
      <c r="D514" s="58" t="n">
        <f aca="false">Flights!$D$20</f>
        <v>46321</v>
      </c>
      <c r="E514" s="57" t="str">
        <f aca="false">Flights!$G$20&amp;"-"&amp;Flights!$H$20</f>
        <v>KUL-HKG</v>
      </c>
      <c r="F514" s="57" t="str">
        <f aca="false">Flights!$K$20</f>
        <v>EY</v>
      </c>
      <c r="G514" s="57" t="s">
        <v>74</v>
      </c>
      <c r="H514" s="57" t="s">
        <v>341</v>
      </c>
      <c r="I514" s="57" t="s">
        <v>374</v>
      </c>
      <c r="J514" s="57" t="s">
        <v>375</v>
      </c>
      <c r="K514" s="67" t="s">
        <v>1130</v>
      </c>
      <c r="L514" s="67" t="s">
        <v>1131</v>
      </c>
      <c r="M514" s="67"/>
      <c r="N514" s="67" t="s">
        <v>346</v>
      </c>
      <c r="O514" s="67"/>
      <c r="P514" s="57" t="s">
        <v>177</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IF(N514="N/A – rule","N/A – RULE",IF(TRIM(U514)="N/A",IF(AT514=0,"INVALID – N/A not permitted for this mandatory check",IF(AND(TRIM(AC514)&lt;&gt;"",TRIM(AE514)&lt;&gt;"",TRIM(T514)&lt;&gt;""),"N/A – JUSTIFIED","INVALID – N/A needs justification, PIC and verifier")),IF(OR(TRIM(U514)="Pass",TRIM(U514)="Pass after CA"),IF(NOT(ISNUMBER(AD514)),"INVALID – completion time missing",IF(TRIM(T514)="","INVALID – PIC missing",IF(TRIM(Z514)="","INVALID – evidence missing",IF(TRIM(AE514)="","INVALID – verifier missing",IF(AND(AQ514=1,TRIM(W514)=""),"INVALID – batch ID missing",IF(AND(AR514=1,OR(NOT(ISNUMBER(X514)),NOT(ISNUMBER(Y514)))),"INVALID – expected/actual qty missing",IF(IF(AND(TRIM(U514)="Pass",ISNUMBER(AF514)),IF(AF514&lt;&gt;0,"INVALID – qty variance: use Fail or Pass after CA",""),"")&amp;IF(AND(TRIM(U514)="Pass",AB514="Open"),"INVALID – corrective action still open: use Fail, then Pass after CA","")&amp;IF(AND(TRIM(U514)="Pass after CA",OR(TRIM(AA514)="",AB514&lt;&gt;"Closed")),"INVALID – corrective action not recorded/closed","")&lt;&gt;"",IF(AND(TRIM(U514)="Pass",ISNUMBER(AF514)),IF(AF514&lt;&gt;0,"INVALID – qty variance: use Fail or Pass after CA",""),"")&amp;IF(AND(TRIM(U514)="Pass",AB514="Open"),"INVALID – corrective action still open: use Fail, then Pass after CA","")&amp;IF(AND(TRIM(U514)="Pass after CA",OR(TRIM(AA514)="",AB514&lt;&gt;"Closed")),"INVALID – corrective action not recorded/closed",""),IF(AND(AS514=1,Documents!$J$20&lt;&gt;"ON FILE"),"INVALID – GLD not on file (Documents sheet)",IF(AND(AS514=2,Documents!$O$20&lt;&gt;"ON FILE"),"INVALID – menu checklist not on file (Documents sheet)",IF(AND(AS514=3,NOT(ISNUMBER(Flights!$AX$20))),"INVALID – enter carrying flight KUL departure (Flights AX)",IF(AG514&gt;AsOfUTC,"INVALID – completion time is in the future",IF(AND(ISNUMBER(S514),AG514&lt;S514),IF(H514="Physical uplift","INVALID – before uplift window (cannot confirm loading)","INVALID – before valid window"),IF(AG514&gt;Flights!$AA$20,"INVALID – completed after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f>
        <v>OPEN</v>
      </c>
      <c r="AI514" s="61" t="n">
        <f aca="false">IF(OR(AH514="N/A – RULE",AH514="N/A – JUSTIFIED"),0,1)</f>
        <v>1</v>
      </c>
      <c r="AJ514" s="61" t="n">
        <f aca="false">IF(LEFT(AH514,8)="COMPLETE",1,0)</f>
        <v>0</v>
      </c>
      <c r="AK514" s="61" t="n">
        <f aca="false">IF(AND(AI514=1,AJ514=0,AsOfUTC&gt;Q514),1,0)</f>
        <v>0</v>
      </c>
      <c r="AL514" s="61" t="n">
        <f aca="false">IF(AND(AI514=1,OR(TRIM(U514)="Fail",AB514="Open",AND(ISNUMBER(AF514),AF514&lt;&gt;0,TRIM(U514)&lt;&gt;"Pass after CA"))),1,0)</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row>
    <row r="515" customFormat="false" ht="39.75" hidden="false" customHeight="true" outlineLevel="0" collapsed="false">
      <c r="A515" s="57" t="s">
        <v>1132</v>
      </c>
      <c r="B515" s="57" t="s">
        <v>270</v>
      </c>
      <c r="C515" s="57" t="str">
        <f aca="false">Flights!$F$20</f>
        <v>MH0072</v>
      </c>
      <c r="D515" s="58" t="n">
        <f aca="false">Flights!$D$20</f>
        <v>46321</v>
      </c>
      <c r="E515" s="57" t="str">
        <f aca="false">Flights!$G$20&amp;"-"&amp;Flights!$H$20</f>
        <v>KUL-HKG</v>
      </c>
      <c r="F515" s="57" t="str">
        <f aca="false">Flights!$K$20</f>
        <v>EY</v>
      </c>
      <c r="G515" s="57" t="s">
        <v>76</v>
      </c>
      <c r="H515" s="57" t="s">
        <v>341</v>
      </c>
      <c r="I515" s="57" t="s">
        <v>342</v>
      </c>
      <c r="J515" s="57" t="s">
        <v>379</v>
      </c>
      <c r="K515" s="67" t="s">
        <v>380</v>
      </c>
      <c r="L515" s="67" t="s">
        <v>381</v>
      </c>
      <c r="M515" s="67"/>
      <c r="N515" s="67" t="s">
        <v>346</v>
      </c>
      <c r="O515" s="67"/>
      <c r="P515" s="57" t="s">
        <v>177</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IF(N515="N/A – rule","N/A – RULE",IF(TRIM(U515)="N/A",IF(AT515=0,"INVALID – N/A not permitted for this mandatory check",IF(AND(TRIM(AC515)&lt;&gt;"",TRIM(AE515)&lt;&gt;"",TRIM(T515)&lt;&gt;""),"N/A – JUSTIFIED","INVALID – N/A needs justification, PIC and verifier")),IF(OR(TRIM(U515)="Pass",TRIM(U515)="Pass after CA"),IF(NOT(ISNUMBER(AD515)),"INVALID – completion time missing",IF(TRIM(T515)="","INVALID – PIC missing",IF(TRIM(Z515)="","INVALID – evidence missing",IF(TRIM(AE515)="","INVALID – verifier missing",IF(AND(AQ515=1,TRIM(W515)=""),"INVALID – batch ID missing",IF(AND(AR515=1,OR(NOT(ISNUMBER(X515)),NOT(ISNUMBER(Y515)))),"INVALID – expected/actual qty missing",IF(IF(AND(TRIM(U515)="Pass",ISNUMBER(AF515)),IF(AF515&lt;&gt;0,"INVALID – qty variance: use Fail or Pass after CA",""),"")&amp;IF(AND(TRIM(U515)="Pass",AB515="Open"),"INVALID – corrective action still open: use Fail, then Pass after CA","")&amp;IF(AND(TRIM(U515)="Pass after CA",OR(TRIM(AA515)="",AB515&lt;&gt;"Closed")),"INVALID – corrective action not recorded/closed","")&lt;&gt;"",IF(AND(TRIM(U515)="Pass",ISNUMBER(AF515)),IF(AF515&lt;&gt;0,"INVALID – qty variance: use Fail or Pass after CA",""),"")&amp;IF(AND(TRIM(U515)="Pass",AB515="Open"),"INVALID – corrective action still open: use Fail, then Pass after CA","")&amp;IF(AND(TRIM(U515)="Pass after CA",OR(TRIM(AA515)="",AB515&lt;&gt;"Closed")),"INVALID – corrective action not recorded/closed",""),IF(AND(AS515=1,Documents!$J$20&lt;&gt;"ON FILE"),"INVALID – GLD not on file (Documents sheet)",IF(AND(AS515=2,Documents!$O$20&lt;&gt;"ON FILE"),"INVALID – menu checklist not on file (Documents sheet)",IF(AND(AS515=3,NOT(ISNUMBER(Flights!$AX$20))),"INVALID – enter carrying flight KUL departure (Flights AX)",IF(AG515&gt;AsOfUTC,"INVALID – completion time is in the future",IF(AND(ISNUMBER(S515),AG515&lt;S515),IF(H515="Physical uplift","INVALID – before uplift window (cannot confirm loading)","INVALID – before valid window"),IF(AG515&gt;Flights!$AA$20,"INVALID – completed after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f>
        <v>OPEN</v>
      </c>
      <c r="AI515" s="61" t="n">
        <f aca="false">IF(OR(AH515="N/A – RULE",AH515="N/A – JUSTIFIED"),0,1)</f>
        <v>1</v>
      </c>
      <c r="AJ515" s="61" t="n">
        <f aca="false">IF(LEFT(AH515,8)="COMPLETE",1,0)</f>
        <v>0</v>
      </c>
      <c r="AK515" s="61" t="n">
        <f aca="false">IF(AND(AI515=1,AJ515=0,AsOfUTC&gt;Q515),1,0)</f>
        <v>0</v>
      </c>
      <c r="AL515" s="61" t="n">
        <f aca="false">IF(AND(AI515=1,OR(TRIM(U515)="Fail",AB515="Open",AND(ISNUMBER(AF515),AF515&lt;&gt;0,TRIM(U515)&lt;&gt;"Pass after CA"))),1,0)</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row>
    <row r="516" customFormat="false" ht="39.75" hidden="false" customHeight="true" outlineLevel="0" collapsed="false">
      <c r="A516" s="57" t="s">
        <v>1133</v>
      </c>
      <c r="B516" s="57" t="s">
        <v>270</v>
      </c>
      <c r="C516" s="57" t="str">
        <f aca="false">Flights!$F$20</f>
        <v>MH0072</v>
      </c>
      <c r="D516" s="58" t="n">
        <f aca="false">Flights!$D$20</f>
        <v>46321</v>
      </c>
      <c r="E516" s="57" t="str">
        <f aca="false">Flights!$G$20&amp;"-"&amp;Flights!$H$20</f>
        <v>KUL-HKG</v>
      </c>
      <c r="F516" s="57" t="str">
        <f aca="false">Flights!$K$20</f>
        <v>EY</v>
      </c>
      <c r="G516" s="57" t="s">
        <v>383</v>
      </c>
      <c r="H516" s="57" t="s">
        <v>341</v>
      </c>
      <c r="I516" s="57" t="s">
        <v>342</v>
      </c>
      <c r="J516" s="57" t="s">
        <v>384</v>
      </c>
      <c r="K516" s="67"/>
      <c r="L516" s="67" t="s">
        <v>385</v>
      </c>
      <c r="M516" s="67"/>
      <c r="N516" s="67" t="s">
        <v>346</v>
      </c>
      <c r="O516" s="67" t="s">
        <v>386</v>
      </c>
      <c r="P516" s="57" t="s">
        <v>177</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IF(N516="N/A – rule","N/A – RULE",IF(TRIM(U516)="N/A",IF(AT516=0,"INVALID – N/A not permitted for this mandatory check",IF(AND(TRIM(AC516)&lt;&gt;"",TRIM(AE516)&lt;&gt;"",TRIM(T516)&lt;&gt;""),"N/A – JUSTIFIED","INVALID – N/A needs justification, PIC and verifier")),IF(OR(TRIM(U516)="Pass",TRIM(U516)="Pass after CA"),IF(NOT(ISNUMBER(AD516)),"INVALID – completion time missing",IF(TRIM(T516)="","INVALID – PIC missing",IF(TRIM(Z516)="","INVALID – evidence missing",IF(TRIM(AE516)="","INVALID – verifier missing",IF(AND(AQ516=1,TRIM(W516)=""),"INVALID – batch ID missing",IF(AND(AR516=1,OR(NOT(ISNUMBER(X516)),NOT(ISNUMBER(Y516)))),"INVALID – expected/actual qty missing",IF(IF(AND(TRIM(U516)="Pass",ISNUMBER(AF516)),IF(AF516&lt;&gt;0,"INVALID – qty variance: use Fail or Pass after CA",""),"")&amp;IF(AND(TRIM(U516)="Pass",AB516="Open"),"INVALID – corrective action still open: use Fail, then Pass after CA","")&amp;IF(AND(TRIM(U516)="Pass after CA",OR(TRIM(AA516)="",AB516&lt;&gt;"Closed")),"INVALID – corrective action not recorded/closed","")&lt;&gt;"",IF(AND(TRIM(U516)="Pass",ISNUMBER(AF516)),IF(AF516&lt;&gt;0,"INVALID – qty variance: use Fail or Pass after CA",""),"")&amp;IF(AND(TRIM(U516)="Pass",AB516="Open"),"INVALID – corrective action still open: use Fail, then Pass after CA","")&amp;IF(AND(TRIM(U516)="Pass after CA",OR(TRIM(AA516)="",AB516&lt;&gt;"Closed")),"INVALID – corrective action not recorded/closed",""),IF(AND(AS516=1,Documents!$J$20&lt;&gt;"ON FILE"),"INVALID – GLD not on file (Documents sheet)",IF(AND(AS516=2,Documents!$O$20&lt;&gt;"ON FILE"),"INVALID – menu checklist not on file (Documents sheet)",IF(AND(AS516=3,NOT(ISNUMBER(Flights!$AX$20))),"INVALID – enter carrying flight KUL departure (Flights AX)",IF(AG516&gt;AsOfUTC,"INVALID – completion time is in the future",IF(AND(ISNUMBER(S516),AG516&lt;S516),IF(H516="Physical uplift","INVALID – before uplift window (cannot confirm loading)","INVALID – before valid window"),IF(AG516&gt;Flights!$AA$20,"INVALID – completed after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f>
        <v>OPEN</v>
      </c>
      <c r="AI516" s="61" t="n">
        <f aca="false">IF(OR(AH516="N/A – RULE",AH516="N/A – JUSTIFIED"),0,1)</f>
        <v>1</v>
      </c>
      <c r="AJ516" s="61" t="n">
        <f aca="false">IF(LEFT(AH516,8)="COMPLETE",1,0)</f>
        <v>0</v>
      </c>
      <c r="AK516" s="61" t="n">
        <f aca="false">IF(AND(AI516=1,AJ516=0,AsOfUTC&gt;Q516),1,0)</f>
        <v>0</v>
      </c>
      <c r="AL516" s="61" t="n">
        <f aca="false">IF(AND(AI516=1,OR(TRIM(U516)="Fail",AB516="Open",AND(ISNUMBER(AF516),AF516&lt;&gt;0,TRIM(U516)&lt;&gt;"Pass after CA"))),1,0)</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row>
    <row r="517" customFormat="false" ht="39.75" hidden="false" customHeight="true" outlineLevel="0" collapsed="false">
      <c r="A517" s="57" t="s">
        <v>1134</v>
      </c>
      <c r="B517" s="57" t="s">
        <v>270</v>
      </c>
      <c r="C517" s="57" t="str">
        <f aca="false">Flights!$F$20</f>
        <v>MH0072</v>
      </c>
      <c r="D517" s="58" t="n">
        <f aca="false">Flights!$D$20</f>
        <v>46321</v>
      </c>
      <c r="E517" s="57" t="str">
        <f aca="false">Flights!$G$20&amp;"-"&amp;Flights!$H$20</f>
        <v>KUL-HKG</v>
      </c>
      <c r="F517" s="57" t="str">
        <f aca="false">Flights!$K$20</f>
        <v>EY</v>
      </c>
      <c r="G517" s="57" t="s">
        <v>383</v>
      </c>
      <c r="H517" s="57" t="s">
        <v>341</v>
      </c>
      <c r="I517" s="57" t="s">
        <v>342</v>
      </c>
      <c r="J517" s="57" t="s">
        <v>388</v>
      </c>
      <c r="K517" s="67" t="s">
        <v>389</v>
      </c>
      <c r="L517" s="67" t="s">
        <v>385</v>
      </c>
      <c r="M517" s="67"/>
      <c r="N517" s="67" t="s">
        <v>346</v>
      </c>
      <c r="O517" s="67" t="s">
        <v>386</v>
      </c>
      <c r="P517" s="57" t="s">
        <v>177</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IF(N517="N/A – rule","N/A – RULE",IF(TRIM(U517)="N/A",IF(AT517=0,"INVALID – N/A not permitted for this mandatory check",IF(AND(TRIM(AC517)&lt;&gt;"",TRIM(AE517)&lt;&gt;"",TRIM(T517)&lt;&gt;""),"N/A – JUSTIFIED","INVALID – N/A needs justification, PIC and verifier")),IF(OR(TRIM(U517)="Pass",TRIM(U517)="Pass after CA"),IF(NOT(ISNUMBER(AD517)),"INVALID – completion time missing",IF(TRIM(T517)="","INVALID – PIC missing",IF(TRIM(Z517)="","INVALID – evidence missing",IF(TRIM(AE517)="","INVALID – verifier missing",IF(AND(AQ517=1,TRIM(W517)=""),"INVALID – batch ID missing",IF(AND(AR517=1,OR(NOT(ISNUMBER(X517)),NOT(ISNUMBER(Y517)))),"INVALID – expected/actual qty missing",IF(IF(AND(TRIM(U517)="Pass",ISNUMBER(AF517)),IF(AF517&lt;&gt;0,"INVALID – qty variance: use Fail or Pass after CA",""),"")&amp;IF(AND(TRIM(U517)="Pass",AB517="Open"),"INVALID – corrective action still open: use Fail, then Pass after CA","")&amp;IF(AND(TRIM(U517)="Pass after CA",OR(TRIM(AA517)="",AB517&lt;&gt;"Closed")),"INVALID – corrective action not recorded/closed","")&lt;&gt;"",IF(AND(TRIM(U517)="Pass",ISNUMBER(AF517)),IF(AF517&lt;&gt;0,"INVALID – qty variance: use Fail or Pass after CA",""),"")&amp;IF(AND(TRIM(U517)="Pass",AB517="Open"),"INVALID – corrective action still open: use Fail, then Pass after CA","")&amp;IF(AND(TRIM(U517)="Pass after CA",OR(TRIM(AA517)="",AB517&lt;&gt;"Closed")),"INVALID – corrective action not recorded/closed",""),IF(AND(AS517=1,Documents!$J$20&lt;&gt;"ON FILE"),"INVALID – GLD not on file (Documents sheet)",IF(AND(AS517=2,Documents!$O$20&lt;&gt;"ON FILE"),"INVALID – menu checklist not on file (Documents sheet)",IF(AND(AS517=3,NOT(ISNUMBER(Flights!$AX$20))),"INVALID – enter carrying flight KUL departure (Flights AX)",IF(AG517&gt;AsOfUTC,"INVALID – completion time is in the future",IF(AND(ISNUMBER(S517),AG517&lt;S517),IF(H517="Physical uplift","INVALID – before uplift window (cannot confirm loading)","INVALID – before valid window"),IF(AG517&gt;Flights!$AA$20,"INVALID – completed after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f>
        <v>OPEN</v>
      </c>
      <c r="AI517" s="61" t="n">
        <f aca="false">IF(OR(AH517="N/A – RULE",AH517="N/A – JUSTIFIED"),0,1)</f>
        <v>1</v>
      </c>
      <c r="AJ517" s="61" t="n">
        <f aca="false">IF(LEFT(AH517,8)="COMPLETE",1,0)</f>
        <v>0</v>
      </c>
      <c r="AK517" s="61" t="n">
        <f aca="false">IF(AND(AI517=1,AJ517=0,AsOfUTC&gt;Q517),1,0)</f>
        <v>0</v>
      </c>
      <c r="AL517" s="61" t="n">
        <f aca="false">IF(AND(AI517=1,OR(TRIM(U517)="Fail",AB517="Open",AND(ISNUMBER(AF517),AF517&lt;&gt;0,TRIM(U517)&lt;&gt;"Pass after CA"))),1,0)</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row>
    <row r="518" customFormat="false" ht="39.75" hidden="false" customHeight="true" outlineLevel="0" collapsed="false">
      <c r="A518" s="57" t="s">
        <v>1135</v>
      </c>
      <c r="B518" s="57" t="s">
        <v>270</v>
      </c>
      <c r="C518" s="57" t="str">
        <f aca="false">Flights!$F$20</f>
        <v>MH0072</v>
      </c>
      <c r="D518" s="58" t="n">
        <f aca="false">Flights!$D$20</f>
        <v>46321</v>
      </c>
      <c r="E518" s="57" t="str">
        <f aca="false">Flights!$G$20&amp;"-"&amp;Flights!$H$20</f>
        <v>KUL-HKG</v>
      </c>
      <c r="F518" s="57" t="str">
        <f aca="false">Flights!$K$20</f>
        <v>EY</v>
      </c>
      <c r="G518" s="57" t="s">
        <v>383</v>
      </c>
      <c r="H518" s="57" t="s">
        <v>341</v>
      </c>
      <c r="I518" s="57" t="s">
        <v>391</v>
      </c>
      <c r="J518" s="57" t="s">
        <v>392</v>
      </c>
      <c r="K518" s="67"/>
      <c r="L518" s="67" t="s">
        <v>385</v>
      </c>
      <c r="M518" s="67"/>
      <c r="N518" s="67" t="s">
        <v>346</v>
      </c>
      <c r="O518" s="67" t="s">
        <v>386</v>
      </c>
      <c r="P518" s="57" t="s">
        <v>177</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IF(N518="N/A – rule","N/A – RULE",IF(TRIM(U518)="N/A",IF(AT518=0,"INVALID – N/A not permitted for this mandatory check",IF(AND(TRIM(AC518)&lt;&gt;"",TRIM(AE518)&lt;&gt;"",TRIM(T518)&lt;&gt;""),"N/A – JUSTIFIED","INVALID – N/A needs justification, PIC and verifier")),IF(OR(TRIM(U518)="Pass",TRIM(U518)="Pass after CA"),IF(NOT(ISNUMBER(AD518)),"INVALID – completion time missing",IF(TRIM(T518)="","INVALID – PIC missing",IF(TRIM(Z518)="","INVALID – evidence missing",IF(TRIM(AE518)="","INVALID – verifier missing",IF(AND(AQ518=1,TRIM(W518)=""),"INVALID – batch ID missing",IF(AND(AR518=1,OR(NOT(ISNUMBER(X518)),NOT(ISNUMBER(Y518)))),"INVALID – expected/actual qty missing",IF(IF(AND(TRIM(U518)="Pass",ISNUMBER(AF518)),IF(AF518&lt;&gt;0,"INVALID – qty variance: use Fail or Pass after CA",""),"")&amp;IF(AND(TRIM(U518)="Pass",AB518="Open"),"INVALID – corrective action still open: use Fail, then Pass after CA","")&amp;IF(AND(TRIM(U518)="Pass after CA",OR(TRIM(AA518)="",AB518&lt;&gt;"Closed")),"INVALID – corrective action not recorded/closed","")&lt;&gt;"",IF(AND(TRIM(U518)="Pass",ISNUMBER(AF518)),IF(AF518&lt;&gt;0,"INVALID – qty variance: use Fail or Pass after CA",""),"")&amp;IF(AND(TRIM(U518)="Pass",AB518="Open"),"INVALID – corrective action still open: use Fail, then Pass after CA","")&amp;IF(AND(TRIM(U518)="Pass after CA",OR(TRIM(AA518)="",AB518&lt;&gt;"Closed")),"INVALID – corrective action not recorded/closed",""),IF(AND(AS518=1,Documents!$J$20&lt;&gt;"ON FILE"),"INVALID – GLD not on file (Documents sheet)",IF(AND(AS518=2,Documents!$O$20&lt;&gt;"ON FILE"),"INVALID – menu checklist not on file (Documents sheet)",IF(AND(AS518=3,NOT(ISNUMBER(Flights!$AX$20))),"INVALID – enter carrying flight KUL departure (Flights AX)",IF(AG518&gt;AsOfUTC,"INVALID – completion time is in the future",IF(AND(ISNUMBER(S518),AG518&lt;S518),IF(H518="Physical uplift","INVALID – before uplift window (cannot confirm loading)","INVALID – before valid window"),IF(AG518&gt;Flights!$AA$20,"INVALID – completed after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f>
        <v>OPEN</v>
      </c>
      <c r="AI518" s="61" t="n">
        <f aca="false">IF(OR(AH518="N/A – RULE",AH518="N/A – JUSTIFIED"),0,1)</f>
        <v>1</v>
      </c>
      <c r="AJ518" s="61" t="n">
        <f aca="false">IF(LEFT(AH518,8)="COMPLETE",1,0)</f>
        <v>0</v>
      </c>
      <c r="AK518" s="61" t="n">
        <f aca="false">IF(AND(AI518=1,AJ518=0,AsOfUTC&gt;Q518),1,0)</f>
        <v>0</v>
      </c>
      <c r="AL518" s="61" t="n">
        <f aca="false">IF(AND(AI518=1,OR(TRIM(U518)="Fail",AB518="Open",AND(ISNUMBER(AF518),AF518&lt;&gt;0,TRIM(U518)&lt;&gt;"Pass after CA"))),1,0)</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row>
    <row r="519" customFormat="false" ht="39.75" hidden="false" customHeight="true" outlineLevel="0" collapsed="false">
      <c r="A519" s="57" t="s">
        <v>1136</v>
      </c>
      <c r="B519" s="57" t="s">
        <v>270</v>
      </c>
      <c r="C519" s="57" t="str">
        <f aca="false">Flights!$F$20</f>
        <v>MH0072</v>
      </c>
      <c r="D519" s="58" t="n">
        <f aca="false">Flights!$D$20</f>
        <v>46321</v>
      </c>
      <c r="E519" s="57" t="str">
        <f aca="false">Flights!$G$20&amp;"-"&amp;Flights!$H$20</f>
        <v>KUL-HKG</v>
      </c>
      <c r="F519" s="57" t="str">
        <f aca="false">Flights!$K$20</f>
        <v>EY</v>
      </c>
      <c r="G519" s="57" t="s">
        <v>383</v>
      </c>
      <c r="H519" s="57" t="s">
        <v>341</v>
      </c>
      <c r="I519" s="57" t="s">
        <v>391</v>
      </c>
      <c r="J519" s="57" t="s">
        <v>394</v>
      </c>
      <c r="K519" s="67"/>
      <c r="L519" s="67" t="s">
        <v>385</v>
      </c>
      <c r="M519" s="67"/>
      <c r="N519" s="67" t="s">
        <v>346</v>
      </c>
      <c r="O519" s="67" t="s">
        <v>386</v>
      </c>
      <c r="P519" s="57" t="s">
        <v>177</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IF(N519="N/A – rule","N/A – RULE",IF(TRIM(U519)="N/A",IF(AT519=0,"INVALID – N/A not permitted for this mandatory check",IF(AND(TRIM(AC519)&lt;&gt;"",TRIM(AE519)&lt;&gt;"",TRIM(T519)&lt;&gt;""),"N/A – JUSTIFIED","INVALID – N/A needs justification, PIC and verifier")),IF(OR(TRIM(U519)="Pass",TRIM(U519)="Pass after CA"),IF(NOT(ISNUMBER(AD519)),"INVALID – completion time missing",IF(TRIM(T519)="","INVALID – PIC missing",IF(TRIM(Z519)="","INVALID – evidence missing",IF(TRIM(AE519)="","INVALID – verifier missing",IF(AND(AQ519=1,TRIM(W519)=""),"INVALID – batch ID missing",IF(AND(AR519=1,OR(NOT(ISNUMBER(X519)),NOT(ISNUMBER(Y519)))),"INVALID – expected/actual qty missing",IF(IF(AND(TRIM(U519)="Pass",ISNUMBER(AF519)),IF(AF519&lt;&gt;0,"INVALID – qty variance: use Fail or Pass after CA",""),"")&amp;IF(AND(TRIM(U519)="Pass",AB519="Open"),"INVALID – corrective action still open: use Fail, then Pass after CA","")&amp;IF(AND(TRIM(U519)="Pass after CA",OR(TRIM(AA519)="",AB519&lt;&gt;"Closed")),"INVALID – corrective action not recorded/closed","")&lt;&gt;"",IF(AND(TRIM(U519)="Pass",ISNUMBER(AF519)),IF(AF519&lt;&gt;0,"INVALID – qty variance: use Fail or Pass after CA",""),"")&amp;IF(AND(TRIM(U519)="Pass",AB519="Open"),"INVALID – corrective action still open: use Fail, then Pass after CA","")&amp;IF(AND(TRIM(U519)="Pass after CA",OR(TRIM(AA519)="",AB519&lt;&gt;"Closed")),"INVALID – corrective action not recorded/closed",""),IF(AND(AS519=1,Documents!$J$20&lt;&gt;"ON FILE"),"INVALID – GLD not on file (Documents sheet)",IF(AND(AS519=2,Documents!$O$20&lt;&gt;"ON FILE"),"INVALID – menu checklist not on file (Documents sheet)",IF(AND(AS519=3,NOT(ISNUMBER(Flights!$AX$20))),"INVALID – enter carrying flight KUL departure (Flights AX)",IF(AG519&gt;AsOfUTC,"INVALID – completion time is in the future",IF(AND(ISNUMBER(S519),AG519&lt;S519),IF(H519="Physical uplift","INVALID – before uplift window (cannot confirm loading)","INVALID – before valid window"),IF(AG519&gt;Flights!$AA$20,"INVALID – completed after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f>
        <v>OPEN</v>
      </c>
      <c r="AI519" s="61" t="n">
        <f aca="false">IF(OR(AH519="N/A – RULE",AH519="N/A – JUSTIFIED"),0,1)</f>
        <v>1</v>
      </c>
      <c r="AJ519" s="61" t="n">
        <f aca="false">IF(LEFT(AH519,8)="COMPLETE",1,0)</f>
        <v>0</v>
      </c>
      <c r="AK519" s="61" t="n">
        <f aca="false">IF(AND(AI519=1,AJ519=0,AsOfUTC&gt;Q519),1,0)</f>
        <v>0</v>
      </c>
      <c r="AL519" s="61" t="n">
        <f aca="false">IF(AND(AI519=1,OR(TRIM(U519)="Fail",AB519="Open",AND(ISNUMBER(AF519),AF519&lt;&gt;0,TRIM(U519)&lt;&gt;"Pass after CA"))),1,0)</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row>
    <row r="520" customFormat="false" ht="39.75" hidden="false" customHeight="true" outlineLevel="0" collapsed="false">
      <c r="A520" s="57" t="s">
        <v>1137</v>
      </c>
      <c r="B520" s="57" t="s">
        <v>270</v>
      </c>
      <c r="C520" s="57" t="str">
        <f aca="false">Flights!$F$20</f>
        <v>MH0072</v>
      </c>
      <c r="D520" s="58" t="n">
        <f aca="false">Flights!$D$20</f>
        <v>46321</v>
      </c>
      <c r="E520" s="57" t="str">
        <f aca="false">Flights!$G$20&amp;"-"&amp;Flights!$H$20</f>
        <v>KUL-HKG</v>
      </c>
      <c r="F520" s="57" t="str">
        <f aca="false">Flights!$K$20</f>
        <v>EY</v>
      </c>
      <c r="G520" s="57" t="s">
        <v>383</v>
      </c>
      <c r="H520" s="57" t="s">
        <v>341</v>
      </c>
      <c r="I520" s="57" t="s">
        <v>391</v>
      </c>
      <c r="J520" s="57" t="s">
        <v>396</v>
      </c>
      <c r="K520" s="67"/>
      <c r="L520" s="67" t="s">
        <v>385</v>
      </c>
      <c r="M520" s="67"/>
      <c r="N520" s="67" t="s">
        <v>346</v>
      </c>
      <c r="O520" s="67" t="s">
        <v>386</v>
      </c>
      <c r="P520" s="57" t="s">
        <v>177</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IF(N520="N/A – rule","N/A – RULE",IF(TRIM(U520)="N/A",IF(AT520=0,"INVALID – N/A not permitted for this mandatory check",IF(AND(TRIM(AC520)&lt;&gt;"",TRIM(AE520)&lt;&gt;"",TRIM(T520)&lt;&gt;""),"N/A – JUSTIFIED","INVALID – N/A needs justification, PIC and verifier")),IF(OR(TRIM(U520)="Pass",TRIM(U520)="Pass after CA"),IF(NOT(ISNUMBER(AD520)),"INVALID – completion time missing",IF(TRIM(T520)="","INVALID – PIC missing",IF(TRIM(Z520)="","INVALID – evidence missing",IF(TRIM(AE520)="","INVALID – verifier missing",IF(AND(AQ520=1,TRIM(W520)=""),"INVALID – batch ID missing",IF(AND(AR520=1,OR(NOT(ISNUMBER(X520)),NOT(ISNUMBER(Y520)))),"INVALID – expected/actual qty missing",IF(IF(AND(TRIM(U520)="Pass",ISNUMBER(AF520)),IF(AF520&lt;&gt;0,"INVALID – qty variance: use Fail or Pass after CA",""),"")&amp;IF(AND(TRIM(U520)="Pass",AB520="Open"),"INVALID – corrective action still open: use Fail, then Pass after CA","")&amp;IF(AND(TRIM(U520)="Pass after CA",OR(TRIM(AA520)="",AB520&lt;&gt;"Closed")),"INVALID – corrective action not recorded/closed","")&lt;&gt;"",IF(AND(TRIM(U520)="Pass",ISNUMBER(AF520)),IF(AF520&lt;&gt;0,"INVALID – qty variance: use Fail or Pass after CA",""),"")&amp;IF(AND(TRIM(U520)="Pass",AB520="Open"),"INVALID – corrective action still open: use Fail, then Pass after CA","")&amp;IF(AND(TRIM(U520)="Pass after CA",OR(TRIM(AA520)="",AB520&lt;&gt;"Closed")),"INVALID – corrective action not recorded/closed",""),IF(AND(AS520=1,Documents!$J$20&lt;&gt;"ON FILE"),"INVALID – GLD not on file (Documents sheet)",IF(AND(AS520=2,Documents!$O$20&lt;&gt;"ON FILE"),"INVALID – menu checklist not on file (Documents sheet)",IF(AND(AS520=3,NOT(ISNUMBER(Flights!$AX$20))),"INVALID – enter carrying flight KUL departure (Flights AX)",IF(AG520&gt;AsOfUTC,"INVALID – completion time is in the future",IF(AND(ISNUMBER(S520),AG520&lt;S520),IF(H520="Physical uplift","INVALID – before uplift window (cannot confirm loading)","INVALID – before valid window"),IF(AG520&gt;Flights!$AA$20,"INVALID – completed after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f>
        <v>OPEN</v>
      </c>
      <c r="AI520" s="61" t="n">
        <f aca="false">IF(OR(AH520="N/A – RULE",AH520="N/A – JUSTIFIED"),0,1)</f>
        <v>1</v>
      </c>
      <c r="AJ520" s="61" t="n">
        <f aca="false">IF(LEFT(AH520,8)="COMPLETE",1,0)</f>
        <v>0</v>
      </c>
      <c r="AK520" s="61" t="n">
        <f aca="false">IF(AND(AI520=1,AJ520=0,AsOfUTC&gt;Q520),1,0)</f>
        <v>0</v>
      </c>
      <c r="AL520" s="61" t="n">
        <f aca="false">IF(AND(AI520=1,OR(TRIM(U520)="Fail",AB520="Open",AND(ISNUMBER(AF520),AF520&lt;&gt;0,TRIM(U520)&lt;&gt;"Pass after CA"))),1,0)</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row>
    <row r="521" customFormat="false" ht="78.75" hidden="false" customHeight="true" outlineLevel="0" collapsed="false">
      <c r="A521" s="57" t="s">
        <v>1138</v>
      </c>
      <c r="B521" s="57" t="s">
        <v>270</v>
      </c>
      <c r="C521" s="57" t="str">
        <f aca="false">Flights!$F$20</f>
        <v>MH0072</v>
      </c>
      <c r="D521" s="58" t="n">
        <f aca="false">Flights!$D$20</f>
        <v>46321</v>
      </c>
      <c r="E521" s="57" t="str">
        <f aca="false">Flights!$G$20&amp;"-"&amp;Flights!$H$20</f>
        <v>KUL-HKG</v>
      </c>
      <c r="F521" s="57" t="str">
        <f aca="false">Flights!$K$20</f>
        <v>EY</v>
      </c>
      <c r="G521" s="57" t="s">
        <v>383</v>
      </c>
      <c r="H521" s="57" t="s">
        <v>341</v>
      </c>
      <c r="I521" s="57" t="s">
        <v>391</v>
      </c>
      <c r="J521" s="57" t="s">
        <v>398</v>
      </c>
      <c r="K521" s="67" t="s">
        <v>454</v>
      </c>
      <c r="L521" s="67" t="s">
        <v>385</v>
      </c>
      <c r="M521" s="67"/>
      <c r="N521" s="67" t="s">
        <v>346</v>
      </c>
      <c r="O521" s="67" t="s">
        <v>386</v>
      </c>
      <c r="P521" s="57" t="s">
        <v>177</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IF(N521="N/A – rule","N/A – RULE",IF(TRIM(U521)="N/A",IF(AT521=0,"INVALID – N/A not permitted for this mandatory check",IF(AND(TRIM(AC521)&lt;&gt;"",TRIM(AE521)&lt;&gt;"",TRIM(T521)&lt;&gt;""),"N/A – JUSTIFIED","INVALID – N/A needs justification, PIC and verifier")),IF(OR(TRIM(U521)="Pass",TRIM(U521)="Pass after CA"),IF(NOT(ISNUMBER(AD521)),"INVALID – completion time missing",IF(TRIM(T521)="","INVALID – PIC missing",IF(TRIM(Z521)="","INVALID – evidence missing",IF(TRIM(AE521)="","INVALID – verifier missing",IF(AND(AQ521=1,TRIM(W521)=""),"INVALID – batch ID missing",IF(AND(AR521=1,OR(NOT(ISNUMBER(X521)),NOT(ISNUMBER(Y521)))),"INVALID – expected/actual qty missing",IF(IF(AND(TRIM(U521)="Pass",ISNUMBER(AF521)),IF(AF521&lt;&gt;0,"INVALID – qty variance: use Fail or Pass after CA",""),"")&amp;IF(AND(TRIM(U521)="Pass",AB521="Open"),"INVALID – corrective action still open: use Fail, then Pass after CA","")&amp;IF(AND(TRIM(U521)="Pass after CA",OR(TRIM(AA521)="",AB521&lt;&gt;"Closed")),"INVALID – corrective action not recorded/closed","")&lt;&gt;"",IF(AND(TRIM(U521)="Pass",ISNUMBER(AF521)),IF(AF521&lt;&gt;0,"INVALID – qty variance: use Fail or Pass after CA",""),"")&amp;IF(AND(TRIM(U521)="Pass",AB521="Open"),"INVALID – corrective action still open: use Fail, then Pass after CA","")&amp;IF(AND(TRIM(U521)="Pass after CA",OR(TRIM(AA521)="",AB521&lt;&gt;"Closed")),"INVALID – corrective action not recorded/closed",""),IF(AND(AS521=1,Documents!$J$20&lt;&gt;"ON FILE"),"INVALID – GLD not on file (Documents sheet)",IF(AND(AS521=2,Documents!$O$20&lt;&gt;"ON FILE"),"INVALID – menu checklist not on file (Documents sheet)",IF(AND(AS521=3,NOT(ISNUMBER(Flights!$AX$20))),"INVALID – enter carrying flight KUL departure (Flights AX)",IF(AG521&gt;AsOfUTC,"INVALID – completion time is in the future",IF(AND(ISNUMBER(S521),AG521&lt;S521),IF(H521="Physical uplift","INVALID – before uplift window (cannot confirm loading)","INVALID – before valid window"),IF(AG521&gt;Flights!$AA$20,"INVALID – completed after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f>
        <v>OPEN</v>
      </c>
      <c r="AI521" s="61" t="n">
        <f aca="false">IF(OR(AH521="N/A – RULE",AH521="N/A – JUSTIFIED"),0,1)</f>
        <v>1</v>
      </c>
      <c r="AJ521" s="61" t="n">
        <f aca="false">IF(LEFT(AH521,8)="COMPLETE",1,0)</f>
        <v>0</v>
      </c>
      <c r="AK521" s="61" t="n">
        <f aca="false">IF(AND(AI521=1,AJ521=0,AsOfUTC&gt;Q521),1,0)</f>
        <v>0</v>
      </c>
      <c r="AL521" s="61" t="n">
        <f aca="false">IF(AND(AI521=1,OR(TRIM(U521)="Fail",AB521="Open",AND(ISNUMBER(AF521),AF521&lt;&gt;0,TRIM(U521)&lt;&gt;"Pass after CA"))),1,0)</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row>
    <row r="522" customFormat="false" ht="39.75" hidden="false" customHeight="true" outlineLevel="0" collapsed="false">
      <c r="A522" s="57" t="s">
        <v>1139</v>
      </c>
      <c r="B522" s="57" t="s">
        <v>270</v>
      </c>
      <c r="C522" s="57" t="str">
        <f aca="false">Flights!$F$20</f>
        <v>MH0072</v>
      </c>
      <c r="D522" s="58" t="n">
        <f aca="false">Flights!$D$20</f>
        <v>46321</v>
      </c>
      <c r="E522" s="57" t="str">
        <f aca="false">Flights!$G$20&amp;"-"&amp;Flights!$H$20</f>
        <v>KUL-HKG</v>
      </c>
      <c r="F522" s="57" t="str">
        <f aca="false">Flights!$K$20</f>
        <v>EY</v>
      </c>
      <c r="G522" s="57" t="s">
        <v>383</v>
      </c>
      <c r="H522" s="57" t="s">
        <v>341</v>
      </c>
      <c r="I522" s="57" t="s">
        <v>391</v>
      </c>
      <c r="J522" s="57" t="s">
        <v>401</v>
      </c>
      <c r="K522" s="67"/>
      <c r="L522" s="67" t="s">
        <v>385</v>
      </c>
      <c r="M522" s="67"/>
      <c r="N522" s="67" t="s">
        <v>346</v>
      </c>
      <c r="O522" s="67" t="s">
        <v>386</v>
      </c>
      <c r="P522" s="57" t="s">
        <v>177</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IF(N522="N/A – rule","N/A – RULE",IF(TRIM(U522)="N/A",IF(AT522=0,"INVALID – N/A not permitted for this mandatory check",IF(AND(TRIM(AC522)&lt;&gt;"",TRIM(AE522)&lt;&gt;"",TRIM(T522)&lt;&gt;""),"N/A – JUSTIFIED","INVALID – N/A needs justification, PIC and verifier")),IF(OR(TRIM(U522)="Pass",TRIM(U522)="Pass after CA"),IF(NOT(ISNUMBER(AD522)),"INVALID – completion time missing",IF(TRIM(T522)="","INVALID – PIC missing",IF(TRIM(Z522)="","INVALID – evidence missing",IF(TRIM(AE522)="","INVALID – verifier missing",IF(AND(AQ522=1,TRIM(W522)=""),"INVALID – batch ID missing",IF(AND(AR522=1,OR(NOT(ISNUMBER(X522)),NOT(ISNUMBER(Y522)))),"INVALID – expected/actual qty missing",IF(IF(AND(TRIM(U522)="Pass",ISNUMBER(AF522)),IF(AF522&lt;&gt;0,"INVALID – qty variance: use Fail or Pass after CA",""),"")&amp;IF(AND(TRIM(U522)="Pass",AB522="Open"),"INVALID – corrective action still open: use Fail, then Pass after CA","")&amp;IF(AND(TRIM(U522)="Pass after CA",OR(TRIM(AA522)="",AB522&lt;&gt;"Closed")),"INVALID – corrective action not recorded/closed","")&lt;&gt;"",IF(AND(TRIM(U522)="Pass",ISNUMBER(AF522)),IF(AF522&lt;&gt;0,"INVALID – qty variance: use Fail or Pass after CA",""),"")&amp;IF(AND(TRIM(U522)="Pass",AB522="Open"),"INVALID – corrective action still open: use Fail, then Pass after CA","")&amp;IF(AND(TRIM(U522)="Pass after CA",OR(TRIM(AA522)="",AB522&lt;&gt;"Closed")),"INVALID – corrective action not recorded/closed",""),IF(AND(AS522=1,Documents!$J$20&lt;&gt;"ON FILE"),"INVALID – GLD not on file (Documents sheet)",IF(AND(AS522=2,Documents!$O$20&lt;&gt;"ON FILE"),"INVALID – menu checklist not on file (Documents sheet)",IF(AND(AS522=3,NOT(ISNUMBER(Flights!$AX$20))),"INVALID – enter carrying flight KUL departure (Flights AX)",IF(AG522&gt;AsOfUTC,"INVALID – completion time is in the future",IF(AND(ISNUMBER(S522),AG522&lt;S522),IF(H522="Physical uplift","INVALID – before uplift window (cannot confirm loading)","INVALID – before valid window"),IF(AG522&gt;Flights!$AA$20,"INVALID – completed after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f>
        <v>OPEN</v>
      </c>
      <c r="AI522" s="61" t="n">
        <f aca="false">IF(OR(AH522="N/A – RULE",AH522="N/A – JUSTIFIED"),0,1)</f>
        <v>1</v>
      </c>
      <c r="AJ522" s="61" t="n">
        <f aca="false">IF(LEFT(AH522,8)="COMPLETE",1,0)</f>
        <v>0</v>
      </c>
      <c r="AK522" s="61" t="n">
        <f aca="false">IF(AND(AI522=1,AJ522=0,AsOfUTC&gt;Q522),1,0)</f>
        <v>0</v>
      </c>
      <c r="AL522" s="61" t="n">
        <f aca="false">IF(AND(AI522=1,OR(TRIM(U522)="Fail",AB522="Open",AND(ISNUMBER(AF522),AF522&lt;&gt;0,TRIM(U522)&lt;&gt;"Pass after CA"))),1,0)</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row>
    <row r="523" customFormat="false" ht="41.25" hidden="false" customHeight="true" outlineLevel="0" collapsed="false">
      <c r="A523" s="57" t="s">
        <v>1140</v>
      </c>
      <c r="B523" s="57" t="s">
        <v>270</v>
      </c>
      <c r="C523" s="57" t="str">
        <f aca="false">Flights!$F$20</f>
        <v>MH0072</v>
      </c>
      <c r="D523" s="58" t="n">
        <f aca="false">Flights!$D$20</f>
        <v>46321</v>
      </c>
      <c r="E523" s="57" t="str">
        <f aca="false">Flights!$G$20&amp;"-"&amp;Flights!$H$20</f>
        <v>KUL-HKG</v>
      </c>
      <c r="F523" s="57" t="str">
        <f aca="false">Flights!$K$20</f>
        <v>EY</v>
      </c>
      <c r="G523" s="57" t="s">
        <v>383</v>
      </c>
      <c r="H523" s="57" t="s">
        <v>341</v>
      </c>
      <c r="I523" s="57" t="s">
        <v>410</v>
      </c>
      <c r="J523" s="57" t="s">
        <v>411</v>
      </c>
      <c r="K523" s="67" t="s">
        <v>412</v>
      </c>
      <c r="L523" s="67" t="s">
        <v>1141</v>
      </c>
      <c r="M523" s="67" t="s">
        <v>414</v>
      </c>
      <c r="N523" s="67" t="s">
        <v>346</v>
      </c>
      <c r="O523" s="67" t="s">
        <v>466</v>
      </c>
      <c r="P523" s="57" t="s">
        <v>177</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IF(N523="N/A – rule","N/A – RULE",IF(TRIM(U523)="N/A",IF(AT523=0,"INVALID – N/A not permitted for this mandatory check",IF(AND(TRIM(AC523)&lt;&gt;"",TRIM(AE523)&lt;&gt;"",TRIM(T523)&lt;&gt;""),"N/A – JUSTIFIED","INVALID – N/A needs justification, PIC and verifier")),IF(OR(TRIM(U523)="Pass",TRIM(U523)="Pass after CA"),IF(NOT(ISNUMBER(AD523)),"INVALID – completion time missing",IF(TRIM(T523)="","INVALID – PIC missing",IF(TRIM(Z523)="","INVALID – evidence missing",IF(TRIM(AE523)="","INVALID – verifier missing",IF(AND(AQ523=1,TRIM(W523)=""),"INVALID – batch ID missing",IF(AND(AR523=1,OR(NOT(ISNUMBER(X523)),NOT(ISNUMBER(Y523)))),"INVALID – expected/actual qty missing",IF(IF(AND(TRIM(U523)="Pass",ISNUMBER(AF523)),IF(AF523&lt;&gt;0,"INVALID – qty variance: use Fail or Pass after CA",""),"")&amp;IF(AND(TRIM(U523)="Pass",AB523="Open"),"INVALID – corrective action still open: use Fail, then Pass after CA","")&amp;IF(AND(TRIM(U523)="Pass after CA",OR(TRIM(AA523)="",AB523&lt;&gt;"Closed")),"INVALID – corrective action not recorded/closed","")&lt;&gt;"",IF(AND(TRIM(U523)="Pass",ISNUMBER(AF523)),IF(AF523&lt;&gt;0,"INVALID – qty variance: use Fail or Pass after CA",""),"")&amp;IF(AND(TRIM(U523)="Pass",AB523="Open"),"INVALID – corrective action still open: use Fail, then Pass after CA","")&amp;IF(AND(TRIM(U523)="Pass after CA",OR(TRIM(AA523)="",AB523&lt;&gt;"Closed")),"INVALID – corrective action not recorded/closed",""),IF(AND(AS523=1,Documents!$J$20&lt;&gt;"ON FILE"),"INVALID – GLD not on file (Documents sheet)",IF(AND(AS523=2,Documents!$O$20&lt;&gt;"ON FILE"),"INVALID – menu checklist not on file (Documents sheet)",IF(AND(AS523=3,NOT(ISNUMBER(Flights!$AX$20))),"INVALID – enter carrying flight KUL departure (Flights AX)",IF(AG523&gt;AsOfUTC,"INVALID – completion time is in the future",IF(AND(ISNUMBER(S523),AG523&lt;S523),IF(H523="Physical uplift","INVALID – before uplift window (cannot confirm loading)","INVALID – before valid window"),IF(AG523&gt;Flights!$AA$20,"INVALID – completed after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f>
        <v>OPEN</v>
      </c>
      <c r="AI523" s="61" t="n">
        <f aca="false">IF(OR(AH523="N/A – RULE",AH523="N/A – JUSTIFIED"),0,1)</f>
        <v>1</v>
      </c>
      <c r="AJ523" s="61" t="n">
        <f aca="false">IF(LEFT(AH523,8)="COMPLETE",1,0)</f>
        <v>0</v>
      </c>
      <c r="AK523" s="61" t="n">
        <f aca="false">IF(AND(AI523=1,AJ523=0,AsOfUTC&gt;Q523),1,0)</f>
        <v>0</v>
      </c>
      <c r="AL523" s="61" t="n">
        <f aca="false">IF(AND(AI523=1,OR(TRIM(U523)="Fail",AB523="Open",AND(ISNUMBER(AF523),AF523&lt;&gt;0,TRIM(U523)&lt;&gt;"Pass after CA"))),1,0)</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1</v>
      </c>
    </row>
    <row r="524" customFormat="false" ht="116.25" hidden="false" customHeight="true" outlineLevel="0" collapsed="false">
      <c r="A524" s="57" t="s">
        <v>1142</v>
      </c>
      <c r="B524" s="57" t="s">
        <v>270</v>
      </c>
      <c r="C524" s="57" t="str">
        <f aca="false">Flights!$F$20</f>
        <v>MH0072</v>
      </c>
      <c r="D524" s="58" t="n">
        <f aca="false">Flights!$D$20</f>
        <v>46321</v>
      </c>
      <c r="E524" s="57" t="str">
        <f aca="false">Flights!$G$20&amp;"-"&amp;Flights!$H$20</f>
        <v>KUL-HKG</v>
      </c>
      <c r="F524" s="57" t="str">
        <f aca="false">Flights!$K$20</f>
        <v>EY</v>
      </c>
      <c r="G524" s="57" t="s">
        <v>383</v>
      </c>
      <c r="H524" s="57" t="s">
        <v>341</v>
      </c>
      <c r="I524" s="57" t="s">
        <v>410</v>
      </c>
      <c r="J524" s="57" t="s">
        <v>417</v>
      </c>
      <c r="K524" s="67" t="s">
        <v>412</v>
      </c>
      <c r="L524" s="67" t="s">
        <v>1143</v>
      </c>
      <c r="M524" s="67" t="s">
        <v>414</v>
      </c>
      <c r="N524" s="67" t="s">
        <v>407</v>
      </c>
      <c r="O524" s="67" t="s">
        <v>1144</v>
      </c>
      <c r="P524" s="57" t="s">
        <v>177</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IF(N524="N/A – rule","N/A – RULE",IF(TRIM(U524)="N/A",IF(AT524=0,"INVALID – N/A not permitted for this mandatory check",IF(AND(TRIM(AC524)&lt;&gt;"",TRIM(AE524)&lt;&gt;"",TRIM(T524)&lt;&gt;""),"N/A – JUSTIFIED","INVALID – N/A needs justification, PIC and verifier")),IF(OR(TRIM(U524)="Pass",TRIM(U524)="Pass after CA"),IF(NOT(ISNUMBER(AD524)),"INVALID – completion time missing",IF(TRIM(T524)="","INVALID – PIC missing",IF(TRIM(Z524)="","INVALID – evidence missing",IF(TRIM(AE524)="","INVALID – verifier missing",IF(AND(AQ524=1,TRIM(W524)=""),"INVALID – batch ID missing",IF(AND(AR524=1,OR(NOT(ISNUMBER(X524)),NOT(ISNUMBER(Y524)))),"INVALID – expected/actual qty missing",IF(IF(AND(TRIM(U524)="Pass",ISNUMBER(AF524)),IF(AF524&lt;&gt;0,"INVALID – qty variance: use Fail or Pass after CA",""),"")&amp;IF(AND(TRIM(U524)="Pass",AB524="Open"),"INVALID – corrective action still open: use Fail, then Pass after CA","")&amp;IF(AND(TRIM(U524)="Pass after CA",OR(TRIM(AA524)="",AB524&lt;&gt;"Closed")),"INVALID – corrective action not recorded/closed","")&lt;&gt;"",IF(AND(TRIM(U524)="Pass",ISNUMBER(AF524)),IF(AF524&lt;&gt;0,"INVALID – qty variance: use Fail or Pass after CA",""),"")&amp;IF(AND(TRIM(U524)="Pass",AB524="Open"),"INVALID – corrective action still open: use Fail, then Pass after CA","")&amp;IF(AND(TRIM(U524)="Pass after CA",OR(TRIM(AA524)="",AB524&lt;&gt;"Closed")),"INVALID – corrective action not recorded/closed",""),IF(AND(AS524=1,Documents!$J$20&lt;&gt;"ON FILE"),"INVALID – GLD not on file (Documents sheet)",IF(AND(AS524=2,Documents!$O$20&lt;&gt;"ON FILE"),"INVALID – menu checklist not on file (Documents sheet)",IF(AND(AS524=3,NOT(ISNUMBER(Flights!$AX$20))),"INVALID – enter carrying flight KUL departure (Flights AX)",IF(AG524&gt;AsOfUTC,"INVALID – completion time is in the future",IF(AND(ISNUMBER(S524),AG524&lt;S524),IF(H524="Physical uplift","INVALID – before uplift window (cannot confirm loading)","INVALID – before valid window"),IF(AG524&gt;Flights!$AA$20,"INVALID – completed after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f>
        <v>OPEN – CLARIFICATION</v>
      </c>
      <c r="AI524" s="61" t="n">
        <f aca="false">IF(OR(AH524="N/A – RULE",AH524="N/A – JUSTIFIED"),0,1)</f>
        <v>1</v>
      </c>
      <c r="AJ524" s="61" t="n">
        <f aca="false">IF(LEFT(AH524,8)="COMPLETE",1,0)</f>
        <v>0</v>
      </c>
      <c r="AK524" s="61" t="n">
        <f aca="false">IF(AND(AI524=1,AJ524=0,AsOfUTC&gt;Q524),1,0)</f>
        <v>0</v>
      </c>
      <c r="AL524" s="61" t="n">
        <f aca="false">IF(AND(AI524=1,OR(TRIM(U524)="Fail",AB524="Open",AND(ISNUMBER(AF524),AF524&lt;&gt;0,TRIM(U524)&lt;&gt;"Pass after CA"))),1,0)</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row>
    <row r="525" customFormat="false" ht="54" hidden="false" customHeight="true" outlineLevel="0" collapsed="false">
      <c r="A525" s="57" t="s">
        <v>1145</v>
      </c>
      <c r="B525" s="57" t="s">
        <v>270</v>
      </c>
      <c r="C525" s="57" t="str">
        <f aca="false">Flights!$F$20</f>
        <v>MH0072</v>
      </c>
      <c r="D525" s="58" t="n">
        <f aca="false">Flights!$D$20</f>
        <v>46321</v>
      </c>
      <c r="E525" s="57" t="str">
        <f aca="false">Flights!$G$20&amp;"-"&amp;Flights!$H$20</f>
        <v>KUL-HKG</v>
      </c>
      <c r="F525" s="57" t="str">
        <f aca="false">Flights!$K$20</f>
        <v>EY</v>
      </c>
      <c r="G525" s="57" t="s">
        <v>383</v>
      </c>
      <c r="H525" s="57" t="s">
        <v>341</v>
      </c>
      <c r="I525" s="57" t="s">
        <v>597</v>
      </c>
      <c r="J525" s="57" t="s">
        <v>1146</v>
      </c>
      <c r="K525" s="67" t="s">
        <v>1147</v>
      </c>
      <c r="L525" s="67" t="s">
        <v>1148</v>
      </c>
      <c r="M525" s="67" t="s">
        <v>414</v>
      </c>
      <c r="N525" s="67" t="s">
        <v>346</v>
      </c>
      <c r="O525" s="67" t="s">
        <v>1149</v>
      </c>
      <c r="P525" s="57" t="s">
        <v>177</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IF(N525="N/A – rule","N/A – RULE",IF(TRIM(U525)="N/A",IF(AT525=0,"INVALID – N/A not permitted for this mandatory check",IF(AND(TRIM(AC525)&lt;&gt;"",TRIM(AE525)&lt;&gt;"",TRIM(T525)&lt;&gt;""),"N/A – JUSTIFIED","INVALID – N/A needs justification, PIC and verifier")),IF(OR(TRIM(U525)="Pass",TRIM(U525)="Pass after CA"),IF(NOT(ISNUMBER(AD525)),"INVALID – completion time missing",IF(TRIM(T525)="","INVALID – PIC missing",IF(TRIM(Z525)="","INVALID – evidence missing",IF(TRIM(AE525)="","INVALID – verifier missing",IF(AND(AQ525=1,TRIM(W525)=""),"INVALID – batch ID missing",IF(AND(AR525=1,OR(NOT(ISNUMBER(X525)),NOT(ISNUMBER(Y525)))),"INVALID – expected/actual qty missing",IF(IF(AND(TRIM(U525)="Pass",ISNUMBER(AF525)),IF(AF525&lt;&gt;0,"INVALID – qty variance: use Fail or Pass after CA",""),"")&amp;IF(AND(TRIM(U525)="Pass",AB525="Open"),"INVALID – corrective action still open: use Fail, then Pass after CA","")&amp;IF(AND(TRIM(U525)="Pass after CA",OR(TRIM(AA525)="",AB525&lt;&gt;"Closed")),"INVALID – corrective action not recorded/closed","")&lt;&gt;"",IF(AND(TRIM(U525)="Pass",ISNUMBER(AF525)),IF(AF525&lt;&gt;0,"INVALID – qty variance: use Fail or Pass after CA",""),"")&amp;IF(AND(TRIM(U525)="Pass",AB525="Open"),"INVALID – corrective action still open: use Fail, then Pass after CA","")&amp;IF(AND(TRIM(U525)="Pass after CA",OR(TRIM(AA525)="",AB525&lt;&gt;"Closed")),"INVALID – corrective action not recorded/closed",""),IF(AND(AS525=1,Documents!$J$20&lt;&gt;"ON FILE"),"INVALID – GLD not on file (Documents sheet)",IF(AND(AS525=2,Documents!$O$20&lt;&gt;"ON FILE"),"INVALID – menu checklist not on file (Documents sheet)",IF(AND(AS525=3,NOT(ISNUMBER(Flights!$AX$20))),"INVALID – enter carrying flight KUL departure (Flights AX)",IF(AG525&gt;AsOfUTC,"INVALID – completion time is in the future",IF(AND(ISNUMBER(S525),AG525&lt;S525),IF(H525="Physical uplift","INVALID – before uplift window (cannot confirm loading)","INVALID – before valid window"),IF(AG525&gt;Flights!$AA$20,"INVALID – completed after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f>
        <v>OPEN</v>
      </c>
      <c r="AI525" s="61" t="n">
        <f aca="false">IF(OR(AH525="N/A – RULE",AH525="N/A – JUSTIFIED"),0,1)</f>
        <v>1</v>
      </c>
      <c r="AJ525" s="61" t="n">
        <f aca="false">IF(LEFT(AH525,8)="COMPLETE",1,0)</f>
        <v>0</v>
      </c>
      <c r="AK525" s="61" t="n">
        <f aca="false">IF(AND(AI525=1,AJ525=0,AsOfUTC&gt;Q525),1,0)</f>
        <v>0</v>
      </c>
      <c r="AL525" s="61" t="n">
        <f aca="false">IF(AND(AI525=1,OR(TRIM(U525)="Fail",AB525="Open",AND(ISNUMBER(AF525),AF525&lt;&gt;0,TRIM(U525)&lt;&gt;"Pass after CA"))),1,0)</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1</v>
      </c>
    </row>
    <row r="526" customFormat="false" ht="39.75" hidden="false" customHeight="true" outlineLevel="0" collapsed="false">
      <c r="A526" s="57" t="s">
        <v>1150</v>
      </c>
      <c r="B526" s="57" t="s">
        <v>270</v>
      </c>
      <c r="C526" s="57" t="str">
        <f aca="false">Flights!$F$20</f>
        <v>MH0072</v>
      </c>
      <c r="D526" s="58" t="n">
        <f aca="false">Flights!$D$20</f>
        <v>46321</v>
      </c>
      <c r="E526" s="57" t="str">
        <f aca="false">Flights!$G$20&amp;"-"&amp;Flights!$H$20</f>
        <v>KUL-HKG</v>
      </c>
      <c r="F526" s="57" t="str">
        <f aca="false">Flights!$K$20</f>
        <v>EY</v>
      </c>
      <c r="G526" s="57" t="s">
        <v>422</v>
      </c>
      <c r="H526" s="57" t="s">
        <v>423</v>
      </c>
      <c r="I526" s="57" t="s">
        <v>342</v>
      </c>
      <c r="J526" s="57" t="s">
        <v>424</v>
      </c>
      <c r="K526" s="67" t="s">
        <v>389</v>
      </c>
      <c r="L526" s="67" t="s">
        <v>425</v>
      </c>
      <c r="M526" s="67"/>
      <c r="N526" s="67" t="s">
        <v>346</v>
      </c>
      <c r="O526" s="67" t="s">
        <v>426</v>
      </c>
      <c r="P526" s="57" t="s">
        <v>177</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IF(N526="N/A – rule","N/A – RULE",IF(TRIM(U526)="N/A",IF(AT526=0,"INVALID – N/A not permitted for this mandatory check",IF(AND(TRIM(AC526)&lt;&gt;"",TRIM(AE526)&lt;&gt;"",TRIM(T526)&lt;&gt;""),"N/A – JUSTIFIED","INVALID – N/A needs justification, PIC and verifier")),IF(OR(TRIM(U526)="Pass",TRIM(U526)="Pass after CA"),IF(NOT(ISNUMBER(AD526)),"INVALID – completion time missing",IF(TRIM(T526)="","INVALID – PIC missing",IF(TRIM(Z526)="","INVALID – evidence missing",IF(TRIM(AE526)="","INVALID – verifier missing",IF(AND(AQ526=1,TRIM(W526)=""),"INVALID – batch ID missing",IF(AND(AR526=1,OR(NOT(ISNUMBER(X526)),NOT(ISNUMBER(Y526)))),"INVALID – expected/actual qty missing",IF(IF(AND(TRIM(U526)="Pass",ISNUMBER(AF526)),IF(AF526&lt;&gt;0,"INVALID – qty variance: use Fail or Pass after CA",""),"")&amp;IF(AND(TRIM(U526)="Pass",AB526="Open"),"INVALID – corrective action still open: use Fail, then Pass after CA","")&amp;IF(AND(TRIM(U526)="Pass after CA",OR(TRIM(AA526)="",AB526&lt;&gt;"Closed")),"INVALID – corrective action not recorded/closed","")&lt;&gt;"",IF(AND(TRIM(U526)="Pass",ISNUMBER(AF526)),IF(AF526&lt;&gt;0,"INVALID – qty variance: use Fail or Pass after CA",""),"")&amp;IF(AND(TRIM(U526)="Pass",AB526="Open"),"INVALID – corrective action still open: use Fail, then Pass after CA","")&amp;IF(AND(TRIM(U526)="Pass after CA",OR(TRIM(AA526)="",AB526&lt;&gt;"Closed")),"INVALID – corrective action not recorded/closed",""),IF(AND(AS526=1,Documents!$J$20&lt;&gt;"ON FILE"),"INVALID – GLD not on file (Documents sheet)",IF(AND(AS526=2,Documents!$O$20&lt;&gt;"ON FILE"),"INVALID – menu checklist not on file (Documents sheet)",IF(AND(AS526=3,NOT(ISNUMBER(Flights!$AX$20))),"INVALID – enter carrying flight KUL departure (Flights AX)",IF(AG526&gt;AsOfUTC,"INVALID – completion time is in the future",IF(AND(ISNUMBER(S526),AG526&lt;S526),IF(H526="Physical uplift","INVALID – before uplift window (cannot confirm loading)","INVALID – before valid window"),IF(AG526&gt;Flights!$AA$20,"INVALID – completed after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f>
        <v>OPEN</v>
      </c>
      <c r="AI526" s="61" t="n">
        <f aca="false">IF(OR(AH526="N/A – RULE",AH526="N/A – JUSTIFIED"),0,1)</f>
        <v>1</v>
      </c>
      <c r="AJ526" s="61" t="n">
        <f aca="false">IF(LEFT(AH526,8)="COMPLETE",1,0)</f>
        <v>0</v>
      </c>
      <c r="AK526" s="61" t="n">
        <f aca="false">IF(AND(AI526=1,AJ526=0,AsOfUTC&gt;Q526),1,0)</f>
        <v>0</v>
      </c>
      <c r="AL526" s="61" t="n">
        <f aca="false">IF(AND(AI526=1,OR(TRIM(U526)="Fail",AB526="Open",AND(ISNUMBER(AF526),AF526&lt;&gt;0,TRIM(U526)&lt;&gt;"Pass after CA"))),1,0)</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row>
    <row r="527" customFormat="false" ht="39.75" hidden="false" customHeight="true" outlineLevel="0" collapsed="false">
      <c r="A527" s="57" t="s">
        <v>1151</v>
      </c>
      <c r="B527" s="57" t="s">
        <v>270</v>
      </c>
      <c r="C527" s="57" t="str">
        <f aca="false">Flights!$F$20</f>
        <v>MH0072</v>
      </c>
      <c r="D527" s="58" t="n">
        <f aca="false">Flights!$D$20</f>
        <v>46321</v>
      </c>
      <c r="E527" s="57" t="str">
        <f aca="false">Flights!$G$20&amp;"-"&amp;Flights!$H$20</f>
        <v>KUL-HKG</v>
      </c>
      <c r="F527" s="57" t="str">
        <f aca="false">Flights!$K$20</f>
        <v>EY</v>
      </c>
      <c r="G527" s="57" t="s">
        <v>422</v>
      </c>
      <c r="H527" s="57" t="s">
        <v>423</v>
      </c>
      <c r="I527" s="57" t="s">
        <v>391</v>
      </c>
      <c r="J527" s="57" t="s">
        <v>428</v>
      </c>
      <c r="K527" s="67" t="s">
        <v>389</v>
      </c>
      <c r="L527" s="67" t="s">
        <v>425</v>
      </c>
      <c r="M527" s="67"/>
      <c r="N527" s="67" t="s">
        <v>346</v>
      </c>
      <c r="O527" s="67" t="s">
        <v>426</v>
      </c>
      <c r="P527" s="57" t="s">
        <v>177</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IF(N527="N/A – rule","N/A – RULE",IF(TRIM(U527)="N/A",IF(AT527=0,"INVALID – N/A not permitted for this mandatory check",IF(AND(TRIM(AC527)&lt;&gt;"",TRIM(AE527)&lt;&gt;"",TRIM(T527)&lt;&gt;""),"N/A – JUSTIFIED","INVALID – N/A needs justification, PIC and verifier")),IF(OR(TRIM(U527)="Pass",TRIM(U527)="Pass after CA"),IF(NOT(ISNUMBER(AD527)),"INVALID – completion time missing",IF(TRIM(T527)="","INVALID – PIC missing",IF(TRIM(Z527)="","INVALID – evidence missing",IF(TRIM(AE527)="","INVALID – verifier missing",IF(AND(AQ527=1,TRIM(W527)=""),"INVALID – batch ID missing",IF(AND(AR527=1,OR(NOT(ISNUMBER(X527)),NOT(ISNUMBER(Y527)))),"INVALID – expected/actual qty missing",IF(IF(AND(TRIM(U527)="Pass",ISNUMBER(AF527)),IF(AF527&lt;&gt;0,"INVALID – qty variance: use Fail or Pass after CA",""),"")&amp;IF(AND(TRIM(U527)="Pass",AB527="Open"),"INVALID – corrective action still open: use Fail, then Pass after CA","")&amp;IF(AND(TRIM(U527)="Pass after CA",OR(TRIM(AA527)="",AB527&lt;&gt;"Closed")),"INVALID – corrective action not recorded/closed","")&lt;&gt;"",IF(AND(TRIM(U527)="Pass",ISNUMBER(AF527)),IF(AF527&lt;&gt;0,"INVALID – qty variance: use Fail or Pass after CA",""),"")&amp;IF(AND(TRIM(U527)="Pass",AB527="Open"),"INVALID – corrective action still open: use Fail, then Pass after CA","")&amp;IF(AND(TRIM(U527)="Pass after CA",OR(TRIM(AA527)="",AB527&lt;&gt;"Closed")),"INVALID – corrective action not recorded/closed",""),IF(AND(AS527=1,Documents!$J$20&lt;&gt;"ON FILE"),"INVALID – GLD not on file (Documents sheet)",IF(AND(AS527=2,Documents!$O$20&lt;&gt;"ON FILE"),"INVALID – menu checklist not on file (Documents sheet)",IF(AND(AS527=3,NOT(ISNUMBER(Flights!$AX$20))),"INVALID – enter carrying flight KUL departure (Flights AX)",IF(AG527&gt;AsOfUTC,"INVALID – completion time is in the future",IF(AND(ISNUMBER(S527),AG527&lt;S527),IF(H527="Physical uplift","INVALID – before uplift window (cannot confirm loading)","INVALID – before valid window"),IF(AG527&gt;Flights!$AA$20,"INVALID – completed after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f>
        <v>OPEN</v>
      </c>
      <c r="AI527" s="61" t="n">
        <f aca="false">IF(OR(AH527="N/A – RULE",AH527="N/A – JUSTIFIED"),0,1)</f>
        <v>1</v>
      </c>
      <c r="AJ527" s="61" t="n">
        <f aca="false">IF(LEFT(AH527,8)="COMPLETE",1,0)</f>
        <v>0</v>
      </c>
      <c r="AK527" s="61" t="n">
        <f aca="false">IF(AND(AI527=1,AJ527=0,AsOfUTC&gt;Q527),1,0)</f>
        <v>0</v>
      </c>
      <c r="AL527" s="61" t="n">
        <f aca="false">IF(AND(AI527=1,OR(TRIM(U527)="Fail",AB527="Open",AND(ISNUMBER(AF527),AF527&lt;&gt;0,TRIM(U527)&lt;&gt;"Pass after CA"))),1,0)</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row>
    <row r="528" customFormat="false" ht="39.75" hidden="false" customHeight="true" outlineLevel="0" collapsed="false">
      <c r="A528" s="57" t="s">
        <v>1152</v>
      </c>
      <c r="B528" s="57" t="s">
        <v>270</v>
      </c>
      <c r="C528" s="57" t="str">
        <f aca="false">Flights!$F$20</f>
        <v>MH0072</v>
      </c>
      <c r="D528" s="58" t="n">
        <f aca="false">Flights!$D$20</f>
        <v>46321</v>
      </c>
      <c r="E528" s="57" t="str">
        <f aca="false">Flights!$G$20&amp;"-"&amp;Flights!$H$20</f>
        <v>KUL-HKG</v>
      </c>
      <c r="F528" s="57" t="str">
        <f aca="false">Flights!$K$20</f>
        <v>EY</v>
      </c>
      <c r="G528" s="57" t="s">
        <v>422</v>
      </c>
      <c r="H528" s="57" t="s">
        <v>423</v>
      </c>
      <c r="I528" s="57" t="s">
        <v>410</v>
      </c>
      <c r="J528" s="57" t="s">
        <v>432</v>
      </c>
      <c r="K528" s="67" t="s">
        <v>412</v>
      </c>
      <c r="L528" s="67" t="s">
        <v>1141</v>
      </c>
      <c r="M528" s="67" t="s">
        <v>414</v>
      </c>
      <c r="N528" s="67" t="s">
        <v>346</v>
      </c>
      <c r="O528" s="67"/>
      <c r="P528" s="57" t="s">
        <v>177</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IF(N528="N/A – rule","N/A – RULE",IF(TRIM(U528)="N/A",IF(AT528=0,"INVALID – N/A not permitted for this mandatory check",IF(AND(TRIM(AC528)&lt;&gt;"",TRIM(AE528)&lt;&gt;"",TRIM(T528)&lt;&gt;""),"N/A – JUSTIFIED","INVALID – N/A needs justification, PIC and verifier")),IF(OR(TRIM(U528)="Pass",TRIM(U528)="Pass after CA"),IF(NOT(ISNUMBER(AD528)),"INVALID – completion time missing",IF(TRIM(T528)="","INVALID – PIC missing",IF(TRIM(Z528)="","INVALID – evidence missing",IF(TRIM(AE528)="","INVALID – verifier missing",IF(AND(AQ528=1,TRIM(W528)=""),"INVALID – batch ID missing",IF(AND(AR528=1,OR(NOT(ISNUMBER(X528)),NOT(ISNUMBER(Y528)))),"INVALID – expected/actual qty missing",IF(IF(AND(TRIM(U528)="Pass",ISNUMBER(AF528)),IF(AF528&lt;&gt;0,"INVALID – qty variance: use Fail or Pass after CA",""),"")&amp;IF(AND(TRIM(U528)="Pass",AB528="Open"),"INVALID – corrective action still open: use Fail, then Pass after CA","")&amp;IF(AND(TRIM(U528)="Pass after CA",OR(TRIM(AA528)="",AB528&lt;&gt;"Closed")),"INVALID – corrective action not recorded/closed","")&lt;&gt;"",IF(AND(TRIM(U528)="Pass",ISNUMBER(AF528)),IF(AF528&lt;&gt;0,"INVALID – qty variance: use Fail or Pass after CA",""),"")&amp;IF(AND(TRIM(U528)="Pass",AB528="Open"),"INVALID – corrective action still open: use Fail, then Pass after CA","")&amp;IF(AND(TRIM(U528)="Pass after CA",OR(TRIM(AA528)="",AB528&lt;&gt;"Closed")),"INVALID – corrective action not recorded/closed",""),IF(AND(AS528=1,Documents!$J$20&lt;&gt;"ON FILE"),"INVALID – GLD not on file (Documents sheet)",IF(AND(AS528=2,Documents!$O$20&lt;&gt;"ON FILE"),"INVALID – menu checklist not on file (Documents sheet)",IF(AND(AS528=3,NOT(ISNUMBER(Flights!$AX$20))),"INVALID – enter carrying flight KUL departure (Flights AX)",IF(AG528&gt;AsOfUTC,"INVALID – completion time is in the future",IF(AND(ISNUMBER(S528),AG528&lt;S528),IF(H528="Physical uplift","INVALID – before uplift window (cannot confirm loading)","INVALID – before valid window"),IF(AG528&gt;Flights!$AA$20,"INVALID – completed after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f>
        <v>OPEN</v>
      </c>
      <c r="AI528" s="61" t="n">
        <f aca="false">IF(OR(AH528="N/A – RULE",AH528="N/A – JUSTIFIED"),0,1)</f>
        <v>1</v>
      </c>
      <c r="AJ528" s="61" t="n">
        <f aca="false">IF(LEFT(AH528,8)="COMPLETE",1,0)</f>
        <v>0</v>
      </c>
      <c r="AK528" s="61" t="n">
        <f aca="false">IF(AND(AI528=1,AJ528=0,AsOfUTC&gt;Q528),1,0)</f>
        <v>0</v>
      </c>
      <c r="AL528" s="61" t="n">
        <f aca="false">IF(AND(AI528=1,OR(TRIM(U528)="Fail",AB528="Open",AND(ISNUMBER(AF528),AF528&lt;&gt;0,TRIM(U528)&lt;&gt;"Pass after CA"))),1,0)</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1</v>
      </c>
    </row>
    <row r="529" customFormat="false" ht="91.5" hidden="false" customHeight="true" outlineLevel="0" collapsed="false">
      <c r="A529" s="57" t="s">
        <v>1153</v>
      </c>
      <c r="B529" s="57" t="s">
        <v>270</v>
      </c>
      <c r="C529" s="57" t="str">
        <f aca="false">Flights!$F$20</f>
        <v>MH0072</v>
      </c>
      <c r="D529" s="58" t="n">
        <f aca="false">Flights!$D$20</f>
        <v>46321</v>
      </c>
      <c r="E529" s="57" t="str">
        <f aca="false">Flights!$G$20&amp;"-"&amp;Flights!$H$20</f>
        <v>KUL-HKG</v>
      </c>
      <c r="F529" s="57" t="str">
        <f aca="false">Flights!$K$20</f>
        <v>EY</v>
      </c>
      <c r="G529" s="57" t="s">
        <v>422</v>
      </c>
      <c r="H529" s="57" t="s">
        <v>423</v>
      </c>
      <c r="I529" s="57" t="s">
        <v>410</v>
      </c>
      <c r="J529" s="57" t="s">
        <v>434</v>
      </c>
      <c r="K529" s="67" t="s">
        <v>412</v>
      </c>
      <c r="L529" s="67" t="s">
        <v>1143</v>
      </c>
      <c r="M529" s="67" t="s">
        <v>414</v>
      </c>
      <c r="N529" s="67" t="s">
        <v>407</v>
      </c>
      <c r="O529" s="67" t="s">
        <v>1154</v>
      </c>
      <c r="P529" s="57" t="s">
        <v>177</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IF(N529="N/A – rule","N/A – RULE",IF(TRIM(U529)="N/A",IF(AT529=0,"INVALID – N/A not permitted for this mandatory check",IF(AND(TRIM(AC529)&lt;&gt;"",TRIM(AE529)&lt;&gt;"",TRIM(T529)&lt;&gt;""),"N/A – JUSTIFIED","INVALID – N/A needs justification, PIC and verifier")),IF(OR(TRIM(U529)="Pass",TRIM(U529)="Pass after CA"),IF(NOT(ISNUMBER(AD529)),"INVALID – completion time missing",IF(TRIM(T529)="","INVALID – PIC missing",IF(TRIM(Z529)="","INVALID – evidence missing",IF(TRIM(AE529)="","INVALID – verifier missing",IF(AND(AQ529=1,TRIM(W529)=""),"INVALID – batch ID missing",IF(AND(AR529=1,OR(NOT(ISNUMBER(X529)),NOT(ISNUMBER(Y529)))),"INVALID – expected/actual qty missing",IF(IF(AND(TRIM(U529)="Pass",ISNUMBER(AF529)),IF(AF529&lt;&gt;0,"INVALID – qty variance: use Fail or Pass after CA",""),"")&amp;IF(AND(TRIM(U529)="Pass",AB529="Open"),"INVALID – corrective action still open: use Fail, then Pass after CA","")&amp;IF(AND(TRIM(U529)="Pass after CA",OR(TRIM(AA529)="",AB529&lt;&gt;"Closed")),"INVALID – corrective action not recorded/closed","")&lt;&gt;"",IF(AND(TRIM(U529)="Pass",ISNUMBER(AF529)),IF(AF529&lt;&gt;0,"INVALID – qty variance: use Fail or Pass after CA",""),"")&amp;IF(AND(TRIM(U529)="Pass",AB529="Open"),"INVALID – corrective action still open: use Fail, then Pass after CA","")&amp;IF(AND(TRIM(U529)="Pass after CA",OR(TRIM(AA529)="",AB529&lt;&gt;"Closed")),"INVALID – corrective action not recorded/closed",""),IF(AND(AS529=1,Documents!$J$20&lt;&gt;"ON FILE"),"INVALID – GLD not on file (Documents sheet)",IF(AND(AS529=2,Documents!$O$20&lt;&gt;"ON FILE"),"INVALID – menu checklist not on file (Documents sheet)",IF(AND(AS529=3,NOT(ISNUMBER(Flights!$AX$20))),"INVALID – enter carrying flight KUL departure (Flights AX)",IF(AG529&gt;AsOfUTC,"INVALID – completion time is in the future",IF(AND(ISNUMBER(S529),AG529&lt;S529),IF(H529="Physical uplift","INVALID – before uplift window (cannot confirm loading)","INVALID – before valid window"),IF(AG529&gt;Flights!$AA$20,"INVALID – completed after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f>
        <v>OPEN – CLARIFICATION</v>
      </c>
      <c r="AI529" s="61" t="n">
        <f aca="false">IF(OR(AH529="N/A – RULE",AH529="N/A – JUSTIFIED"),0,1)</f>
        <v>1</v>
      </c>
      <c r="AJ529" s="61" t="n">
        <f aca="false">IF(LEFT(AH529,8)="COMPLETE",1,0)</f>
        <v>0</v>
      </c>
      <c r="AK529" s="61" t="n">
        <f aca="false">IF(AND(AI529=1,AJ529=0,AsOfUTC&gt;Q529),1,0)</f>
        <v>0</v>
      </c>
      <c r="AL529" s="61" t="n">
        <f aca="false">IF(AND(AI529=1,OR(TRIM(U529)="Fail",AB529="Open",AND(ISNUMBER(AF529),AF529&lt;&gt;0,TRIM(U529)&lt;&gt;"Pass after CA"))),1,0)</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row>
    <row r="530" customFormat="false" ht="41.25" hidden="false" customHeight="true" outlineLevel="0" collapsed="false">
      <c r="A530" s="57" t="s">
        <v>1155</v>
      </c>
      <c r="B530" s="57" t="s">
        <v>270</v>
      </c>
      <c r="C530" s="57" t="str">
        <f aca="false">Flights!$F$20</f>
        <v>MH0072</v>
      </c>
      <c r="D530" s="58" t="n">
        <f aca="false">Flights!$D$20</f>
        <v>46321</v>
      </c>
      <c r="E530" s="57" t="str">
        <f aca="false">Flights!$G$20&amp;"-"&amp;Flights!$H$20</f>
        <v>KUL-HKG</v>
      </c>
      <c r="F530" s="57" t="str">
        <f aca="false">Flights!$K$20</f>
        <v>EY</v>
      </c>
      <c r="G530" s="57" t="s">
        <v>422</v>
      </c>
      <c r="H530" s="57" t="s">
        <v>423</v>
      </c>
      <c r="I530" s="57" t="s">
        <v>597</v>
      </c>
      <c r="J530" s="57" t="s">
        <v>1156</v>
      </c>
      <c r="K530" s="67" t="s">
        <v>1147</v>
      </c>
      <c r="L530" s="67" t="s">
        <v>1148</v>
      </c>
      <c r="M530" s="67" t="s">
        <v>414</v>
      </c>
      <c r="N530" s="67" t="s">
        <v>346</v>
      </c>
      <c r="O530" s="67" t="s">
        <v>1157</v>
      </c>
      <c r="P530" s="57" t="s">
        <v>177</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IF(N530="N/A – rule","N/A – RULE",IF(TRIM(U530)="N/A",IF(AT530=0,"INVALID – N/A not permitted for this mandatory check",IF(AND(TRIM(AC530)&lt;&gt;"",TRIM(AE530)&lt;&gt;"",TRIM(T530)&lt;&gt;""),"N/A – JUSTIFIED","INVALID – N/A needs justification, PIC and verifier")),IF(OR(TRIM(U530)="Pass",TRIM(U530)="Pass after CA"),IF(NOT(ISNUMBER(AD530)),"INVALID – completion time missing",IF(TRIM(T530)="","INVALID – PIC missing",IF(TRIM(Z530)="","INVALID – evidence missing",IF(TRIM(AE530)="","INVALID – verifier missing",IF(AND(AQ530=1,TRIM(W530)=""),"INVALID – batch ID missing",IF(AND(AR530=1,OR(NOT(ISNUMBER(X530)),NOT(ISNUMBER(Y530)))),"INVALID – expected/actual qty missing",IF(IF(AND(TRIM(U530)="Pass",ISNUMBER(AF530)),IF(AF530&lt;&gt;0,"INVALID – qty variance: use Fail or Pass after CA",""),"")&amp;IF(AND(TRIM(U530)="Pass",AB530="Open"),"INVALID – corrective action still open: use Fail, then Pass after CA","")&amp;IF(AND(TRIM(U530)="Pass after CA",OR(TRIM(AA530)="",AB530&lt;&gt;"Closed")),"INVALID – corrective action not recorded/closed","")&lt;&gt;"",IF(AND(TRIM(U530)="Pass",ISNUMBER(AF530)),IF(AF530&lt;&gt;0,"INVALID – qty variance: use Fail or Pass after CA",""),"")&amp;IF(AND(TRIM(U530)="Pass",AB530="Open"),"INVALID – corrective action still open: use Fail, then Pass after CA","")&amp;IF(AND(TRIM(U530)="Pass after CA",OR(TRIM(AA530)="",AB530&lt;&gt;"Closed")),"INVALID – corrective action not recorded/closed",""),IF(AND(AS530=1,Documents!$J$20&lt;&gt;"ON FILE"),"INVALID – GLD not on file (Documents sheet)",IF(AND(AS530=2,Documents!$O$20&lt;&gt;"ON FILE"),"INVALID – menu checklist not on file (Documents sheet)",IF(AND(AS530=3,NOT(ISNUMBER(Flights!$AX$20))),"INVALID – enter carrying flight KUL departure (Flights AX)",IF(AG530&gt;AsOfUTC,"INVALID – completion time is in the future",IF(AND(ISNUMBER(S530),AG530&lt;S530),IF(H530="Physical uplift","INVALID – before uplift window (cannot confirm loading)","INVALID – before valid window"),IF(AG530&gt;Flights!$AA$20,"INVALID – completed after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f>
        <v>OPEN</v>
      </c>
      <c r="AI530" s="61" t="n">
        <f aca="false">IF(OR(AH530="N/A – RULE",AH530="N/A – JUSTIFIED"),0,1)</f>
        <v>1</v>
      </c>
      <c r="AJ530" s="61" t="n">
        <f aca="false">IF(LEFT(AH530,8)="COMPLETE",1,0)</f>
        <v>0</v>
      </c>
      <c r="AK530" s="61" t="n">
        <f aca="false">IF(AND(AI530=1,AJ530=0,AsOfUTC&gt;Q530),1,0)</f>
        <v>0</v>
      </c>
      <c r="AL530" s="61" t="n">
        <f aca="false">IF(AND(AI530=1,OR(TRIM(U530)="Fail",AB530="Open",AND(ISNUMBER(AF530),AF530&lt;&gt;0,TRIM(U530)&lt;&gt;"Pass after CA"))),1,0)</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1</v>
      </c>
    </row>
    <row r="531" customFormat="false" ht="39.75" hidden="false" customHeight="true" outlineLevel="0" collapsed="false">
      <c r="A531" s="57" t="s">
        <v>1158</v>
      </c>
      <c r="B531" s="57" t="s">
        <v>280</v>
      </c>
      <c r="C531" s="57" t="str">
        <f aca="false">Flights!$F$21</f>
        <v>MH0073</v>
      </c>
      <c r="D531" s="58" t="n">
        <f aca="false">Flights!$D$21</f>
        <v>46322</v>
      </c>
      <c r="E531" s="57" t="str">
        <f aca="false">Flights!$G$21&amp;"-"&amp;Flights!$H$21</f>
        <v>HKG-KUL</v>
      </c>
      <c r="F531" s="57" t="str">
        <f aca="false">Flights!$K$21</f>
        <v>BC</v>
      </c>
      <c r="G531" s="57" t="s">
        <v>74</v>
      </c>
      <c r="H531" s="57" t="s">
        <v>341</v>
      </c>
      <c r="I531" s="57" t="s">
        <v>342</v>
      </c>
      <c r="J531" s="57" t="s">
        <v>343</v>
      </c>
      <c r="K531" s="67" t="s">
        <v>344</v>
      </c>
      <c r="L531" s="67" t="s">
        <v>345</v>
      </c>
      <c r="M531" s="67"/>
      <c r="N531" s="67" t="s">
        <v>346</v>
      </c>
      <c r="O531" s="67"/>
      <c r="P531" s="57" t="s">
        <v>272</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IF(N531="N/A – rule","N/A – RULE",IF(TRIM(U531)="N/A",IF(AT531=0,"INVALID – N/A not permitted for this mandatory check",IF(AND(TRIM(AC531)&lt;&gt;"",TRIM(AE531)&lt;&gt;"",TRIM(T531)&lt;&gt;""),"N/A – JUSTIFIED","INVALID – N/A needs justification, PIC and verifier")),IF(OR(TRIM(U531)="Pass",TRIM(U531)="Pass after CA"),IF(NOT(ISNUMBER(AD531)),"INVALID – completion time missing",IF(TRIM(T531)="","INVALID – PIC missing",IF(TRIM(Z531)="","INVALID – evidence missing",IF(TRIM(AE531)="","INVALID – verifier missing",IF(AND(AQ531=1,TRIM(W531)=""),"INVALID – batch ID missing",IF(AND(AR531=1,OR(NOT(ISNUMBER(X531)),NOT(ISNUMBER(Y531)))),"INVALID – expected/actual qty missing",IF(IF(AND(TRIM(U531)="Pass",ISNUMBER(AF531)),IF(AF531&lt;&gt;0,"INVALID – qty variance: use Fail or Pass after CA",""),"")&amp;IF(AND(TRIM(U531)="Pass",AB531="Open"),"INVALID – corrective action still open: use Fail, then Pass after CA","")&amp;IF(AND(TRIM(U531)="Pass after CA",OR(TRIM(AA531)="",AB531&lt;&gt;"Closed")),"INVALID – corrective action not recorded/closed","")&lt;&gt;"",IF(AND(TRIM(U531)="Pass",ISNUMBER(AF531)),IF(AF531&lt;&gt;0,"INVALID – qty variance: use Fail or Pass after CA",""),"")&amp;IF(AND(TRIM(U531)="Pass",AB531="Open"),"INVALID – corrective action still open: use Fail, then Pass after CA","")&amp;IF(AND(TRIM(U531)="Pass after CA",OR(TRIM(AA531)="",AB531&lt;&gt;"Closed")),"INVALID – corrective action not recorded/closed",""),IF(AND(AS531=1,Documents!$J$21&lt;&gt;"ON FILE"),"INVALID – GLD not on file (Documents sheet)",IF(AND(AS531=2,Documents!$O$21&lt;&gt;"ON FILE"),"INVALID – menu checklist not on file (Documents sheet)",IF(AND(AS531=3,NOT(ISNUMBER(Flights!$AX$21))),"INVALID – enter carrying flight KUL departure (Flights AX)",IF(AG531&gt;AsOfUTC,"INVALID – completion time is in the future",IF(AND(ISNUMBER(S531),AG531&lt;S531),IF(H531="Physical uplift","INVALID – before uplift window (cannot confirm loading)","INVALID – before valid window"),IF(AG531&gt;Flights!$AA$21,"INVALID – completed after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f>
        <v>OPEN</v>
      </c>
      <c r="AI531" s="61" t="n">
        <f aca="false">IF(OR(AH531="N/A – RULE",AH531="N/A – JUSTIFIED"),0,1)</f>
        <v>1</v>
      </c>
      <c r="AJ531" s="61" t="n">
        <f aca="false">IF(LEFT(AH531,8)="COMPLETE",1,0)</f>
        <v>0</v>
      </c>
      <c r="AK531" s="61" t="n">
        <f aca="false">IF(AND(AI531=1,AJ531=0,AsOfUTC&gt;Q531),1,0)</f>
        <v>0</v>
      </c>
      <c r="AL531" s="61" t="n">
        <f aca="false">IF(AND(AI531=1,OR(TRIM(U531)="Fail",AB531="Open",AND(ISNUMBER(AF531),AF531&lt;&gt;0,TRIM(U531)&lt;&gt;"Pass after CA"))),1,0)</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row>
    <row r="532" customFormat="false" ht="39.75" hidden="false" customHeight="true" outlineLevel="0" collapsed="false">
      <c r="A532" s="57" t="s">
        <v>1159</v>
      </c>
      <c r="B532" s="57" t="s">
        <v>280</v>
      </c>
      <c r="C532" s="57" t="str">
        <f aca="false">Flights!$F$21</f>
        <v>MH0073</v>
      </c>
      <c r="D532" s="58" t="n">
        <f aca="false">Flights!$D$21</f>
        <v>46322</v>
      </c>
      <c r="E532" s="57" t="str">
        <f aca="false">Flights!$G$21&amp;"-"&amp;Flights!$H$21</f>
        <v>HKG-KUL</v>
      </c>
      <c r="F532" s="57" t="str">
        <f aca="false">Flights!$K$21</f>
        <v>BC</v>
      </c>
      <c r="G532" s="57" t="s">
        <v>74</v>
      </c>
      <c r="H532" s="57" t="s">
        <v>341</v>
      </c>
      <c r="I532" s="57" t="s">
        <v>348</v>
      </c>
      <c r="J532" s="57" t="s">
        <v>349</v>
      </c>
      <c r="K532" s="67" t="s">
        <v>350</v>
      </c>
      <c r="L532" s="67" t="s">
        <v>345</v>
      </c>
      <c r="M532" s="67"/>
      <c r="N532" s="67" t="s">
        <v>346</v>
      </c>
      <c r="O532" s="67"/>
      <c r="P532" s="57" t="s">
        <v>272</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IF(N532="N/A – rule","N/A – RULE",IF(TRIM(U532)="N/A",IF(AT532=0,"INVALID – N/A not permitted for this mandatory check",IF(AND(TRIM(AC532)&lt;&gt;"",TRIM(AE532)&lt;&gt;"",TRIM(T532)&lt;&gt;""),"N/A – JUSTIFIED","INVALID – N/A needs justification, PIC and verifier")),IF(OR(TRIM(U532)="Pass",TRIM(U532)="Pass after CA"),IF(NOT(ISNUMBER(AD532)),"INVALID – completion time missing",IF(TRIM(T532)="","INVALID – PIC missing",IF(TRIM(Z532)="","INVALID – evidence missing",IF(TRIM(AE532)="","INVALID – verifier missing",IF(AND(AQ532=1,TRIM(W532)=""),"INVALID – batch ID missing",IF(AND(AR532=1,OR(NOT(ISNUMBER(X532)),NOT(ISNUMBER(Y532)))),"INVALID – expected/actual qty missing",IF(IF(AND(TRIM(U532)="Pass",ISNUMBER(AF532)),IF(AF532&lt;&gt;0,"INVALID – qty variance: use Fail or Pass after CA",""),"")&amp;IF(AND(TRIM(U532)="Pass",AB532="Open"),"INVALID – corrective action still open: use Fail, then Pass after CA","")&amp;IF(AND(TRIM(U532)="Pass after CA",OR(TRIM(AA532)="",AB532&lt;&gt;"Closed")),"INVALID – corrective action not recorded/closed","")&lt;&gt;"",IF(AND(TRIM(U532)="Pass",ISNUMBER(AF532)),IF(AF532&lt;&gt;0,"INVALID – qty variance: use Fail or Pass after CA",""),"")&amp;IF(AND(TRIM(U532)="Pass",AB532="Open"),"INVALID – corrective action still open: use Fail, then Pass after CA","")&amp;IF(AND(TRIM(U532)="Pass after CA",OR(TRIM(AA532)="",AB532&lt;&gt;"Closed")),"INVALID – corrective action not recorded/closed",""),IF(AND(AS532=1,Documents!$J$21&lt;&gt;"ON FILE"),"INVALID – GLD not on file (Documents sheet)",IF(AND(AS532=2,Documents!$O$21&lt;&gt;"ON FILE"),"INVALID – menu checklist not on file (Documents sheet)",IF(AND(AS532=3,NOT(ISNUMBER(Flights!$AX$21))),"INVALID – enter carrying flight KUL departure (Flights AX)",IF(AG532&gt;AsOfUTC,"INVALID – completion time is in the future",IF(AND(ISNUMBER(S532),AG532&lt;S532),IF(H532="Physical uplift","INVALID – before uplift window (cannot confirm loading)","INVALID – before valid window"),IF(AG532&gt;Flights!$AA$21,"INVALID – completed after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f>
        <v>OPEN</v>
      </c>
      <c r="AI532" s="61" t="n">
        <f aca="false">IF(OR(AH532="N/A – RULE",AH532="N/A – JUSTIFIED"),0,1)</f>
        <v>1</v>
      </c>
      <c r="AJ532" s="61" t="n">
        <f aca="false">IF(LEFT(AH532,8)="COMPLETE",1,0)</f>
        <v>0</v>
      </c>
      <c r="AK532" s="61" t="n">
        <f aca="false">IF(AND(AI532=1,AJ532=0,AsOfUTC&gt;Q532),1,0)</f>
        <v>0</v>
      </c>
      <c r="AL532" s="61" t="n">
        <f aca="false">IF(AND(AI532=1,OR(TRIM(U532)="Fail",AB532="Open",AND(ISNUMBER(AF532),AF532&lt;&gt;0,TRIM(U532)&lt;&gt;"Pass after CA"))),1,0)</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1</v>
      </c>
    </row>
    <row r="533" customFormat="false" ht="41.25" hidden="false" customHeight="true" outlineLevel="0" collapsed="false">
      <c r="A533" s="57" t="s">
        <v>1160</v>
      </c>
      <c r="B533" s="57" t="s">
        <v>280</v>
      </c>
      <c r="C533" s="57" t="str">
        <f aca="false">Flights!$F$21</f>
        <v>MH0073</v>
      </c>
      <c r="D533" s="58" t="n">
        <f aca="false">Flights!$D$21</f>
        <v>46322</v>
      </c>
      <c r="E533" s="57" t="str">
        <f aca="false">Flights!$G$21&amp;"-"&amp;Flights!$H$21</f>
        <v>HKG-KUL</v>
      </c>
      <c r="F533" s="57" t="str">
        <f aca="false">Flights!$K$21</f>
        <v>BC</v>
      </c>
      <c r="G533" s="57" t="s">
        <v>74</v>
      </c>
      <c r="H533" s="57" t="s">
        <v>341</v>
      </c>
      <c r="I533" s="57" t="s">
        <v>352</v>
      </c>
      <c r="J533" s="57" t="s">
        <v>353</v>
      </c>
      <c r="K533" s="67" t="s">
        <v>354</v>
      </c>
      <c r="L533" s="67" t="s">
        <v>345</v>
      </c>
      <c r="M533" s="67"/>
      <c r="N533" s="67" t="str">
        <f aca="false">IF(TRIM(Flights!$L$21)="A339","Required","N/A – rule")</f>
        <v>N/A – rule</v>
      </c>
      <c r="O533" s="67" t="s">
        <v>355</v>
      </c>
      <c r="P533" s="57" t="s">
        <v>272</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IF(N533="N/A – rule","N/A – RULE",IF(TRIM(U533)="N/A",IF(AT533=0,"INVALID – N/A not permitted for this mandatory check",IF(AND(TRIM(AC533)&lt;&gt;"",TRIM(AE533)&lt;&gt;"",TRIM(T533)&lt;&gt;""),"N/A – JUSTIFIED","INVALID – N/A needs justification, PIC and verifier")),IF(OR(TRIM(U533)="Pass",TRIM(U533)="Pass after CA"),IF(NOT(ISNUMBER(AD533)),"INVALID – completion time missing",IF(TRIM(T533)="","INVALID – PIC missing",IF(TRIM(Z533)="","INVALID – evidence missing",IF(TRIM(AE533)="","INVALID – verifier missing",IF(AND(AQ533=1,TRIM(W533)=""),"INVALID – batch ID missing",IF(AND(AR533=1,OR(NOT(ISNUMBER(X533)),NOT(ISNUMBER(Y533)))),"INVALID – expected/actual qty missing",IF(IF(AND(TRIM(U533)="Pass",ISNUMBER(AF533)),IF(AF533&lt;&gt;0,"INVALID – qty variance: use Fail or Pass after CA",""),"")&amp;IF(AND(TRIM(U533)="Pass",AB533="Open"),"INVALID – corrective action still open: use Fail, then Pass after CA","")&amp;IF(AND(TRIM(U533)="Pass after CA",OR(TRIM(AA533)="",AB533&lt;&gt;"Closed")),"INVALID – corrective action not recorded/closed","")&lt;&gt;"",IF(AND(TRIM(U533)="Pass",ISNUMBER(AF533)),IF(AF533&lt;&gt;0,"INVALID – qty variance: use Fail or Pass after CA",""),"")&amp;IF(AND(TRIM(U533)="Pass",AB533="Open"),"INVALID – corrective action still open: use Fail, then Pass after CA","")&amp;IF(AND(TRIM(U533)="Pass after CA",OR(TRIM(AA533)="",AB533&lt;&gt;"Closed")),"INVALID – corrective action not recorded/closed",""),IF(AND(AS533=1,Documents!$J$21&lt;&gt;"ON FILE"),"INVALID – GLD not on file (Documents sheet)",IF(AND(AS533=2,Documents!$O$21&lt;&gt;"ON FILE"),"INVALID – menu checklist not on file (Documents sheet)",IF(AND(AS533=3,NOT(ISNUMBER(Flights!$AX$21))),"INVALID – enter carrying flight KUL departure (Flights AX)",IF(AG533&gt;AsOfUTC,"INVALID – completion time is in the future",IF(AND(ISNUMBER(S533),AG533&lt;S533),IF(H533="Physical uplift","INVALID – before uplift window (cannot confirm loading)","INVALID – before valid window"),IF(AG533&gt;Flights!$AA$21,"INVALID – completed after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f>
        <v>N/A – RULE</v>
      </c>
      <c r="AI533" s="61" t="n">
        <f aca="false">IF(OR(AH533="N/A – RULE",AH533="N/A – JUSTIFIED"),0,1)</f>
        <v>0</v>
      </c>
      <c r="AJ533" s="61" t="n">
        <f aca="false">IF(LEFT(AH533,8)="COMPLETE",1,0)</f>
        <v>0</v>
      </c>
      <c r="AK533" s="61" t="n">
        <f aca="false">IF(AND(AI533=1,AJ533=0,AsOfUTC&gt;Q533),1,0)</f>
        <v>0</v>
      </c>
      <c r="AL533" s="61" t="n">
        <f aca="false">IF(AND(AI533=1,OR(TRIM(U533)="Fail",AB533="Open",AND(ISNUMBER(AF533),AF533&lt;&gt;0,TRIM(U533)&lt;&gt;"Pass after CA"))),1,0)</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row>
    <row r="534" customFormat="false" ht="39.75" hidden="false" customHeight="true" outlineLevel="0" collapsed="false">
      <c r="A534" s="57" t="s">
        <v>1161</v>
      </c>
      <c r="B534" s="57" t="s">
        <v>280</v>
      </c>
      <c r="C534" s="57" t="str">
        <f aca="false">Flights!$F$21</f>
        <v>MH0073</v>
      </c>
      <c r="D534" s="58" t="n">
        <f aca="false">Flights!$D$21</f>
        <v>46322</v>
      </c>
      <c r="E534" s="57" t="str">
        <f aca="false">Flights!$G$21&amp;"-"&amp;Flights!$H$21</f>
        <v>HKG-KUL</v>
      </c>
      <c r="F534" s="57" t="str">
        <f aca="false">Flights!$K$21</f>
        <v>BC</v>
      </c>
      <c r="G534" s="57" t="s">
        <v>74</v>
      </c>
      <c r="H534" s="57" t="s">
        <v>341</v>
      </c>
      <c r="I534" s="57" t="s">
        <v>357</v>
      </c>
      <c r="J534" s="57" t="s">
        <v>358</v>
      </c>
      <c r="K534" s="67" t="s">
        <v>359</v>
      </c>
      <c r="L534" s="67" t="s">
        <v>345</v>
      </c>
      <c r="M534" s="67"/>
      <c r="N534" s="67" t="s">
        <v>346</v>
      </c>
      <c r="O534" s="67"/>
      <c r="P534" s="57" t="s">
        <v>272</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IF(N534="N/A – rule","N/A – RULE",IF(TRIM(U534)="N/A",IF(AT534=0,"INVALID – N/A not permitted for this mandatory check",IF(AND(TRIM(AC534)&lt;&gt;"",TRIM(AE534)&lt;&gt;"",TRIM(T534)&lt;&gt;""),"N/A – JUSTIFIED","INVALID – N/A needs justification, PIC and verifier")),IF(OR(TRIM(U534)="Pass",TRIM(U534)="Pass after CA"),IF(NOT(ISNUMBER(AD534)),"INVALID – completion time missing",IF(TRIM(T534)="","INVALID – PIC missing",IF(TRIM(Z534)="","INVALID – evidence missing",IF(TRIM(AE534)="","INVALID – verifier missing",IF(AND(AQ534=1,TRIM(W534)=""),"INVALID – batch ID missing",IF(AND(AR534=1,OR(NOT(ISNUMBER(X534)),NOT(ISNUMBER(Y534)))),"INVALID – expected/actual qty missing",IF(IF(AND(TRIM(U534)="Pass",ISNUMBER(AF534)),IF(AF534&lt;&gt;0,"INVALID – qty variance: use Fail or Pass after CA",""),"")&amp;IF(AND(TRIM(U534)="Pass",AB534="Open"),"INVALID – corrective action still open: use Fail, then Pass after CA","")&amp;IF(AND(TRIM(U534)="Pass after CA",OR(TRIM(AA534)="",AB534&lt;&gt;"Closed")),"INVALID – corrective action not recorded/closed","")&lt;&gt;"",IF(AND(TRIM(U534)="Pass",ISNUMBER(AF534)),IF(AF534&lt;&gt;0,"INVALID – qty variance: use Fail or Pass after CA",""),"")&amp;IF(AND(TRIM(U534)="Pass",AB534="Open"),"INVALID – corrective action still open: use Fail, then Pass after CA","")&amp;IF(AND(TRIM(U534)="Pass after CA",OR(TRIM(AA534)="",AB534&lt;&gt;"Closed")),"INVALID – corrective action not recorded/closed",""),IF(AND(AS534=1,Documents!$J$21&lt;&gt;"ON FILE"),"INVALID – GLD not on file (Documents sheet)",IF(AND(AS534=2,Documents!$O$21&lt;&gt;"ON FILE"),"INVALID – menu checklist not on file (Documents sheet)",IF(AND(AS534=3,NOT(ISNUMBER(Flights!$AX$21))),"INVALID – enter carrying flight KUL departure (Flights AX)",IF(AG534&gt;AsOfUTC,"INVALID – completion time is in the future",IF(AND(ISNUMBER(S534),AG534&lt;S534),IF(H534="Physical uplift","INVALID – before uplift window (cannot confirm loading)","INVALID – before valid window"),IF(AG534&gt;Flights!$AA$21,"INVALID – completed after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f>
        <v>OPEN</v>
      </c>
      <c r="AI534" s="61" t="n">
        <f aca="false">IF(OR(AH534="N/A – RULE",AH534="N/A – JUSTIFIED"),0,1)</f>
        <v>1</v>
      </c>
      <c r="AJ534" s="61" t="n">
        <f aca="false">IF(LEFT(AH534,8)="COMPLETE",1,0)</f>
        <v>0</v>
      </c>
      <c r="AK534" s="61" t="n">
        <f aca="false">IF(AND(AI534=1,AJ534=0,AsOfUTC&gt;Q534),1,0)</f>
        <v>0</v>
      </c>
      <c r="AL534" s="61" t="n">
        <f aca="false">IF(AND(AI534=1,OR(TRIM(U534)="Fail",AB534="Open",AND(ISNUMBER(AF534),AF534&lt;&gt;0,TRIM(U534)&lt;&gt;"Pass after CA"))),1,0)</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row>
    <row r="535" customFormat="false" ht="39.75" hidden="false" customHeight="true" outlineLevel="0" collapsed="false">
      <c r="A535" s="57" t="s">
        <v>1162</v>
      </c>
      <c r="B535" s="57" t="s">
        <v>280</v>
      </c>
      <c r="C535" s="57" t="str">
        <f aca="false">Flights!$F$21</f>
        <v>MH0073</v>
      </c>
      <c r="D535" s="58" t="n">
        <f aca="false">Flights!$D$21</f>
        <v>46322</v>
      </c>
      <c r="E535" s="57" t="str">
        <f aca="false">Flights!$G$21&amp;"-"&amp;Flights!$H$21</f>
        <v>HKG-KUL</v>
      </c>
      <c r="F535" s="57" t="str">
        <f aca="false">Flights!$K$21</f>
        <v>BC</v>
      </c>
      <c r="G535" s="57" t="s">
        <v>74</v>
      </c>
      <c r="H535" s="57" t="s">
        <v>341</v>
      </c>
      <c r="I535" s="57" t="s">
        <v>361</v>
      </c>
      <c r="J535" s="57" t="s">
        <v>362</v>
      </c>
      <c r="K535" s="67" t="s">
        <v>363</v>
      </c>
      <c r="L535" s="67" t="s">
        <v>345</v>
      </c>
      <c r="M535" s="67"/>
      <c r="N535" s="67" t="s">
        <v>346</v>
      </c>
      <c r="O535" s="67"/>
      <c r="P535" s="57" t="s">
        <v>272</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IF(N535="N/A – rule","N/A – RULE",IF(TRIM(U535)="N/A",IF(AT535=0,"INVALID – N/A not permitted for this mandatory check",IF(AND(TRIM(AC535)&lt;&gt;"",TRIM(AE535)&lt;&gt;"",TRIM(T535)&lt;&gt;""),"N/A – JUSTIFIED","INVALID – N/A needs justification, PIC and verifier")),IF(OR(TRIM(U535)="Pass",TRIM(U535)="Pass after CA"),IF(NOT(ISNUMBER(AD535)),"INVALID – completion time missing",IF(TRIM(T535)="","INVALID – PIC missing",IF(TRIM(Z535)="","INVALID – evidence missing",IF(TRIM(AE535)="","INVALID – verifier missing",IF(AND(AQ535=1,TRIM(W535)=""),"INVALID – batch ID missing",IF(AND(AR535=1,OR(NOT(ISNUMBER(X535)),NOT(ISNUMBER(Y535)))),"INVALID – expected/actual qty missing",IF(IF(AND(TRIM(U535)="Pass",ISNUMBER(AF535)),IF(AF535&lt;&gt;0,"INVALID – qty variance: use Fail or Pass after CA",""),"")&amp;IF(AND(TRIM(U535)="Pass",AB535="Open"),"INVALID – corrective action still open: use Fail, then Pass after CA","")&amp;IF(AND(TRIM(U535)="Pass after CA",OR(TRIM(AA535)="",AB535&lt;&gt;"Closed")),"INVALID – corrective action not recorded/closed","")&lt;&gt;"",IF(AND(TRIM(U535)="Pass",ISNUMBER(AF535)),IF(AF535&lt;&gt;0,"INVALID – qty variance: use Fail or Pass after CA",""),"")&amp;IF(AND(TRIM(U535)="Pass",AB535="Open"),"INVALID – corrective action still open: use Fail, then Pass after CA","")&amp;IF(AND(TRIM(U535)="Pass after CA",OR(TRIM(AA535)="",AB535&lt;&gt;"Closed")),"INVALID – corrective action not recorded/closed",""),IF(AND(AS535=1,Documents!$J$21&lt;&gt;"ON FILE"),"INVALID – GLD not on file (Documents sheet)",IF(AND(AS535=2,Documents!$O$21&lt;&gt;"ON FILE"),"INVALID – menu checklist not on file (Documents sheet)",IF(AND(AS535=3,NOT(ISNUMBER(Flights!$AX$21))),"INVALID – enter carrying flight KUL departure (Flights AX)",IF(AG535&gt;AsOfUTC,"INVALID – completion time is in the future",IF(AND(ISNUMBER(S535),AG535&lt;S535),IF(H535="Physical uplift","INVALID – before uplift window (cannot confirm loading)","INVALID – before valid window"),IF(AG535&gt;Flights!$AA$21,"INVALID – completed after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f>
        <v>OPEN</v>
      </c>
      <c r="AI535" s="61" t="n">
        <f aca="false">IF(OR(AH535="N/A – RULE",AH535="N/A – JUSTIFIED"),0,1)</f>
        <v>1</v>
      </c>
      <c r="AJ535" s="61" t="n">
        <f aca="false">IF(LEFT(AH535,8)="COMPLETE",1,0)</f>
        <v>0</v>
      </c>
      <c r="AK535" s="61" t="n">
        <f aca="false">IF(AND(AI535=1,AJ535=0,AsOfUTC&gt;Q535),1,0)</f>
        <v>0</v>
      </c>
      <c r="AL535" s="61" t="n">
        <f aca="false">IF(AND(AI535=1,OR(TRIM(U535)="Fail",AB535="Open",AND(ISNUMBER(AF535),AF535&lt;&gt;0,TRIM(U535)&lt;&gt;"Pass after CA"))),1,0)</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row>
    <row r="536" customFormat="false" ht="39.75" hidden="false" customHeight="true" outlineLevel="0" collapsed="false">
      <c r="A536" s="57" t="s">
        <v>1163</v>
      </c>
      <c r="B536" s="57" t="s">
        <v>280</v>
      </c>
      <c r="C536" s="57" t="str">
        <f aca="false">Flights!$F$21</f>
        <v>MH0073</v>
      </c>
      <c r="D536" s="58" t="n">
        <f aca="false">Flights!$D$21</f>
        <v>46322</v>
      </c>
      <c r="E536" s="57" t="str">
        <f aca="false">Flights!$G$21&amp;"-"&amp;Flights!$H$21</f>
        <v>HKG-KUL</v>
      </c>
      <c r="F536" s="57" t="str">
        <f aca="false">Flights!$K$21</f>
        <v>BC</v>
      </c>
      <c r="G536" s="57" t="s">
        <v>74</v>
      </c>
      <c r="H536" s="57" t="s">
        <v>341</v>
      </c>
      <c r="I536" s="57" t="s">
        <v>361</v>
      </c>
      <c r="J536" s="57" t="s">
        <v>365</v>
      </c>
      <c r="K536" s="67" t="s">
        <v>366</v>
      </c>
      <c r="L536" s="67" t="s">
        <v>345</v>
      </c>
      <c r="M536" s="67"/>
      <c r="N536" s="67" t="s">
        <v>346</v>
      </c>
      <c r="O536" s="67"/>
      <c r="P536" s="57" t="s">
        <v>272</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IF(N536="N/A – rule","N/A – RULE",IF(TRIM(U536)="N/A",IF(AT536=0,"INVALID – N/A not permitted for this mandatory check",IF(AND(TRIM(AC536)&lt;&gt;"",TRIM(AE536)&lt;&gt;"",TRIM(T536)&lt;&gt;""),"N/A – JUSTIFIED","INVALID – N/A needs justification, PIC and verifier")),IF(OR(TRIM(U536)="Pass",TRIM(U536)="Pass after CA"),IF(NOT(ISNUMBER(AD536)),"INVALID – completion time missing",IF(TRIM(T536)="","INVALID – PIC missing",IF(TRIM(Z536)="","INVALID – evidence missing",IF(TRIM(AE536)="","INVALID – verifier missing",IF(AND(AQ536=1,TRIM(W536)=""),"INVALID – batch ID missing",IF(AND(AR536=1,OR(NOT(ISNUMBER(X536)),NOT(ISNUMBER(Y536)))),"INVALID – expected/actual qty missing",IF(IF(AND(TRIM(U536)="Pass",ISNUMBER(AF536)),IF(AF536&lt;&gt;0,"INVALID – qty variance: use Fail or Pass after CA",""),"")&amp;IF(AND(TRIM(U536)="Pass",AB536="Open"),"INVALID – corrective action still open: use Fail, then Pass after CA","")&amp;IF(AND(TRIM(U536)="Pass after CA",OR(TRIM(AA536)="",AB536&lt;&gt;"Closed")),"INVALID – corrective action not recorded/closed","")&lt;&gt;"",IF(AND(TRIM(U536)="Pass",ISNUMBER(AF536)),IF(AF536&lt;&gt;0,"INVALID – qty variance: use Fail or Pass after CA",""),"")&amp;IF(AND(TRIM(U536)="Pass",AB536="Open"),"INVALID – corrective action still open: use Fail, then Pass after CA","")&amp;IF(AND(TRIM(U536)="Pass after CA",OR(TRIM(AA536)="",AB536&lt;&gt;"Closed")),"INVALID – corrective action not recorded/closed",""),IF(AND(AS536=1,Documents!$J$21&lt;&gt;"ON FILE"),"INVALID – GLD not on file (Documents sheet)",IF(AND(AS536=2,Documents!$O$21&lt;&gt;"ON FILE"),"INVALID – menu checklist not on file (Documents sheet)",IF(AND(AS536=3,NOT(ISNUMBER(Flights!$AX$21))),"INVALID – enter carrying flight KUL departure (Flights AX)",IF(AG536&gt;AsOfUTC,"INVALID – completion time is in the future",IF(AND(ISNUMBER(S536),AG536&lt;S536),IF(H536="Physical uplift","INVALID – before uplift window (cannot confirm loading)","INVALID – before valid window"),IF(AG536&gt;Flights!$AA$21,"INVALID – completed after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f>
        <v>OPEN</v>
      </c>
      <c r="AI536" s="61" t="n">
        <f aca="false">IF(OR(AH536="N/A – RULE",AH536="N/A – JUSTIFIED"),0,1)</f>
        <v>1</v>
      </c>
      <c r="AJ536" s="61" t="n">
        <f aca="false">IF(LEFT(AH536,8)="COMPLETE",1,0)</f>
        <v>0</v>
      </c>
      <c r="AK536" s="61" t="n">
        <f aca="false">IF(AND(AI536=1,AJ536=0,AsOfUTC&gt;Q536),1,0)</f>
        <v>0</v>
      </c>
      <c r="AL536" s="61" t="n">
        <f aca="false">IF(AND(AI536=1,OR(TRIM(U536)="Fail",AB536="Open",AND(ISNUMBER(AF536),AF536&lt;&gt;0,TRIM(U536)&lt;&gt;"Pass after CA"))),1,0)</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row>
    <row r="537" customFormat="false" ht="39.75" hidden="false" customHeight="true" outlineLevel="0" collapsed="false">
      <c r="A537" s="57" t="s">
        <v>1164</v>
      </c>
      <c r="B537" s="57" t="s">
        <v>280</v>
      </c>
      <c r="C537" s="57" t="str">
        <f aca="false">Flights!$F$21</f>
        <v>MH0073</v>
      </c>
      <c r="D537" s="58" t="n">
        <f aca="false">Flights!$D$21</f>
        <v>46322</v>
      </c>
      <c r="E537" s="57" t="str">
        <f aca="false">Flights!$G$21&amp;"-"&amp;Flights!$H$21</f>
        <v>HKG-KUL</v>
      </c>
      <c r="F537" s="57" t="str">
        <f aca="false">Flights!$K$21</f>
        <v>BC</v>
      </c>
      <c r="G537" s="57" t="s">
        <v>74</v>
      </c>
      <c r="H537" s="57" t="s">
        <v>341</v>
      </c>
      <c r="I537" s="57" t="s">
        <v>368</v>
      </c>
      <c r="J537" s="57" t="s">
        <v>369</v>
      </c>
      <c r="K537" s="67" t="s">
        <v>370</v>
      </c>
      <c r="L537" s="67" t="s">
        <v>345</v>
      </c>
      <c r="M537" s="67"/>
      <c r="N537" s="67" t="s">
        <v>346</v>
      </c>
      <c r="O537" s="67"/>
      <c r="P537" s="57" t="s">
        <v>272</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IF(N537="N/A – rule","N/A – RULE",IF(TRIM(U537)="N/A",IF(AT537=0,"INVALID – N/A not permitted for this mandatory check",IF(AND(TRIM(AC537)&lt;&gt;"",TRIM(AE537)&lt;&gt;"",TRIM(T537)&lt;&gt;""),"N/A – JUSTIFIED","INVALID – N/A needs justification, PIC and verifier")),IF(OR(TRIM(U537)="Pass",TRIM(U537)="Pass after CA"),IF(NOT(ISNUMBER(AD537)),"INVALID – completion time missing",IF(TRIM(T537)="","INVALID – PIC missing",IF(TRIM(Z537)="","INVALID – evidence missing",IF(TRIM(AE537)="","INVALID – verifier missing",IF(AND(AQ537=1,TRIM(W537)=""),"INVALID – batch ID missing",IF(AND(AR537=1,OR(NOT(ISNUMBER(X537)),NOT(ISNUMBER(Y537)))),"INVALID – expected/actual qty missing",IF(IF(AND(TRIM(U537)="Pass",ISNUMBER(AF537)),IF(AF537&lt;&gt;0,"INVALID – qty variance: use Fail or Pass after CA",""),"")&amp;IF(AND(TRIM(U537)="Pass",AB537="Open"),"INVALID – corrective action still open: use Fail, then Pass after CA","")&amp;IF(AND(TRIM(U537)="Pass after CA",OR(TRIM(AA537)="",AB537&lt;&gt;"Closed")),"INVALID – corrective action not recorded/closed","")&lt;&gt;"",IF(AND(TRIM(U537)="Pass",ISNUMBER(AF537)),IF(AF537&lt;&gt;0,"INVALID – qty variance: use Fail or Pass after CA",""),"")&amp;IF(AND(TRIM(U537)="Pass",AB537="Open"),"INVALID – corrective action still open: use Fail, then Pass after CA","")&amp;IF(AND(TRIM(U537)="Pass after CA",OR(TRIM(AA537)="",AB537&lt;&gt;"Closed")),"INVALID – corrective action not recorded/closed",""),IF(AND(AS537=1,Documents!$J$21&lt;&gt;"ON FILE"),"INVALID – GLD not on file (Documents sheet)",IF(AND(AS537=2,Documents!$O$21&lt;&gt;"ON FILE"),"INVALID – menu checklist not on file (Documents sheet)",IF(AND(AS537=3,NOT(ISNUMBER(Flights!$AX$21))),"INVALID – enter carrying flight KUL departure (Flights AX)",IF(AG537&gt;AsOfUTC,"INVALID – completion time is in the future",IF(AND(ISNUMBER(S537),AG537&lt;S537),IF(H537="Physical uplift","INVALID – before uplift window (cannot confirm loading)","INVALID – before valid window"),IF(AG537&gt;Flights!$AA$21,"INVALID – completed after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f>
        <v>OPEN</v>
      </c>
      <c r="AI537" s="61" t="n">
        <f aca="false">IF(OR(AH537="N/A – RULE",AH537="N/A – JUSTIFIED"),0,1)</f>
        <v>1</v>
      </c>
      <c r="AJ537" s="61" t="n">
        <f aca="false">IF(LEFT(AH537,8)="COMPLETE",1,0)</f>
        <v>0</v>
      </c>
      <c r="AK537" s="61" t="n">
        <f aca="false">IF(AND(AI537=1,AJ537=0,AsOfUTC&gt;Q537),1,0)</f>
        <v>0</v>
      </c>
      <c r="AL537" s="61" t="n">
        <f aca="false">IF(AND(AI537=1,OR(TRIM(U537)="Fail",AB537="Open",AND(ISNUMBER(AF537),AF537&lt;&gt;0,TRIM(U537)&lt;&gt;"Pass after CA"))),1,0)</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row>
    <row r="538" customFormat="false" ht="39.75" hidden="false" customHeight="true" outlineLevel="0" collapsed="false">
      <c r="A538" s="57" t="s">
        <v>1165</v>
      </c>
      <c r="B538" s="57" t="s">
        <v>280</v>
      </c>
      <c r="C538" s="57" t="str">
        <f aca="false">Flights!$F$21</f>
        <v>MH0073</v>
      </c>
      <c r="D538" s="58" t="n">
        <f aca="false">Flights!$D$21</f>
        <v>46322</v>
      </c>
      <c r="E538" s="57" t="str">
        <f aca="false">Flights!$G$21&amp;"-"&amp;Flights!$H$21</f>
        <v>HKG-KUL</v>
      </c>
      <c r="F538" s="57" t="str">
        <f aca="false">Flights!$K$21</f>
        <v>BC</v>
      </c>
      <c r="G538" s="57" t="s">
        <v>74</v>
      </c>
      <c r="H538" s="57" t="s">
        <v>341</v>
      </c>
      <c r="I538" s="57" t="s">
        <v>368</v>
      </c>
      <c r="J538" s="57" t="s">
        <v>372</v>
      </c>
      <c r="K538" s="67" t="s">
        <v>370</v>
      </c>
      <c r="L538" s="67" t="s">
        <v>345</v>
      </c>
      <c r="M538" s="67"/>
      <c r="N538" s="67" t="s">
        <v>346</v>
      </c>
      <c r="O538" s="67"/>
      <c r="P538" s="57" t="s">
        <v>272</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IF(N538="N/A – rule","N/A – RULE",IF(TRIM(U538)="N/A",IF(AT538=0,"INVALID – N/A not permitted for this mandatory check",IF(AND(TRIM(AC538)&lt;&gt;"",TRIM(AE538)&lt;&gt;"",TRIM(T538)&lt;&gt;""),"N/A – JUSTIFIED","INVALID – N/A needs justification, PIC and verifier")),IF(OR(TRIM(U538)="Pass",TRIM(U538)="Pass after CA"),IF(NOT(ISNUMBER(AD538)),"INVALID – completion time missing",IF(TRIM(T538)="","INVALID – PIC missing",IF(TRIM(Z538)="","INVALID – evidence missing",IF(TRIM(AE538)="","INVALID – verifier missing",IF(AND(AQ538=1,TRIM(W538)=""),"INVALID – batch ID missing",IF(AND(AR538=1,OR(NOT(ISNUMBER(X538)),NOT(ISNUMBER(Y538)))),"INVALID – expected/actual qty missing",IF(IF(AND(TRIM(U538)="Pass",ISNUMBER(AF538)),IF(AF538&lt;&gt;0,"INVALID – qty variance: use Fail or Pass after CA",""),"")&amp;IF(AND(TRIM(U538)="Pass",AB538="Open"),"INVALID – corrective action still open: use Fail, then Pass after CA","")&amp;IF(AND(TRIM(U538)="Pass after CA",OR(TRIM(AA538)="",AB538&lt;&gt;"Closed")),"INVALID – corrective action not recorded/closed","")&lt;&gt;"",IF(AND(TRIM(U538)="Pass",ISNUMBER(AF538)),IF(AF538&lt;&gt;0,"INVALID – qty variance: use Fail or Pass after CA",""),"")&amp;IF(AND(TRIM(U538)="Pass",AB538="Open"),"INVALID – corrective action still open: use Fail, then Pass after CA","")&amp;IF(AND(TRIM(U538)="Pass after CA",OR(TRIM(AA538)="",AB538&lt;&gt;"Closed")),"INVALID – corrective action not recorded/closed",""),IF(AND(AS538=1,Documents!$J$21&lt;&gt;"ON FILE"),"INVALID – GLD not on file (Documents sheet)",IF(AND(AS538=2,Documents!$O$21&lt;&gt;"ON FILE"),"INVALID – menu checklist not on file (Documents sheet)",IF(AND(AS538=3,NOT(ISNUMBER(Flights!$AX$21))),"INVALID – enter carrying flight KUL departure (Flights AX)",IF(AG538&gt;AsOfUTC,"INVALID – completion time is in the future",IF(AND(ISNUMBER(S538),AG538&lt;S538),IF(H538="Physical uplift","INVALID – before uplift window (cannot confirm loading)","INVALID – before valid window"),IF(AG538&gt;Flights!$AA$21,"INVALID – completed after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f>
        <v>OPEN</v>
      </c>
      <c r="AI538" s="61" t="n">
        <f aca="false">IF(OR(AH538="N/A – RULE",AH538="N/A – JUSTIFIED"),0,1)</f>
        <v>1</v>
      </c>
      <c r="AJ538" s="61" t="n">
        <f aca="false">IF(LEFT(AH538,8)="COMPLETE",1,0)</f>
        <v>0</v>
      </c>
      <c r="AK538" s="61" t="n">
        <f aca="false">IF(AND(AI538=1,AJ538=0,AsOfUTC&gt;Q538),1,0)</f>
        <v>0</v>
      </c>
      <c r="AL538" s="61" t="n">
        <f aca="false">IF(AND(AI538=1,OR(TRIM(U538)="Fail",AB538="Open",AND(ISNUMBER(AF538),AF538&lt;&gt;0,TRIM(U538)&lt;&gt;"Pass after CA"))),1,0)</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row>
    <row r="539" customFormat="false" ht="39.75" hidden="false" customHeight="true" outlineLevel="0" collapsed="false">
      <c r="A539" s="57" t="s">
        <v>1166</v>
      </c>
      <c r="B539" s="57" t="s">
        <v>280</v>
      </c>
      <c r="C539" s="57" t="str">
        <f aca="false">Flights!$F$21</f>
        <v>MH0073</v>
      </c>
      <c r="D539" s="58" t="n">
        <f aca="false">Flights!$D$21</f>
        <v>46322</v>
      </c>
      <c r="E539" s="57" t="str">
        <f aca="false">Flights!$G$21&amp;"-"&amp;Flights!$H$21</f>
        <v>HKG-KUL</v>
      </c>
      <c r="F539" s="57" t="str">
        <f aca="false">Flights!$K$21</f>
        <v>BC</v>
      </c>
      <c r="G539" s="57" t="s">
        <v>74</v>
      </c>
      <c r="H539" s="57" t="s">
        <v>341</v>
      </c>
      <c r="I539" s="57" t="s">
        <v>374</v>
      </c>
      <c r="J539" s="57" t="s">
        <v>375</v>
      </c>
      <c r="K539" s="67" t="s">
        <v>1167</v>
      </c>
      <c r="L539" s="67" t="s">
        <v>1131</v>
      </c>
      <c r="M539" s="67"/>
      <c r="N539" s="67" t="s">
        <v>346</v>
      </c>
      <c r="O539" s="67"/>
      <c r="P539" s="57" t="s">
        <v>272</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IF(N539="N/A – rule","N/A – RULE",IF(TRIM(U539)="N/A",IF(AT539=0,"INVALID – N/A not permitted for this mandatory check",IF(AND(TRIM(AC539)&lt;&gt;"",TRIM(AE539)&lt;&gt;"",TRIM(T539)&lt;&gt;""),"N/A – JUSTIFIED","INVALID – N/A needs justification, PIC and verifier")),IF(OR(TRIM(U539)="Pass",TRIM(U539)="Pass after CA"),IF(NOT(ISNUMBER(AD539)),"INVALID – completion time missing",IF(TRIM(T539)="","INVALID – PIC missing",IF(TRIM(Z539)="","INVALID – evidence missing",IF(TRIM(AE539)="","INVALID – verifier missing",IF(AND(AQ539=1,TRIM(W539)=""),"INVALID – batch ID missing",IF(AND(AR539=1,OR(NOT(ISNUMBER(X539)),NOT(ISNUMBER(Y539)))),"INVALID – expected/actual qty missing",IF(IF(AND(TRIM(U539)="Pass",ISNUMBER(AF539)),IF(AF539&lt;&gt;0,"INVALID – qty variance: use Fail or Pass after CA",""),"")&amp;IF(AND(TRIM(U539)="Pass",AB539="Open"),"INVALID – corrective action still open: use Fail, then Pass after CA","")&amp;IF(AND(TRIM(U539)="Pass after CA",OR(TRIM(AA539)="",AB539&lt;&gt;"Closed")),"INVALID – corrective action not recorded/closed","")&lt;&gt;"",IF(AND(TRIM(U539)="Pass",ISNUMBER(AF539)),IF(AF539&lt;&gt;0,"INVALID – qty variance: use Fail or Pass after CA",""),"")&amp;IF(AND(TRIM(U539)="Pass",AB539="Open"),"INVALID – corrective action still open: use Fail, then Pass after CA","")&amp;IF(AND(TRIM(U539)="Pass after CA",OR(TRIM(AA539)="",AB539&lt;&gt;"Closed")),"INVALID – corrective action not recorded/closed",""),IF(AND(AS539=1,Documents!$J$21&lt;&gt;"ON FILE"),"INVALID – GLD not on file (Documents sheet)",IF(AND(AS539=2,Documents!$O$21&lt;&gt;"ON FILE"),"INVALID – menu checklist not on file (Documents sheet)",IF(AND(AS539=3,NOT(ISNUMBER(Flights!$AX$21))),"INVALID – enter carrying flight KUL departure (Flights AX)",IF(AG539&gt;AsOfUTC,"INVALID – completion time is in the future",IF(AND(ISNUMBER(S539),AG539&lt;S539),IF(H539="Physical uplift","INVALID – before uplift window (cannot confirm loading)","INVALID – before valid window"),IF(AG539&gt;Flights!$AA$21,"INVALID – completed after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f>
        <v>OPEN</v>
      </c>
      <c r="AI539" s="61" t="n">
        <f aca="false">IF(OR(AH539="N/A – RULE",AH539="N/A – JUSTIFIED"),0,1)</f>
        <v>1</v>
      </c>
      <c r="AJ539" s="61" t="n">
        <f aca="false">IF(LEFT(AH539,8)="COMPLETE",1,0)</f>
        <v>0</v>
      </c>
      <c r="AK539" s="61" t="n">
        <f aca="false">IF(AND(AI539=1,AJ539=0,AsOfUTC&gt;Q539),1,0)</f>
        <v>0</v>
      </c>
      <c r="AL539" s="61" t="n">
        <f aca="false">IF(AND(AI539=1,OR(TRIM(U539)="Fail",AB539="Open",AND(ISNUMBER(AF539),AF539&lt;&gt;0,TRIM(U539)&lt;&gt;"Pass after CA"))),1,0)</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row>
    <row r="540" customFormat="false" ht="91.5" hidden="false" customHeight="true" outlineLevel="0" collapsed="false">
      <c r="A540" s="57" t="s">
        <v>1168</v>
      </c>
      <c r="B540" s="57" t="s">
        <v>280</v>
      </c>
      <c r="C540" s="57" t="str">
        <f aca="false">Flights!$F$21</f>
        <v>MH0073</v>
      </c>
      <c r="D540" s="58" t="n">
        <f aca="false">Flights!$D$21</f>
        <v>46322</v>
      </c>
      <c r="E540" s="57" t="str">
        <f aca="false">Flights!$G$21&amp;"-"&amp;Flights!$H$21</f>
        <v>HKG-KUL</v>
      </c>
      <c r="F540" s="57" t="str">
        <f aca="false">Flights!$K$21</f>
        <v>BC</v>
      </c>
      <c r="G540" s="57" t="s">
        <v>74</v>
      </c>
      <c r="H540" s="57" t="s">
        <v>341</v>
      </c>
      <c r="I540" s="57" t="s">
        <v>374</v>
      </c>
      <c r="J540" s="57" t="s">
        <v>1169</v>
      </c>
      <c r="K540" s="67" t="s">
        <v>1170</v>
      </c>
      <c r="L540" s="67" t="s">
        <v>637</v>
      </c>
      <c r="M540" s="67"/>
      <c r="N540" s="67" t="s">
        <v>407</v>
      </c>
      <c r="O540" s="67" t="s">
        <v>1171</v>
      </c>
      <c r="P540" s="57" t="s">
        <v>177</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IF(N540="N/A – rule","N/A – RULE",IF(TRIM(U540)="N/A",IF(AT540=0,"INVALID – N/A not permitted for this mandatory check",IF(AND(TRIM(AC540)&lt;&gt;"",TRIM(AE540)&lt;&gt;"",TRIM(T540)&lt;&gt;""),"N/A – JUSTIFIED","INVALID – N/A needs justification, PIC and verifier")),IF(OR(TRIM(U540)="Pass",TRIM(U540)="Pass after CA"),IF(NOT(ISNUMBER(AD540)),"INVALID – completion time missing",IF(TRIM(T540)="","INVALID – PIC missing",IF(TRIM(Z540)="","INVALID – evidence missing",IF(TRIM(AE540)="","INVALID – verifier missing",IF(AND(AQ540=1,TRIM(W540)=""),"INVALID – batch ID missing",IF(AND(AR540=1,OR(NOT(ISNUMBER(X540)),NOT(ISNUMBER(Y540)))),"INVALID – expected/actual qty missing",IF(IF(AND(TRIM(U540)="Pass",ISNUMBER(AF540)),IF(AF540&lt;&gt;0,"INVALID – qty variance: use Fail or Pass after CA",""),"")&amp;IF(AND(TRIM(U540)="Pass",AB540="Open"),"INVALID – corrective action still open: use Fail, then Pass after CA","")&amp;IF(AND(TRIM(U540)="Pass after CA",OR(TRIM(AA540)="",AB540&lt;&gt;"Closed")),"INVALID – corrective action not recorded/closed","")&lt;&gt;"",IF(AND(TRIM(U540)="Pass",ISNUMBER(AF540)),IF(AF540&lt;&gt;0,"INVALID – qty variance: use Fail or Pass after CA",""),"")&amp;IF(AND(TRIM(U540)="Pass",AB540="Open"),"INVALID – corrective action still open: use Fail, then Pass after CA","")&amp;IF(AND(TRIM(U540)="Pass after CA",OR(TRIM(AA540)="",AB540&lt;&gt;"Closed")),"INVALID – corrective action not recorded/closed",""),IF(AND(AS540=1,Documents!$J$21&lt;&gt;"ON FILE"),"INVALID – GLD not on file (Documents sheet)",IF(AND(AS540=2,Documents!$O$21&lt;&gt;"ON FILE"),"INVALID – menu checklist not on file (Documents sheet)",IF(AND(AS540=3,NOT(ISNUMBER(Flights!$AX$21))),"INVALID – enter carrying flight KUL departure (Flights AX)",IF(AG540&gt;AsOfUTC,"INVALID – completion time is in the future",IF(AND(ISNUMBER(S540),AG540&lt;S540),IF(H540="Physical uplift","INVALID – before uplift window (cannot confirm loading)","INVALID – before valid window"),IF(AG540&gt;Flights!$AA$21,"INVALID – completed after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f>
        <v>OPEN – CLARIFICATION</v>
      </c>
      <c r="AI540" s="61" t="n">
        <f aca="false">IF(OR(AH540="N/A – RULE",AH540="N/A – JUSTIFIED"),0,1)</f>
        <v>1</v>
      </c>
      <c r="AJ540" s="61" t="n">
        <f aca="false">IF(LEFT(AH540,8)="COMPLETE",1,0)</f>
        <v>0</v>
      </c>
      <c r="AK540" s="61" t="n">
        <f aca="false">IF(AND(AI540=1,AJ540=0,AsOfUTC&gt;Q540),1,0)</f>
        <v>0</v>
      </c>
      <c r="AL540" s="61" t="n">
        <f aca="false">IF(AND(AI540=1,OR(TRIM(U540)="Fail",AB540="Open",AND(ISNUMBER(AF540),AF540&lt;&gt;0,TRIM(U540)&lt;&gt;"Pass after CA"))),1,0)</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1</v>
      </c>
    </row>
    <row r="541" customFormat="false" ht="39.75" hidden="false" customHeight="true" outlineLevel="0" collapsed="false">
      <c r="A541" s="57" t="s">
        <v>1172</v>
      </c>
      <c r="B541" s="57" t="s">
        <v>280</v>
      </c>
      <c r="C541" s="57" t="str">
        <f aca="false">Flights!$F$21</f>
        <v>MH0073</v>
      </c>
      <c r="D541" s="58" t="n">
        <f aca="false">Flights!$D$21</f>
        <v>46322</v>
      </c>
      <c r="E541" s="57" t="str">
        <f aca="false">Flights!$G$21&amp;"-"&amp;Flights!$H$21</f>
        <v>HKG-KUL</v>
      </c>
      <c r="F541" s="57" t="str">
        <f aca="false">Flights!$K$21</f>
        <v>BC</v>
      </c>
      <c r="G541" s="57" t="s">
        <v>76</v>
      </c>
      <c r="H541" s="57" t="s">
        <v>341</v>
      </c>
      <c r="I541" s="57" t="s">
        <v>342</v>
      </c>
      <c r="J541" s="57" t="s">
        <v>379</v>
      </c>
      <c r="K541" s="67" t="s">
        <v>380</v>
      </c>
      <c r="L541" s="67" t="s">
        <v>381</v>
      </c>
      <c r="M541" s="67"/>
      <c r="N541" s="67" t="s">
        <v>346</v>
      </c>
      <c r="O541" s="67"/>
      <c r="P541" s="57" t="s">
        <v>272</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IF(N541="N/A – rule","N/A – RULE",IF(TRIM(U541)="N/A",IF(AT541=0,"INVALID – N/A not permitted for this mandatory check",IF(AND(TRIM(AC541)&lt;&gt;"",TRIM(AE541)&lt;&gt;"",TRIM(T541)&lt;&gt;""),"N/A – JUSTIFIED","INVALID – N/A needs justification, PIC and verifier")),IF(OR(TRIM(U541)="Pass",TRIM(U541)="Pass after CA"),IF(NOT(ISNUMBER(AD541)),"INVALID – completion time missing",IF(TRIM(T541)="","INVALID – PIC missing",IF(TRIM(Z541)="","INVALID – evidence missing",IF(TRIM(AE541)="","INVALID – verifier missing",IF(AND(AQ541=1,TRIM(W541)=""),"INVALID – batch ID missing",IF(AND(AR541=1,OR(NOT(ISNUMBER(X541)),NOT(ISNUMBER(Y541)))),"INVALID – expected/actual qty missing",IF(IF(AND(TRIM(U541)="Pass",ISNUMBER(AF541)),IF(AF541&lt;&gt;0,"INVALID – qty variance: use Fail or Pass after CA",""),"")&amp;IF(AND(TRIM(U541)="Pass",AB541="Open"),"INVALID – corrective action still open: use Fail, then Pass after CA","")&amp;IF(AND(TRIM(U541)="Pass after CA",OR(TRIM(AA541)="",AB541&lt;&gt;"Closed")),"INVALID – corrective action not recorded/closed","")&lt;&gt;"",IF(AND(TRIM(U541)="Pass",ISNUMBER(AF541)),IF(AF541&lt;&gt;0,"INVALID – qty variance: use Fail or Pass after CA",""),"")&amp;IF(AND(TRIM(U541)="Pass",AB541="Open"),"INVALID – corrective action still open: use Fail, then Pass after CA","")&amp;IF(AND(TRIM(U541)="Pass after CA",OR(TRIM(AA541)="",AB541&lt;&gt;"Closed")),"INVALID – corrective action not recorded/closed",""),IF(AND(AS541=1,Documents!$J$21&lt;&gt;"ON FILE"),"INVALID – GLD not on file (Documents sheet)",IF(AND(AS541=2,Documents!$O$21&lt;&gt;"ON FILE"),"INVALID – menu checklist not on file (Documents sheet)",IF(AND(AS541=3,NOT(ISNUMBER(Flights!$AX$21))),"INVALID – enter carrying flight KUL departure (Flights AX)",IF(AG541&gt;AsOfUTC,"INVALID – completion time is in the future",IF(AND(ISNUMBER(S541),AG541&lt;S541),IF(H541="Physical uplift","INVALID – before uplift window (cannot confirm loading)","INVALID – before valid window"),IF(AG541&gt;Flights!$AA$21,"INVALID – completed after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f>
        <v>OPEN</v>
      </c>
      <c r="AI541" s="61" t="n">
        <f aca="false">IF(OR(AH541="N/A – RULE",AH541="N/A – JUSTIFIED"),0,1)</f>
        <v>1</v>
      </c>
      <c r="AJ541" s="61" t="n">
        <f aca="false">IF(LEFT(AH541,8)="COMPLETE",1,0)</f>
        <v>0</v>
      </c>
      <c r="AK541" s="61" t="n">
        <f aca="false">IF(AND(AI541=1,AJ541=0,AsOfUTC&gt;Q541),1,0)</f>
        <v>0</v>
      </c>
      <c r="AL541" s="61" t="n">
        <f aca="false">IF(AND(AI541=1,OR(TRIM(U541)="Fail",AB541="Open",AND(ISNUMBER(AF541),AF541&lt;&gt;0,TRIM(U541)&lt;&gt;"Pass after CA"))),1,0)</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row>
    <row r="542" customFormat="false" ht="39.75" hidden="false" customHeight="true" outlineLevel="0" collapsed="false">
      <c r="A542" s="57" t="s">
        <v>1173</v>
      </c>
      <c r="B542" s="57" t="s">
        <v>280</v>
      </c>
      <c r="C542" s="57" t="str">
        <f aca="false">Flights!$F$21</f>
        <v>MH0073</v>
      </c>
      <c r="D542" s="58" t="n">
        <f aca="false">Flights!$D$21</f>
        <v>46322</v>
      </c>
      <c r="E542" s="57" t="str">
        <f aca="false">Flights!$G$21&amp;"-"&amp;Flights!$H$21</f>
        <v>HKG-KUL</v>
      </c>
      <c r="F542" s="57" t="str">
        <f aca="false">Flights!$K$21</f>
        <v>BC</v>
      </c>
      <c r="G542" s="57" t="s">
        <v>383</v>
      </c>
      <c r="H542" s="57" t="s">
        <v>341</v>
      </c>
      <c r="I542" s="57" t="s">
        <v>342</v>
      </c>
      <c r="J542" s="57" t="s">
        <v>384</v>
      </c>
      <c r="K542" s="67"/>
      <c r="L542" s="67" t="s">
        <v>385</v>
      </c>
      <c r="M542" s="67"/>
      <c r="N542" s="67" t="s">
        <v>346</v>
      </c>
      <c r="O542" s="67" t="s">
        <v>386</v>
      </c>
      <c r="P542" s="57" t="s">
        <v>272</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IF(N542="N/A – rule","N/A – RULE",IF(TRIM(U542)="N/A",IF(AT542=0,"INVALID – N/A not permitted for this mandatory check",IF(AND(TRIM(AC542)&lt;&gt;"",TRIM(AE542)&lt;&gt;"",TRIM(T542)&lt;&gt;""),"N/A – JUSTIFIED","INVALID – N/A needs justification, PIC and verifier")),IF(OR(TRIM(U542)="Pass",TRIM(U542)="Pass after CA"),IF(NOT(ISNUMBER(AD542)),"INVALID – completion time missing",IF(TRIM(T542)="","INVALID – PIC missing",IF(TRIM(Z542)="","INVALID – evidence missing",IF(TRIM(AE542)="","INVALID – verifier missing",IF(AND(AQ542=1,TRIM(W542)=""),"INVALID – batch ID missing",IF(AND(AR542=1,OR(NOT(ISNUMBER(X542)),NOT(ISNUMBER(Y542)))),"INVALID – expected/actual qty missing",IF(IF(AND(TRIM(U542)="Pass",ISNUMBER(AF542)),IF(AF542&lt;&gt;0,"INVALID – qty variance: use Fail or Pass after CA",""),"")&amp;IF(AND(TRIM(U542)="Pass",AB542="Open"),"INVALID – corrective action still open: use Fail, then Pass after CA","")&amp;IF(AND(TRIM(U542)="Pass after CA",OR(TRIM(AA542)="",AB542&lt;&gt;"Closed")),"INVALID – corrective action not recorded/closed","")&lt;&gt;"",IF(AND(TRIM(U542)="Pass",ISNUMBER(AF542)),IF(AF542&lt;&gt;0,"INVALID – qty variance: use Fail or Pass after CA",""),"")&amp;IF(AND(TRIM(U542)="Pass",AB542="Open"),"INVALID – corrective action still open: use Fail, then Pass after CA","")&amp;IF(AND(TRIM(U542)="Pass after CA",OR(TRIM(AA542)="",AB542&lt;&gt;"Closed")),"INVALID – corrective action not recorded/closed",""),IF(AND(AS542=1,Documents!$J$21&lt;&gt;"ON FILE"),"INVALID – GLD not on file (Documents sheet)",IF(AND(AS542=2,Documents!$O$21&lt;&gt;"ON FILE"),"INVALID – menu checklist not on file (Documents sheet)",IF(AND(AS542=3,NOT(ISNUMBER(Flights!$AX$21))),"INVALID – enter carrying flight KUL departure (Flights AX)",IF(AG542&gt;AsOfUTC,"INVALID – completion time is in the future",IF(AND(ISNUMBER(S542),AG542&lt;S542),IF(H542="Physical uplift","INVALID – before uplift window (cannot confirm loading)","INVALID – before valid window"),IF(AG542&gt;Flights!$AA$21,"INVALID – completed after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f>
        <v>OPEN</v>
      </c>
      <c r="AI542" s="61" t="n">
        <f aca="false">IF(OR(AH542="N/A – RULE",AH542="N/A – JUSTIFIED"),0,1)</f>
        <v>1</v>
      </c>
      <c r="AJ542" s="61" t="n">
        <f aca="false">IF(LEFT(AH542,8)="COMPLETE",1,0)</f>
        <v>0</v>
      </c>
      <c r="AK542" s="61" t="n">
        <f aca="false">IF(AND(AI542=1,AJ542=0,AsOfUTC&gt;Q542),1,0)</f>
        <v>0</v>
      </c>
      <c r="AL542" s="61" t="n">
        <f aca="false">IF(AND(AI542=1,OR(TRIM(U542)="Fail",AB542="Open",AND(ISNUMBER(AF542),AF542&lt;&gt;0,TRIM(U542)&lt;&gt;"Pass after CA"))),1,0)</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row>
    <row r="543" customFormat="false" ht="39.75" hidden="false" customHeight="true" outlineLevel="0" collapsed="false">
      <c r="A543" s="57" t="s">
        <v>1174</v>
      </c>
      <c r="B543" s="57" t="s">
        <v>280</v>
      </c>
      <c r="C543" s="57" t="str">
        <f aca="false">Flights!$F$21</f>
        <v>MH0073</v>
      </c>
      <c r="D543" s="58" t="n">
        <f aca="false">Flights!$D$21</f>
        <v>46322</v>
      </c>
      <c r="E543" s="57" t="str">
        <f aca="false">Flights!$G$21&amp;"-"&amp;Flights!$H$21</f>
        <v>HKG-KUL</v>
      </c>
      <c r="F543" s="57" t="str">
        <f aca="false">Flights!$K$21</f>
        <v>BC</v>
      </c>
      <c r="G543" s="57" t="s">
        <v>383</v>
      </c>
      <c r="H543" s="57" t="s">
        <v>341</v>
      </c>
      <c r="I543" s="57" t="s">
        <v>342</v>
      </c>
      <c r="J543" s="57" t="s">
        <v>388</v>
      </c>
      <c r="K543" s="67" t="s">
        <v>389</v>
      </c>
      <c r="L543" s="67" t="s">
        <v>385</v>
      </c>
      <c r="M543" s="67"/>
      <c r="N543" s="67" t="s">
        <v>346</v>
      </c>
      <c r="O543" s="67" t="s">
        <v>386</v>
      </c>
      <c r="P543" s="57" t="s">
        <v>272</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IF(N543="N/A – rule","N/A – RULE",IF(TRIM(U543)="N/A",IF(AT543=0,"INVALID – N/A not permitted for this mandatory check",IF(AND(TRIM(AC543)&lt;&gt;"",TRIM(AE543)&lt;&gt;"",TRIM(T543)&lt;&gt;""),"N/A – JUSTIFIED","INVALID – N/A needs justification, PIC and verifier")),IF(OR(TRIM(U543)="Pass",TRIM(U543)="Pass after CA"),IF(NOT(ISNUMBER(AD543)),"INVALID – completion time missing",IF(TRIM(T543)="","INVALID – PIC missing",IF(TRIM(Z543)="","INVALID – evidence missing",IF(TRIM(AE543)="","INVALID – verifier missing",IF(AND(AQ543=1,TRIM(W543)=""),"INVALID – batch ID missing",IF(AND(AR543=1,OR(NOT(ISNUMBER(X543)),NOT(ISNUMBER(Y543)))),"INVALID – expected/actual qty missing",IF(IF(AND(TRIM(U543)="Pass",ISNUMBER(AF543)),IF(AF543&lt;&gt;0,"INVALID – qty variance: use Fail or Pass after CA",""),"")&amp;IF(AND(TRIM(U543)="Pass",AB543="Open"),"INVALID – corrective action still open: use Fail, then Pass after CA","")&amp;IF(AND(TRIM(U543)="Pass after CA",OR(TRIM(AA543)="",AB543&lt;&gt;"Closed")),"INVALID – corrective action not recorded/closed","")&lt;&gt;"",IF(AND(TRIM(U543)="Pass",ISNUMBER(AF543)),IF(AF543&lt;&gt;0,"INVALID – qty variance: use Fail or Pass after CA",""),"")&amp;IF(AND(TRIM(U543)="Pass",AB543="Open"),"INVALID – corrective action still open: use Fail, then Pass after CA","")&amp;IF(AND(TRIM(U543)="Pass after CA",OR(TRIM(AA543)="",AB543&lt;&gt;"Closed")),"INVALID – corrective action not recorded/closed",""),IF(AND(AS543=1,Documents!$J$21&lt;&gt;"ON FILE"),"INVALID – GLD not on file (Documents sheet)",IF(AND(AS543=2,Documents!$O$21&lt;&gt;"ON FILE"),"INVALID – menu checklist not on file (Documents sheet)",IF(AND(AS543=3,NOT(ISNUMBER(Flights!$AX$21))),"INVALID – enter carrying flight KUL departure (Flights AX)",IF(AG543&gt;AsOfUTC,"INVALID – completion time is in the future",IF(AND(ISNUMBER(S543),AG543&lt;S543),IF(H543="Physical uplift","INVALID – before uplift window (cannot confirm loading)","INVALID – before valid window"),IF(AG543&gt;Flights!$AA$21,"INVALID – completed after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f>
        <v>OPEN</v>
      </c>
      <c r="AI543" s="61" t="n">
        <f aca="false">IF(OR(AH543="N/A – RULE",AH543="N/A – JUSTIFIED"),0,1)</f>
        <v>1</v>
      </c>
      <c r="AJ543" s="61" t="n">
        <f aca="false">IF(LEFT(AH543,8)="COMPLETE",1,0)</f>
        <v>0</v>
      </c>
      <c r="AK543" s="61" t="n">
        <f aca="false">IF(AND(AI543=1,AJ543=0,AsOfUTC&gt;Q543),1,0)</f>
        <v>0</v>
      </c>
      <c r="AL543" s="61" t="n">
        <f aca="false">IF(AND(AI543=1,OR(TRIM(U543)="Fail",AB543="Open",AND(ISNUMBER(AF543),AF543&lt;&gt;0,TRIM(U543)&lt;&gt;"Pass after CA"))),1,0)</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row>
    <row r="544" customFormat="false" ht="39.75" hidden="false" customHeight="true" outlineLevel="0" collapsed="false">
      <c r="A544" s="57" t="s">
        <v>1175</v>
      </c>
      <c r="B544" s="57" t="s">
        <v>280</v>
      </c>
      <c r="C544" s="57" t="str">
        <f aca="false">Flights!$F$21</f>
        <v>MH0073</v>
      </c>
      <c r="D544" s="58" t="n">
        <f aca="false">Flights!$D$21</f>
        <v>46322</v>
      </c>
      <c r="E544" s="57" t="str">
        <f aca="false">Flights!$G$21&amp;"-"&amp;Flights!$H$21</f>
        <v>HKG-KUL</v>
      </c>
      <c r="F544" s="57" t="str">
        <f aca="false">Flights!$K$21</f>
        <v>BC</v>
      </c>
      <c r="G544" s="57" t="s">
        <v>383</v>
      </c>
      <c r="H544" s="57" t="s">
        <v>341</v>
      </c>
      <c r="I544" s="57" t="s">
        <v>391</v>
      </c>
      <c r="J544" s="57" t="s">
        <v>392</v>
      </c>
      <c r="K544" s="67"/>
      <c r="L544" s="67" t="s">
        <v>385</v>
      </c>
      <c r="M544" s="67"/>
      <c r="N544" s="67" t="s">
        <v>346</v>
      </c>
      <c r="O544" s="67" t="s">
        <v>386</v>
      </c>
      <c r="P544" s="57" t="s">
        <v>272</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IF(N544="N/A – rule","N/A – RULE",IF(TRIM(U544)="N/A",IF(AT544=0,"INVALID – N/A not permitted for this mandatory check",IF(AND(TRIM(AC544)&lt;&gt;"",TRIM(AE544)&lt;&gt;"",TRIM(T544)&lt;&gt;""),"N/A – JUSTIFIED","INVALID – N/A needs justification, PIC and verifier")),IF(OR(TRIM(U544)="Pass",TRIM(U544)="Pass after CA"),IF(NOT(ISNUMBER(AD544)),"INVALID – completion time missing",IF(TRIM(T544)="","INVALID – PIC missing",IF(TRIM(Z544)="","INVALID – evidence missing",IF(TRIM(AE544)="","INVALID – verifier missing",IF(AND(AQ544=1,TRIM(W544)=""),"INVALID – batch ID missing",IF(AND(AR544=1,OR(NOT(ISNUMBER(X544)),NOT(ISNUMBER(Y544)))),"INVALID – expected/actual qty missing",IF(IF(AND(TRIM(U544)="Pass",ISNUMBER(AF544)),IF(AF544&lt;&gt;0,"INVALID – qty variance: use Fail or Pass after CA",""),"")&amp;IF(AND(TRIM(U544)="Pass",AB544="Open"),"INVALID – corrective action still open: use Fail, then Pass after CA","")&amp;IF(AND(TRIM(U544)="Pass after CA",OR(TRIM(AA544)="",AB544&lt;&gt;"Closed")),"INVALID – corrective action not recorded/closed","")&lt;&gt;"",IF(AND(TRIM(U544)="Pass",ISNUMBER(AF544)),IF(AF544&lt;&gt;0,"INVALID – qty variance: use Fail or Pass after CA",""),"")&amp;IF(AND(TRIM(U544)="Pass",AB544="Open"),"INVALID – corrective action still open: use Fail, then Pass after CA","")&amp;IF(AND(TRIM(U544)="Pass after CA",OR(TRIM(AA544)="",AB544&lt;&gt;"Closed")),"INVALID – corrective action not recorded/closed",""),IF(AND(AS544=1,Documents!$J$21&lt;&gt;"ON FILE"),"INVALID – GLD not on file (Documents sheet)",IF(AND(AS544=2,Documents!$O$21&lt;&gt;"ON FILE"),"INVALID – menu checklist not on file (Documents sheet)",IF(AND(AS544=3,NOT(ISNUMBER(Flights!$AX$21))),"INVALID – enter carrying flight KUL departure (Flights AX)",IF(AG544&gt;AsOfUTC,"INVALID – completion time is in the future",IF(AND(ISNUMBER(S544),AG544&lt;S544),IF(H544="Physical uplift","INVALID – before uplift window (cannot confirm loading)","INVALID – before valid window"),IF(AG544&gt;Flights!$AA$21,"INVALID – completed after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f>
        <v>OPEN</v>
      </c>
      <c r="AI544" s="61" t="n">
        <f aca="false">IF(OR(AH544="N/A – RULE",AH544="N/A – JUSTIFIED"),0,1)</f>
        <v>1</v>
      </c>
      <c r="AJ544" s="61" t="n">
        <f aca="false">IF(LEFT(AH544,8)="COMPLETE",1,0)</f>
        <v>0</v>
      </c>
      <c r="AK544" s="61" t="n">
        <f aca="false">IF(AND(AI544=1,AJ544=0,AsOfUTC&gt;Q544),1,0)</f>
        <v>0</v>
      </c>
      <c r="AL544" s="61" t="n">
        <f aca="false">IF(AND(AI544=1,OR(TRIM(U544)="Fail",AB544="Open",AND(ISNUMBER(AF544),AF544&lt;&gt;0,TRIM(U544)&lt;&gt;"Pass after CA"))),1,0)</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row>
    <row r="545" customFormat="false" ht="39.75" hidden="false" customHeight="true" outlineLevel="0" collapsed="false">
      <c r="A545" s="57" t="s">
        <v>1176</v>
      </c>
      <c r="B545" s="57" t="s">
        <v>280</v>
      </c>
      <c r="C545" s="57" t="str">
        <f aca="false">Flights!$F$21</f>
        <v>MH0073</v>
      </c>
      <c r="D545" s="58" t="n">
        <f aca="false">Flights!$D$21</f>
        <v>46322</v>
      </c>
      <c r="E545" s="57" t="str">
        <f aca="false">Flights!$G$21&amp;"-"&amp;Flights!$H$21</f>
        <v>HKG-KUL</v>
      </c>
      <c r="F545" s="57" t="str">
        <f aca="false">Flights!$K$21</f>
        <v>BC</v>
      </c>
      <c r="G545" s="57" t="s">
        <v>383</v>
      </c>
      <c r="H545" s="57" t="s">
        <v>341</v>
      </c>
      <c r="I545" s="57" t="s">
        <v>391</v>
      </c>
      <c r="J545" s="57" t="s">
        <v>394</v>
      </c>
      <c r="K545" s="67"/>
      <c r="L545" s="67" t="s">
        <v>385</v>
      </c>
      <c r="M545" s="67"/>
      <c r="N545" s="67" t="s">
        <v>346</v>
      </c>
      <c r="O545" s="67" t="s">
        <v>386</v>
      </c>
      <c r="P545" s="57" t="s">
        <v>272</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IF(N545="N/A – rule","N/A – RULE",IF(TRIM(U545)="N/A",IF(AT545=0,"INVALID – N/A not permitted for this mandatory check",IF(AND(TRIM(AC545)&lt;&gt;"",TRIM(AE545)&lt;&gt;"",TRIM(T545)&lt;&gt;""),"N/A – JUSTIFIED","INVALID – N/A needs justification, PIC and verifier")),IF(OR(TRIM(U545)="Pass",TRIM(U545)="Pass after CA"),IF(NOT(ISNUMBER(AD545)),"INVALID – completion time missing",IF(TRIM(T545)="","INVALID – PIC missing",IF(TRIM(Z545)="","INVALID – evidence missing",IF(TRIM(AE545)="","INVALID – verifier missing",IF(AND(AQ545=1,TRIM(W545)=""),"INVALID – batch ID missing",IF(AND(AR545=1,OR(NOT(ISNUMBER(X545)),NOT(ISNUMBER(Y545)))),"INVALID – expected/actual qty missing",IF(IF(AND(TRIM(U545)="Pass",ISNUMBER(AF545)),IF(AF545&lt;&gt;0,"INVALID – qty variance: use Fail or Pass after CA",""),"")&amp;IF(AND(TRIM(U545)="Pass",AB545="Open"),"INVALID – corrective action still open: use Fail, then Pass after CA","")&amp;IF(AND(TRIM(U545)="Pass after CA",OR(TRIM(AA545)="",AB545&lt;&gt;"Closed")),"INVALID – corrective action not recorded/closed","")&lt;&gt;"",IF(AND(TRIM(U545)="Pass",ISNUMBER(AF545)),IF(AF545&lt;&gt;0,"INVALID – qty variance: use Fail or Pass after CA",""),"")&amp;IF(AND(TRIM(U545)="Pass",AB545="Open"),"INVALID – corrective action still open: use Fail, then Pass after CA","")&amp;IF(AND(TRIM(U545)="Pass after CA",OR(TRIM(AA545)="",AB545&lt;&gt;"Closed")),"INVALID – corrective action not recorded/closed",""),IF(AND(AS545=1,Documents!$J$21&lt;&gt;"ON FILE"),"INVALID – GLD not on file (Documents sheet)",IF(AND(AS545=2,Documents!$O$21&lt;&gt;"ON FILE"),"INVALID – menu checklist not on file (Documents sheet)",IF(AND(AS545=3,NOT(ISNUMBER(Flights!$AX$21))),"INVALID – enter carrying flight KUL departure (Flights AX)",IF(AG545&gt;AsOfUTC,"INVALID – completion time is in the future",IF(AND(ISNUMBER(S545),AG545&lt;S545),IF(H545="Physical uplift","INVALID – before uplift window (cannot confirm loading)","INVALID – before valid window"),IF(AG545&gt;Flights!$AA$21,"INVALID – completed after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f>
        <v>OPEN</v>
      </c>
      <c r="AI545" s="61" t="n">
        <f aca="false">IF(OR(AH545="N/A – RULE",AH545="N/A – JUSTIFIED"),0,1)</f>
        <v>1</v>
      </c>
      <c r="AJ545" s="61" t="n">
        <f aca="false">IF(LEFT(AH545,8)="COMPLETE",1,0)</f>
        <v>0</v>
      </c>
      <c r="AK545" s="61" t="n">
        <f aca="false">IF(AND(AI545=1,AJ545=0,AsOfUTC&gt;Q545),1,0)</f>
        <v>0</v>
      </c>
      <c r="AL545" s="61" t="n">
        <f aca="false">IF(AND(AI545=1,OR(TRIM(U545)="Fail",AB545="Open",AND(ISNUMBER(AF545),AF545&lt;&gt;0,TRIM(U545)&lt;&gt;"Pass after CA"))),1,0)</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row>
    <row r="546" customFormat="false" ht="39.75" hidden="false" customHeight="true" outlineLevel="0" collapsed="false">
      <c r="A546" s="57" t="s">
        <v>1177</v>
      </c>
      <c r="B546" s="57" t="s">
        <v>280</v>
      </c>
      <c r="C546" s="57" t="str">
        <f aca="false">Flights!$F$21</f>
        <v>MH0073</v>
      </c>
      <c r="D546" s="58" t="n">
        <f aca="false">Flights!$D$21</f>
        <v>46322</v>
      </c>
      <c r="E546" s="57" t="str">
        <f aca="false">Flights!$G$21&amp;"-"&amp;Flights!$H$21</f>
        <v>HKG-KUL</v>
      </c>
      <c r="F546" s="57" t="str">
        <f aca="false">Flights!$K$21</f>
        <v>BC</v>
      </c>
      <c r="G546" s="57" t="s">
        <v>383</v>
      </c>
      <c r="H546" s="57" t="s">
        <v>341</v>
      </c>
      <c r="I546" s="57" t="s">
        <v>391</v>
      </c>
      <c r="J546" s="57" t="s">
        <v>396</v>
      </c>
      <c r="K546" s="67"/>
      <c r="L546" s="67" t="s">
        <v>385</v>
      </c>
      <c r="M546" s="67"/>
      <c r="N546" s="67" t="s">
        <v>346</v>
      </c>
      <c r="O546" s="67" t="s">
        <v>386</v>
      </c>
      <c r="P546" s="57" t="s">
        <v>272</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IF(N546="N/A – rule","N/A – RULE",IF(TRIM(U546)="N/A",IF(AT546=0,"INVALID – N/A not permitted for this mandatory check",IF(AND(TRIM(AC546)&lt;&gt;"",TRIM(AE546)&lt;&gt;"",TRIM(T546)&lt;&gt;""),"N/A – JUSTIFIED","INVALID – N/A needs justification, PIC and verifier")),IF(OR(TRIM(U546)="Pass",TRIM(U546)="Pass after CA"),IF(NOT(ISNUMBER(AD546)),"INVALID – completion time missing",IF(TRIM(T546)="","INVALID – PIC missing",IF(TRIM(Z546)="","INVALID – evidence missing",IF(TRIM(AE546)="","INVALID – verifier missing",IF(AND(AQ546=1,TRIM(W546)=""),"INVALID – batch ID missing",IF(AND(AR546=1,OR(NOT(ISNUMBER(X546)),NOT(ISNUMBER(Y546)))),"INVALID – expected/actual qty missing",IF(IF(AND(TRIM(U546)="Pass",ISNUMBER(AF546)),IF(AF546&lt;&gt;0,"INVALID – qty variance: use Fail or Pass after CA",""),"")&amp;IF(AND(TRIM(U546)="Pass",AB546="Open"),"INVALID – corrective action still open: use Fail, then Pass after CA","")&amp;IF(AND(TRIM(U546)="Pass after CA",OR(TRIM(AA546)="",AB546&lt;&gt;"Closed")),"INVALID – corrective action not recorded/closed","")&lt;&gt;"",IF(AND(TRIM(U546)="Pass",ISNUMBER(AF546)),IF(AF546&lt;&gt;0,"INVALID – qty variance: use Fail or Pass after CA",""),"")&amp;IF(AND(TRIM(U546)="Pass",AB546="Open"),"INVALID – corrective action still open: use Fail, then Pass after CA","")&amp;IF(AND(TRIM(U546)="Pass after CA",OR(TRIM(AA546)="",AB546&lt;&gt;"Closed")),"INVALID – corrective action not recorded/closed",""),IF(AND(AS546=1,Documents!$J$21&lt;&gt;"ON FILE"),"INVALID – GLD not on file (Documents sheet)",IF(AND(AS546=2,Documents!$O$21&lt;&gt;"ON FILE"),"INVALID – menu checklist not on file (Documents sheet)",IF(AND(AS546=3,NOT(ISNUMBER(Flights!$AX$21))),"INVALID – enter carrying flight KUL departure (Flights AX)",IF(AG546&gt;AsOfUTC,"INVALID – completion time is in the future",IF(AND(ISNUMBER(S546),AG546&lt;S546),IF(H546="Physical uplift","INVALID – before uplift window (cannot confirm loading)","INVALID – before valid window"),IF(AG546&gt;Flights!$AA$21,"INVALID – completed after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f>
        <v>OPEN</v>
      </c>
      <c r="AI546" s="61" t="n">
        <f aca="false">IF(OR(AH546="N/A – RULE",AH546="N/A – JUSTIFIED"),0,1)</f>
        <v>1</v>
      </c>
      <c r="AJ546" s="61" t="n">
        <f aca="false">IF(LEFT(AH546,8)="COMPLETE",1,0)</f>
        <v>0</v>
      </c>
      <c r="AK546" s="61" t="n">
        <f aca="false">IF(AND(AI546=1,AJ546=0,AsOfUTC&gt;Q546),1,0)</f>
        <v>0</v>
      </c>
      <c r="AL546" s="61" t="n">
        <f aca="false">IF(AND(AI546=1,OR(TRIM(U546)="Fail",AB546="Open",AND(ISNUMBER(AF546),AF546&lt;&gt;0,TRIM(U546)&lt;&gt;"Pass after CA"))),1,0)</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row>
    <row r="547" customFormat="false" ht="78.75" hidden="false" customHeight="true" outlineLevel="0" collapsed="false">
      <c r="A547" s="57" t="s">
        <v>1178</v>
      </c>
      <c r="B547" s="57" t="s">
        <v>280</v>
      </c>
      <c r="C547" s="57" t="str">
        <f aca="false">Flights!$F$21</f>
        <v>MH0073</v>
      </c>
      <c r="D547" s="58" t="n">
        <f aca="false">Flights!$D$21</f>
        <v>46322</v>
      </c>
      <c r="E547" s="57" t="str">
        <f aca="false">Flights!$G$21&amp;"-"&amp;Flights!$H$21</f>
        <v>HKG-KUL</v>
      </c>
      <c r="F547" s="57" t="str">
        <f aca="false">Flights!$K$21</f>
        <v>BC</v>
      </c>
      <c r="G547" s="57" t="s">
        <v>383</v>
      </c>
      <c r="H547" s="57" t="s">
        <v>341</v>
      </c>
      <c r="I547" s="57" t="s">
        <v>391</v>
      </c>
      <c r="J547" s="57" t="s">
        <v>398</v>
      </c>
      <c r="K547" s="67" t="s">
        <v>454</v>
      </c>
      <c r="L547" s="67" t="s">
        <v>385</v>
      </c>
      <c r="M547" s="67"/>
      <c r="N547" s="67" t="s">
        <v>346</v>
      </c>
      <c r="O547" s="67" t="s">
        <v>386</v>
      </c>
      <c r="P547" s="57" t="s">
        <v>272</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IF(N547="N/A – rule","N/A – RULE",IF(TRIM(U547)="N/A",IF(AT547=0,"INVALID – N/A not permitted for this mandatory check",IF(AND(TRIM(AC547)&lt;&gt;"",TRIM(AE547)&lt;&gt;"",TRIM(T547)&lt;&gt;""),"N/A – JUSTIFIED","INVALID – N/A needs justification, PIC and verifier")),IF(OR(TRIM(U547)="Pass",TRIM(U547)="Pass after CA"),IF(NOT(ISNUMBER(AD547)),"INVALID – completion time missing",IF(TRIM(T547)="","INVALID – PIC missing",IF(TRIM(Z547)="","INVALID – evidence missing",IF(TRIM(AE547)="","INVALID – verifier missing",IF(AND(AQ547=1,TRIM(W547)=""),"INVALID – batch ID missing",IF(AND(AR547=1,OR(NOT(ISNUMBER(X547)),NOT(ISNUMBER(Y547)))),"INVALID – expected/actual qty missing",IF(IF(AND(TRIM(U547)="Pass",ISNUMBER(AF547)),IF(AF547&lt;&gt;0,"INVALID – qty variance: use Fail or Pass after CA",""),"")&amp;IF(AND(TRIM(U547)="Pass",AB547="Open"),"INVALID – corrective action still open: use Fail, then Pass after CA","")&amp;IF(AND(TRIM(U547)="Pass after CA",OR(TRIM(AA547)="",AB547&lt;&gt;"Closed")),"INVALID – corrective action not recorded/closed","")&lt;&gt;"",IF(AND(TRIM(U547)="Pass",ISNUMBER(AF547)),IF(AF547&lt;&gt;0,"INVALID – qty variance: use Fail or Pass after CA",""),"")&amp;IF(AND(TRIM(U547)="Pass",AB547="Open"),"INVALID – corrective action still open: use Fail, then Pass after CA","")&amp;IF(AND(TRIM(U547)="Pass after CA",OR(TRIM(AA547)="",AB547&lt;&gt;"Closed")),"INVALID – corrective action not recorded/closed",""),IF(AND(AS547=1,Documents!$J$21&lt;&gt;"ON FILE"),"INVALID – GLD not on file (Documents sheet)",IF(AND(AS547=2,Documents!$O$21&lt;&gt;"ON FILE"),"INVALID – menu checklist not on file (Documents sheet)",IF(AND(AS547=3,NOT(ISNUMBER(Flights!$AX$21))),"INVALID – enter carrying flight KUL departure (Flights AX)",IF(AG547&gt;AsOfUTC,"INVALID – completion time is in the future",IF(AND(ISNUMBER(S547),AG547&lt;S547),IF(H547="Physical uplift","INVALID – before uplift window (cannot confirm loading)","INVALID – before valid window"),IF(AG547&gt;Flights!$AA$21,"INVALID – completed after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f>
        <v>OPEN</v>
      </c>
      <c r="AI547" s="61" t="n">
        <f aca="false">IF(OR(AH547="N/A – RULE",AH547="N/A – JUSTIFIED"),0,1)</f>
        <v>1</v>
      </c>
      <c r="AJ547" s="61" t="n">
        <f aca="false">IF(LEFT(AH547,8)="COMPLETE",1,0)</f>
        <v>0</v>
      </c>
      <c r="AK547" s="61" t="n">
        <f aca="false">IF(AND(AI547=1,AJ547=0,AsOfUTC&gt;Q547),1,0)</f>
        <v>0</v>
      </c>
      <c r="AL547" s="61" t="n">
        <f aca="false">IF(AND(AI547=1,OR(TRIM(U547)="Fail",AB547="Open",AND(ISNUMBER(AF547),AF547&lt;&gt;0,TRIM(U547)&lt;&gt;"Pass after CA"))),1,0)</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row>
    <row r="548" customFormat="false" ht="39.75" hidden="false" customHeight="true" outlineLevel="0" collapsed="false">
      <c r="A548" s="57" t="s">
        <v>1179</v>
      </c>
      <c r="B548" s="57" t="s">
        <v>280</v>
      </c>
      <c r="C548" s="57" t="str">
        <f aca="false">Flights!$F$21</f>
        <v>MH0073</v>
      </c>
      <c r="D548" s="58" t="n">
        <f aca="false">Flights!$D$21</f>
        <v>46322</v>
      </c>
      <c r="E548" s="57" t="str">
        <f aca="false">Flights!$G$21&amp;"-"&amp;Flights!$H$21</f>
        <v>HKG-KUL</v>
      </c>
      <c r="F548" s="57" t="str">
        <f aca="false">Flights!$K$21</f>
        <v>BC</v>
      </c>
      <c r="G548" s="57" t="s">
        <v>383</v>
      </c>
      <c r="H548" s="57" t="s">
        <v>341</v>
      </c>
      <c r="I548" s="57" t="s">
        <v>391</v>
      </c>
      <c r="J548" s="57" t="s">
        <v>401</v>
      </c>
      <c r="K548" s="67"/>
      <c r="L548" s="67" t="s">
        <v>385</v>
      </c>
      <c r="M548" s="67"/>
      <c r="N548" s="67" t="s">
        <v>346</v>
      </c>
      <c r="O548" s="67" t="s">
        <v>386</v>
      </c>
      <c r="P548" s="57" t="s">
        <v>272</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IF(N548="N/A – rule","N/A – RULE",IF(TRIM(U548)="N/A",IF(AT548=0,"INVALID – N/A not permitted for this mandatory check",IF(AND(TRIM(AC548)&lt;&gt;"",TRIM(AE548)&lt;&gt;"",TRIM(T548)&lt;&gt;""),"N/A – JUSTIFIED","INVALID – N/A needs justification, PIC and verifier")),IF(OR(TRIM(U548)="Pass",TRIM(U548)="Pass after CA"),IF(NOT(ISNUMBER(AD548)),"INVALID – completion time missing",IF(TRIM(T548)="","INVALID – PIC missing",IF(TRIM(Z548)="","INVALID – evidence missing",IF(TRIM(AE548)="","INVALID – verifier missing",IF(AND(AQ548=1,TRIM(W548)=""),"INVALID – batch ID missing",IF(AND(AR548=1,OR(NOT(ISNUMBER(X548)),NOT(ISNUMBER(Y548)))),"INVALID – expected/actual qty missing",IF(IF(AND(TRIM(U548)="Pass",ISNUMBER(AF548)),IF(AF548&lt;&gt;0,"INVALID – qty variance: use Fail or Pass after CA",""),"")&amp;IF(AND(TRIM(U548)="Pass",AB548="Open"),"INVALID – corrective action still open: use Fail, then Pass after CA","")&amp;IF(AND(TRIM(U548)="Pass after CA",OR(TRIM(AA548)="",AB548&lt;&gt;"Closed")),"INVALID – corrective action not recorded/closed","")&lt;&gt;"",IF(AND(TRIM(U548)="Pass",ISNUMBER(AF548)),IF(AF548&lt;&gt;0,"INVALID – qty variance: use Fail or Pass after CA",""),"")&amp;IF(AND(TRIM(U548)="Pass",AB548="Open"),"INVALID – corrective action still open: use Fail, then Pass after CA","")&amp;IF(AND(TRIM(U548)="Pass after CA",OR(TRIM(AA548)="",AB548&lt;&gt;"Closed")),"INVALID – corrective action not recorded/closed",""),IF(AND(AS548=1,Documents!$J$21&lt;&gt;"ON FILE"),"INVALID – GLD not on file (Documents sheet)",IF(AND(AS548=2,Documents!$O$21&lt;&gt;"ON FILE"),"INVALID – menu checklist not on file (Documents sheet)",IF(AND(AS548=3,NOT(ISNUMBER(Flights!$AX$21))),"INVALID – enter carrying flight KUL departure (Flights AX)",IF(AG548&gt;AsOfUTC,"INVALID – completion time is in the future",IF(AND(ISNUMBER(S548),AG548&lt;S548),IF(H548="Physical uplift","INVALID – before uplift window (cannot confirm loading)","INVALID – before valid window"),IF(AG548&gt;Flights!$AA$21,"INVALID – completed after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f>
        <v>OPEN</v>
      </c>
      <c r="AI548" s="61" t="n">
        <f aca="false">IF(OR(AH548="N/A – RULE",AH548="N/A – JUSTIFIED"),0,1)</f>
        <v>1</v>
      </c>
      <c r="AJ548" s="61" t="n">
        <f aca="false">IF(LEFT(AH548,8)="COMPLETE",1,0)</f>
        <v>0</v>
      </c>
      <c r="AK548" s="61" t="n">
        <f aca="false">IF(AND(AI548=1,AJ548=0,AsOfUTC&gt;Q548),1,0)</f>
        <v>0</v>
      </c>
      <c r="AL548" s="61" t="n">
        <f aca="false">IF(AND(AI548=1,OR(TRIM(U548)="Fail",AB548="Open",AND(ISNUMBER(AF548),AF548&lt;&gt;0,TRIM(U548)&lt;&gt;"Pass after CA"))),1,0)</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row>
    <row r="549" customFormat="false" ht="41.25" hidden="false" customHeight="true" outlineLevel="0" collapsed="false">
      <c r="A549" s="57" t="s">
        <v>1180</v>
      </c>
      <c r="B549" s="57" t="s">
        <v>280</v>
      </c>
      <c r="C549" s="57" t="str">
        <f aca="false">Flights!$F$21</f>
        <v>MH0073</v>
      </c>
      <c r="D549" s="58" t="n">
        <f aca="false">Flights!$D$21</f>
        <v>46322</v>
      </c>
      <c r="E549" s="57" t="str">
        <f aca="false">Flights!$G$21&amp;"-"&amp;Flights!$H$21</f>
        <v>HKG-KUL</v>
      </c>
      <c r="F549" s="57" t="str">
        <f aca="false">Flights!$K$21</f>
        <v>BC</v>
      </c>
      <c r="G549" s="57" t="s">
        <v>383</v>
      </c>
      <c r="H549" s="57" t="s">
        <v>341</v>
      </c>
      <c r="I549" s="57" t="s">
        <v>403</v>
      </c>
      <c r="J549" s="57" t="s">
        <v>1181</v>
      </c>
      <c r="K549" s="67" t="s">
        <v>464</v>
      </c>
      <c r="L549" s="67" t="s">
        <v>1182</v>
      </c>
      <c r="M549" s="67" t="s">
        <v>177</v>
      </c>
      <c r="N549" s="67" t="s">
        <v>346</v>
      </c>
      <c r="O549" s="67" t="s">
        <v>1183</v>
      </c>
      <c r="P549" s="57" t="s">
        <v>177</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IF(N549="N/A – rule","N/A – RULE",IF(TRIM(U549)="N/A",IF(AT549=0,"INVALID – N/A not permitted for this mandatory check",IF(AND(TRIM(AC549)&lt;&gt;"",TRIM(AE549)&lt;&gt;"",TRIM(T549)&lt;&gt;""),"N/A – JUSTIFIED","INVALID – N/A needs justification, PIC and verifier")),IF(OR(TRIM(U549)="Pass",TRIM(U549)="Pass after CA"),IF(NOT(ISNUMBER(AD549)),"INVALID – completion time missing",IF(TRIM(T549)="","INVALID – PIC missing",IF(TRIM(Z549)="","INVALID – evidence missing",IF(TRIM(AE549)="","INVALID – verifier missing",IF(AND(AQ549=1,TRIM(W549)=""),"INVALID – batch ID missing",IF(AND(AR549=1,OR(NOT(ISNUMBER(X549)),NOT(ISNUMBER(Y549)))),"INVALID – expected/actual qty missing",IF(IF(AND(TRIM(U549)="Pass",ISNUMBER(AF549)),IF(AF549&lt;&gt;0,"INVALID – qty variance: use Fail or Pass after CA",""),"")&amp;IF(AND(TRIM(U549)="Pass",AB549="Open"),"INVALID – corrective action still open: use Fail, then Pass after CA","")&amp;IF(AND(TRIM(U549)="Pass after CA",OR(TRIM(AA549)="",AB549&lt;&gt;"Closed")),"INVALID – corrective action not recorded/closed","")&lt;&gt;"",IF(AND(TRIM(U549)="Pass",ISNUMBER(AF549)),IF(AF549&lt;&gt;0,"INVALID – qty variance: use Fail or Pass after CA",""),"")&amp;IF(AND(TRIM(U549)="Pass",AB549="Open"),"INVALID – corrective action still open: use Fail, then Pass after CA","")&amp;IF(AND(TRIM(U549)="Pass after CA",OR(TRIM(AA549)="",AB549&lt;&gt;"Closed")),"INVALID – corrective action not recorded/closed",""),IF(AND(AS549=1,Documents!$J$21&lt;&gt;"ON FILE"),"INVALID – GLD not on file (Documents sheet)",IF(AND(AS549=2,Documents!$O$21&lt;&gt;"ON FILE"),"INVALID – menu checklist not on file (Documents sheet)",IF(AND(AS549=3,NOT(ISNUMBER(Flights!$AX$21))),"INVALID – enter carrying flight KUL departure (Flights AX)",IF(AG549&gt;AsOfUTC,"INVALID – completion time is in the future",IF(AND(ISNUMBER(S549),AG549&lt;S549),IF(H549="Physical uplift","INVALID – before uplift window (cannot confirm loading)","INVALID – before valid window"),IF(AG549&gt;Flights!$AA$21,"INVALID – completed after departure (cannot establish readiness)",IF(AND(H549="Physical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f>
        <v>OPEN</v>
      </c>
      <c r="AI549" s="61" t="n">
        <f aca="false">IF(OR(AH549="N/A – RULE",AH549="N/A – JUSTIFIED"),0,1)</f>
        <v>1</v>
      </c>
      <c r="AJ549" s="61" t="n">
        <f aca="false">IF(LEFT(AH549,8)="COMPLETE",1,0)</f>
        <v>0</v>
      </c>
      <c r="AK549" s="61" t="n">
        <f aca="false">IF(AND(AI549=1,AJ549=0,AsOfUTC&gt;Q549),1,0)</f>
        <v>0</v>
      </c>
      <c r="AL549" s="61" t="n">
        <f aca="false">IF(AND(AI549=1,OR(TRIM(U549)="Fail",AB549="Open",AND(ISNUMBER(AF549),AF549&lt;&gt;0,TRIM(U549)&lt;&gt;"Pass after CA"))),1,0)</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1</v>
      </c>
    </row>
    <row r="550" customFormat="false" ht="41.25" hidden="false" customHeight="true" outlineLevel="0" collapsed="false">
      <c r="A550" s="57" t="s">
        <v>1184</v>
      </c>
      <c r="B550" s="57" t="s">
        <v>280</v>
      </c>
      <c r="C550" s="57" t="str">
        <f aca="false">Flights!$F$21</f>
        <v>MH0073</v>
      </c>
      <c r="D550" s="58" t="n">
        <f aca="false">Flights!$D$21</f>
        <v>46322</v>
      </c>
      <c r="E550" s="57" t="str">
        <f aca="false">Flights!$G$21&amp;"-"&amp;Flights!$H$21</f>
        <v>HKG-KUL</v>
      </c>
      <c r="F550" s="57" t="str">
        <f aca="false">Flights!$K$21</f>
        <v>BC</v>
      </c>
      <c r="G550" s="57" t="s">
        <v>383</v>
      </c>
      <c r="H550" s="57" t="s">
        <v>341</v>
      </c>
      <c r="I550" s="57" t="s">
        <v>462</v>
      </c>
      <c r="J550" s="57" t="s">
        <v>463</v>
      </c>
      <c r="K550" s="67" t="s">
        <v>464</v>
      </c>
      <c r="L550" s="67" t="s">
        <v>1185</v>
      </c>
      <c r="M550" s="67" t="s">
        <v>414</v>
      </c>
      <c r="N550" s="67" t="s">
        <v>346</v>
      </c>
      <c r="O550" s="67" t="s">
        <v>1186</v>
      </c>
      <c r="P550" s="57" t="s">
        <v>272</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IF(N550="N/A – rule","N/A – RULE",IF(TRIM(U550)="N/A",IF(AT550=0,"INVALID – N/A not permitted for this mandatory check",IF(AND(TRIM(AC550)&lt;&gt;"",TRIM(AE550)&lt;&gt;"",TRIM(T550)&lt;&gt;""),"N/A – JUSTIFIED","INVALID – N/A needs justification, PIC and verifier")),IF(OR(TRIM(U550)="Pass",TRIM(U550)="Pass after CA"),IF(NOT(ISNUMBER(AD550)),"INVALID – completion time missing",IF(TRIM(T550)="","INVALID – PIC missing",IF(TRIM(Z550)="","INVALID – evidence missing",IF(TRIM(AE550)="","INVALID – verifier missing",IF(AND(AQ550=1,TRIM(W550)=""),"INVALID – batch ID missing",IF(AND(AR550=1,OR(NOT(ISNUMBER(X550)),NOT(ISNUMBER(Y550)))),"INVALID – expected/actual qty missing",IF(IF(AND(TRIM(U550)="Pass",ISNUMBER(AF550)),IF(AF550&lt;&gt;0,"INVALID – qty variance: use Fail or Pass after CA",""),"")&amp;IF(AND(TRIM(U550)="Pass",AB550="Open"),"INVALID – corrective action still open: use Fail, then Pass after CA","")&amp;IF(AND(TRIM(U550)="Pass after CA",OR(TRIM(AA550)="",AB550&lt;&gt;"Closed")),"INVALID – corrective action not recorded/closed","")&lt;&gt;"",IF(AND(TRIM(U550)="Pass",ISNUMBER(AF550)),IF(AF550&lt;&gt;0,"INVALID – qty variance: use Fail or Pass after CA",""),"")&amp;IF(AND(TRIM(U550)="Pass",AB550="Open"),"INVALID – corrective action still open: use Fail, then Pass after CA","")&amp;IF(AND(TRIM(U550)="Pass after CA",OR(TRIM(AA550)="",AB550&lt;&gt;"Closed")),"INVALID – corrective action not recorded/closed",""),IF(AND(AS550=1,Documents!$J$21&lt;&gt;"ON FILE"),"INVALID – GLD not on file (Documents sheet)",IF(AND(AS550=2,Documents!$O$21&lt;&gt;"ON FILE"),"INVALID – menu checklist not on file (Documents sheet)",IF(AND(AS550=3,NOT(ISNUMBER(Flights!$AX$21))),"INVALID – enter carrying flight KUL departure (Flights AX)",IF(AG550&gt;AsOfUTC,"INVALID – completion time is in the future",IF(AND(ISNUMBER(S550),AG550&lt;S550),IF(H550="Physical uplift","INVALID – before uplift window (cannot confirm loading)","INVALID – before valid window"),IF(AG550&gt;Flights!$AA$21,"INVALID – completed after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f>
        <v>OPEN</v>
      </c>
      <c r="AI550" s="61" t="n">
        <f aca="false">IF(OR(AH550="N/A – RULE",AH550="N/A – JUSTIFIED"),0,1)</f>
        <v>1</v>
      </c>
      <c r="AJ550" s="61" t="n">
        <f aca="false">IF(LEFT(AH550,8)="COMPLETE",1,0)</f>
        <v>0</v>
      </c>
      <c r="AK550" s="61" t="n">
        <f aca="false">IF(AND(AI550=1,AJ550=0,AsOfUTC&gt;Q550),1,0)</f>
        <v>0</v>
      </c>
      <c r="AL550" s="61" t="n">
        <f aca="false">IF(AND(AI550=1,OR(TRIM(U550)="Fail",AB550="Open",AND(ISNUMBER(AF550),AF550&lt;&gt;0,TRIM(U550)&lt;&gt;"Pass after CA"))),1,0)</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1</v>
      </c>
    </row>
    <row r="551" customFormat="false" ht="41.25" hidden="false" customHeight="true" outlineLevel="0" collapsed="false">
      <c r="A551" s="57" t="s">
        <v>1187</v>
      </c>
      <c r="B551" s="57" t="s">
        <v>280</v>
      </c>
      <c r="C551" s="57" t="str">
        <f aca="false">Flights!$F$21</f>
        <v>MH0073</v>
      </c>
      <c r="D551" s="58" t="n">
        <f aca="false">Flights!$D$21</f>
        <v>46322</v>
      </c>
      <c r="E551" s="57" t="str">
        <f aca="false">Flights!$G$21&amp;"-"&amp;Flights!$H$21</f>
        <v>HKG-KUL</v>
      </c>
      <c r="F551" s="57" t="str">
        <f aca="false">Flights!$K$21</f>
        <v>BC</v>
      </c>
      <c r="G551" s="57" t="s">
        <v>383</v>
      </c>
      <c r="H551" s="57" t="s">
        <v>341</v>
      </c>
      <c r="I551" s="57" t="s">
        <v>462</v>
      </c>
      <c r="J551" s="57" t="s">
        <v>468</v>
      </c>
      <c r="K551" s="67" t="s">
        <v>464</v>
      </c>
      <c r="L551" s="67" t="s">
        <v>1188</v>
      </c>
      <c r="M551" s="67" t="s">
        <v>414</v>
      </c>
      <c r="N551" s="67" t="s">
        <v>346</v>
      </c>
      <c r="O551" s="67" t="s">
        <v>1186</v>
      </c>
      <c r="P551" s="57" t="s">
        <v>272</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IF(N551="N/A – rule","N/A – RULE",IF(TRIM(U551)="N/A",IF(AT551=0,"INVALID – N/A not permitted for this mandatory check",IF(AND(TRIM(AC551)&lt;&gt;"",TRIM(AE551)&lt;&gt;"",TRIM(T551)&lt;&gt;""),"N/A – JUSTIFIED","INVALID – N/A needs justification, PIC and verifier")),IF(OR(TRIM(U551)="Pass",TRIM(U551)="Pass after CA"),IF(NOT(ISNUMBER(AD551)),"INVALID – completion time missing",IF(TRIM(T551)="","INVALID – PIC missing",IF(TRIM(Z551)="","INVALID – evidence missing",IF(TRIM(AE551)="","INVALID – verifier missing",IF(AND(AQ551=1,TRIM(W551)=""),"INVALID – batch ID missing",IF(AND(AR551=1,OR(NOT(ISNUMBER(X551)),NOT(ISNUMBER(Y551)))),"INVALID – expected/actual qty missing",IF(IF(AND(TRIM(U551)="Pass",ISNUMBER(AF551)),IF(AF551&lt;&gt;0,"INVALID – qty variance: use Fail or Pass after CA",""),"")&amp;IF(AND(TRIM(U551)="Pass",AB551="Open"),"INVALID – corrective action still open: use Fail, then Pass after CA","")&amp;IF(AND(TRIM(U551)="Pass after CA",OR(TRIM(AA551)="",AB551&lt;&gt;"Closed")),"INVALID – corrective action not recorded/closed","")&lt;&gt;"",IF(AND(TRIM(U551)="Pass",ISNUMBER(AF551)),IF(AF551&lt;&gt;0,"INVALID – qty variance: use Fail or Pass after CA",""),"")&amp;IF(AND(TRIM(U551)="Pass",AB551="Open"),"INVALID – corrective action still open: use Fail, then Pass after CA","")&amp;IF(AND(TRIM(U551)="Pass after CA",OR(TRIM(AA551)="",AB551&lt;&gt;"Closed")),"INVALID – corrective action not recorded/closed",""),IF(AND(AS551=1,Documents!$J$21&lt;&gt;"ON FILE"),"INVALID – GLD not on file (Documents sheet)",IF(AND(AS551=2,Documents!$O$21&lt;&gt;"ON FILE"),"INVALID – menu checklist not on file (Documents sheet)",IF(AND(AS551=3,NOT(ISNUMBER(Flights!$AX$21))),"INVALID – enter carrying flight KUL departure (Flights AX)",IF(AG551&gt;AsOfUTC,"INVALID – completion time is in the future",IF(AND(ISNUMBER(S551),AG551&lt;S551),IF(H551="Physical uplift","INVALID – before uplift window (cannot confirm loading)","INVALID – before valid window"),IF(AG551&gt;Flights!$AA$21,"INVALID – completed after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f>
        <v>OPEN</v>
      </c>
      <c r="AI551" s="61" t="n">
        <f aca="false">IF(OR(AH551="N/A – RULE",AH551="N/A – JUSTIFIED"),0,1)</f>
        <v>1</v>
      </c>
      <c r="AJ551" s="61" t="n">
        <f aca="false">IF(LEFT(AH551,8)="COMPLETE",1,0)</f>
        <v>0</v>
      </c>
      <c r="AK551" s="61" t="n">
        <f aca="false">IF(AND(AI551=1,AJ551=0,AsOfUTC&gt;Q551),1,0)</f>
        <v>0</v>
      </c>
      <c r="AL551" s="61" t="n">
        <f aca="false">IF(AND(AI551=1,OR(TRIM(U551)="Fail",AB551="Open",AND(ISNUMBER(AF551),AF551&lt;&gt;0,TRIM(U551)&lt;&gt;"Pass after CA"))),1,0)</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1</v>
      </c>
    </row>
    <row r="552" customFormat="false" ht="41.25" hidden="false" customHeight="true" outlineLevel="0" collapsed="false">
      <c r="A552" s="57" t="s">
        <v>1189</v>
      </c>
      <c r="B552" s="57" t="s">
        <v>280</v>
      </c>
      <c r="C552" s="57" t="str">
        <f aca="false">Flights!$F$21</f>
        <v>MH0073</v>
      </c>
      <c r="D552" s="58" t="n">
        <f aca="false">Flights!$D$21</f>
        <v>46322</v>
      </c>
      <c r="E552" s="57" t="str">
        <f aca="false">Flights!$G$21&amp;"-"&amp;Flights!$H$21</f>
        <v>HKG-KUL</v>
      </c>
      <c r="F552" s="57" t="str">
        <f aca="false">Flights!$K$21</f>
        <v>BC</v>
      </c>
      <c r="G552" s="57" t="s">
        <v>383</v>
      </c>
      <c r="H552" s="57" t="s">
        <v>341</v>
      </c>
      <c r="I552" s="57" t="s">
        <v>462</v>
      </c>
      <c r="J552" s="57" t="s">
        <v>471</v>
      </c>
      <c r="K552" s="67" t="s">
        <v>464</v>
      </c>
      <c r="L552" s="67" t="s">
        <v>1190</v>
      </c>
      <c r="M552" s="67" t="s">
        <v>414</v>
      </c>
      <c r="N552" s="67" t="s">
        <v>346</v>
      </c>
      <c r="O552" s="67" t="s">
        <v>1186</v>
      </c>
      <c r="P552" s="57" t="s">
        <v>272</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IF(N552="N/A – rule","N/A – RULE",IF(TRIM(U552)="N/A",IF(AT552=0,"INVALID – N/A not permitted for this mandatory check",IF(AND(TRIM(AC552)&lt;&gt;"",TRIM(AE552)&lt;&gt;"",TRIM(T552)&lt;&gt;""),"N/A – JUSTIFIED","INVALID – N/A needs justification, PIC and verifier")),IF(OR(TRIM(U552)="Pass",TRIM(U552)="Pass after CA"),IF(NOT(ISNUMBER(AD552)),"INVALID – completion time missing",IF(TRIM(T552)="","INVALID – PIC missing",IF(TRIM(Z552)="","INVALID – evidence missing",IF(TRIM(AE552)="","INVALID – verifier missing",IF(AND(AQ552=1,TRIM(W552)=""),"INVALID – batch ID missing",IF(AND(AR552=1,OR(NOT(ISNUMBER(X552)),NOT(ISNUMBER(Y552)))),"INVALID – expected/actual qty missing",IF(IF(AND(TRIM(U552)="Pass",ISNUMBER(AF552)),IF(AF552&lt;&gt;0,"INVALID – qty variance: use Fail or Pass after CA",""),"")&amp;IF(AND(TRIM(U552)="Pass",AB552="Open"),"INVALID – corrective action still open: use Fail, then Pass after CA","")&amp;IF(AND(TRIM(U552)="Pass after CA",OR(TRIM(AA552)="",AB552&lt;&gt;"Closed")),"INVALID – corrective action not recorded/closed","")&lt;&gt;"",IF(AND(TRIM(U552)="Pass",ISNUMBER(AF552)),IF(AF552&lt;&gt;0,"INVALID – qty variance: use Fail or Pass after CA",""),"")&amp;IF(AND(TRIM(U552)="Pass",AB552="Open"),"INVALID – corrective action still open: use Fail, then Pass after CA","")&amp;IF(AND(TRIM(U552)="Pass after CA",OR(TRIM(AA552)="",AB552&lt;&gt;"Closed")),"INVALID – corrective action not recorded/closed",""),IF(AND(AS552=1,Documents!$J$21&lt;&gt;"ON FILE"),"INVALID – GLD not on file (Documents sheet)",IF(AND(AS552=2,Documents!$O$21&lt;&gt;"ON FILE"),"INVALID – menu checklist not on file (Documents sheet)",IF(AND(AS552=3,NOT(ISNUMBER(Flights!$AX$21))),"INVALID – enter carrying flight KUL departure (Flights AX)",IF(AG552&gt;AsOfUTC,"INVALID – completion time is in the future",IF(AND(ISNUMBER(S552),AG552&lt;S552),IF(H552="Physical uplift","INVALID – before uplift window (cannot confirm loading)","INVALID – before valid window"),IF(AG552&gt;Flights!$AA$21,"INVALID – completed after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f>
        <v>OPEN</v>
      </c>
      <c r="AI552" s="61" t="n">
        <f aca="false">IF(OR(AH552="N/A – RULE",AH552="N/A – JUSTIFIED"),0,1)</f>
        <v>1</v>
      </c>
      <c r="AJ552" s="61" t="n">
        <f aca="false">IF(LEFT(AH552,8)="COMPLETE",1,0)</f>
        <v>0</v>
      </c>
      <c r="AK552" s="61" t="n">
        <f aca="false">IF(AND(AI552=1,AJ552=0,AsOfUTC&gt;Q552),1,0)</f>
        <v>0</v>
      </c>
      <c r="AL552" s="61" t="n">
        <f aca="false">IF(AND(AI552=1,OR(TRIM(U552)="Fail",AB552="Open",AND(ISNUMBER(AF552),AF552&lt;&gt;0,TRIM(U552)&lt;&gt;"Pass after CA"))),1,0)</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1</v>
      </c>
    </row>
    <row r="553" customFormat="false" ht="116.25" hidden="false" customHeight="true" outlineLevel="0" collapsed="false">
      <c r="A553" s="57" t="s">
        <v>1191</v>
      </c>
      <c r="B553" s="57" t="s">
        <v>280</v>
      </c>
      <c r="C553" s="57" t="str">
        <f aca="false">Flights!$F$21</f>
        <v>MH0073</v>
      </c>
      <c r="D553" s="58" t="n">
        <f aca="false">Flights!$D$21</f>
        <v>46322</v>
      </c>
      <c r="E553" s="57" t="str">
        <f aca="false">Flights!$G$21&amp;"-"&amp;Flights!$H$21</f>
        <v>HKG-KUL</v>
      </c>
      <c r="F553" s="57" t="str">
        <f aca="false">Flights!$K$21</f>
        <v>BC</v>
      </c>
      <c r="G553" s="57" t="s">
        <v>383</v>
      </c>
      <c r="H553" s="57" t="s">
        <v>341</v>
      </c>
      <c r="I553" s="57" t="s">
        <v>462</v>
      </c>
      <c r="J553" s="57" t="s">
        <v>474</v>
      </c>
      <c r="K553" s="67" t="s">
        <v>464</v>
      </c>
      <c r="L553" s="67" t="s">
        <v>1192</v>
      </c>
      <c r="M553" s="67" t="s">
        <v>414</v>
      </c>
      <c r="N553" s="67" t="s">
        <v>407</v>
      </c>
      <c r="O553" s="67" t="s">
        <v>1193</v>
      </c>
      <c r="P553" s="57" t="s">
        <v>272</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IF(N553="N/A – rule","N/A – RULE",IF(TRIM(U553)="N/A",IF(AT553=0,"INVALID – N/A not permitted for this mandatory check",IF(AND(TRIM(AC553)&lt;&gt;"",TRIM(AE553)&lt;&gt;"",TRIM(T553)&lt;&gt;""),"N/A – JUSTIFIED","INVALID – N/A needs justification, PIC and verifier")),IF(OR(TRIM(U553)="Pass",TRIM(U553)="Pass after CA"),IF(NOT(ISNUMBER(AD553)),"INVALID – completion time missing",IF(TRIM(T553)="","INVALID – PIC missing",IF(TRIM(Z553)="","INVALID – evidence missing",IF(TRIM(AE553)="","INVALID – verifier missing",IF(AND(AQ553=1,TRIM(W553)=""),"INVALID – batch ID missing",IF(AND(AR553=1,OR(NOT(ISNUMBER(X553)),NOT(ISNUMBER(Y553)))),"INVALID – expected/actual qty missing",IF(IF(AND(TRIM(U553)="Pass",ISNUMBER(AF553)),IF(AF553&lt;&gt;0,"INVALID – qty variance: use Fail or Pass after CA",""),"")&amp;IF(AND(TRIM(U553)="Pass",AB553="Open"),"INVALID – corrective action still open: use Fail, then Pass after CA","")&amp;IF(AND(TRIM(U553)="Pass after CA",OR(TRIM(AA553)="",AB553&lt;&gt;"Closed")),"INVALID – corrective action not recorded/closed","")&lt;&gt;"",IF(AND(TRIM(U553)="Pass",ISNUMBER(AF553)),IF(AF553&lt;&gt;0,"INVALID – qty variance: use Fail or Pass after CA",""),"")&amp;IF(AND(TRIM(U553)="Pass",AB553="Open"),"INVALID – corrective action still open: use Fail, then Pass after CA","")&amp;IF(AND(TRIM(U553)="Pass after CA",OR(TRIM(AA553)="",AB553&lt;&gt;"Closed")),"INVALID – corrective action not recorded/closed",""),IF(AND(AS553=1,Documents!$J$21&lt;&gt;"ON FILE"),"INVALID – GLD not on file (Documents sheet)",IF(AND(AS553=2,Documents!$O$21&lt;&gt;"ON FILE"),"INVALID – menu checklist not on file (Documents sheet)",IF(AND(AS553=3,NOT(ISNUMBER(Flights!$AX$21))),"INVALID – enter carrying flight KUL departure (Flights AX)",IF(AG553&gt;AsOfUTC,"INVALID – completion time is in the future",IF(AND(ISNUMBER(S553),AG553&lt;S553),IF(H553="Physical uplift","INVALID – before uplift window (cannot confirm loading)","INVALID – before valid window"),IF(AG553&gt;Flights!$AA$21,"INVALID – completed after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f>
        <v>OPEN – CLARIFICATION</v>
      </c>
      <c r="AI553" s="61" t="n">
        <f aca="false">IF(OR(AH553="N/A – RULE",AH553="N/A – JUSTIFIED"),0,1)</f>
        <v>1</v>
      </c>
      <c r="AJ553" s="61" t="n">
        <f aca="false">IF(LEFT(AH553,8)="COMPLETE",1,0)</f>
        <v>0</v>
      </c>
      <c r="AK553" s="61" t="n">
        <f aca="false">IF(AND(AI553=1,AJ553=0,AsOfUTC&gt;Q553),1,0)</f>
        <v>0</v>
      </c>
      <c r="AL553" s="61" t="n">
        <f aca="false">IF(AND(AI553=1,OR(TRIM(U553)="Fail",AB553="Open",AND(ISNUMBER(AF553),AF553&lt;&gt;0,TRIM(U553)&lt;&gt;"Pass after CA"))),1,0)</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row>
    <row r="554" customFormat="false" ht="116.25" hidden="false" customHeight="true" outlineLevel="0" collapsed="false">
      <c r="A554" s="57" t="s">
        <v>1194</v>
      </c>
      <c r="B554" s="57" t="s">
        <v>280</v>
      </c>
      <c r="C554" s="57" t="str">
        <f aca="false">Flights!$F$21</f>
        <v>MH0073</v>
      </c>
      <c r="D554" s="58" t="n">
        <f aca="false">Flights!$D$21</f>
        <v>46322</v>
      </c>
      <c r="E554" s="57" t="str">
        <f aca="false">Flights!$G$21&amp;"-"&amp;Flights!$H$21</f>
        <v>HKG-KUL</v>
      </c>
      <c r="F554" s="57" t="str">
        <f aca="false">Flights!$K$21</f>
        <v>BC</v>
      </c>
      <c r="G554" s="57" t="s">
        <v>383</v>
      </c>
      <c r="H554" s="57" t="s">
        <v>341</v>
      </c>
      <c r="I554" s="57" t="s">
        <v>462</v>
      </c>
      <c r="J554" s="57" t="s">
        <v>478</v>
      </c>
      <c r="K554" s="67" t="s">
        <v>464</v>
      </c>
      <c r="L554" s="67" t="s">
        <v>1195</v>
      </c>
      <c r="M554" s="67" t="s">
        <v>414</v>
      </c>
      <c r="N554" s="67" t="s">
        <v>407</v>
      </c>
      <c r="O554" s="67" t="s">
        <v>1193</v>
      </c>
      <c r="P554" s="57" t="s">
        <v>272</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IF(N554="N/A – rule","N/A – RULE",IF(TRIM(U554)="N/A",IF(AT554=0,"INVALID – N/A not permitted for this mandatory check",IF(AND(TRIM(AC554)&lt;&gt;"",TRIM(AE554)&lt;&gt;"",TRIM(T554)&lt;&gt;""),"N/A – JUSTIFIED","INVALID – N/A needs justification, PIC and verifier")),IF(OR(TRIM(U554)="Pass",TRIM(U554)="Pass after CA"),IF(NOT(ISNUMBER(AD554)),"INVALID – completion time missing",IF(TRIM(T554)="","INVALID – PIC missing",IF(TRIM(Z554)="","INVALID – evidence missing",IF(TRIM(AE554)="","INVALID – verifier missing",IF(AND(AQ554=1,TRIM(W554)=""),"INVALID – batch ID missing",IF(AND(AR554=1,OR(NOT(ISNUMBER(X554)),NOT(ISNUMBER(Y554)))),"INVALID – expected/actual qty missing",IF(IF(AND(TRIM(U554)="Pass",ISNUMBER(AF554)),IF(AF554&lt;&gt;0,"INVALID – qty variance: use Fail or Pass after CA",""),"")&amp;IF(AND(TRIM(U554)="Pass",AB554="Open"),"INVALID – corrective action still open: use Fail, then Pass after CA","")&amp;IF(AND(TRIM(U554)="Pass after CA",OR(TRIM(AA554)="",AB554&lt;&gt;"Closed")),"INVALID – corrective action not recorded/closed","")&lt;&gt;"",IF(AND(TRIM(U554)="Pass",ISNUMBER(AF554)),IF(AF554&lt;&gt;0,"INVALID – qty variance: use Fail or Pass after CA",""),"")&amp;IF(AND(TRIM(U554)="Pass",AB554="Open"),"INVALID – corrective action still open: use Fail, then Pass after CA","")&amp;IF(AND(TRIM(U554)="Pass after CA",OR(TRIM(AA554)="",AB554&lt;&gt;"Closed")),"INVALID – corrective action not recorded/closed",""),IF(AND(AS554=1,Documents!$J$21&lt;&gt;"ON FILE"),"INVALID – GLD not on file (Documents sheet)",IF(AND(AS554=2,Documents!$O$21&lt;&gt;"ON FILE"),"INVALID – menu checklist not on file (Documents sheet)",IF(AND(AS554=3,NOT(ISNUMBER(Flights!$AX$21))),"INVALID – enter carrying flight KUL departure (Flights AX)",IF(AG554&gt;AsOfUTC,"INVALID – completion time is in the future",IF(AND(ISNUMBER(S554),AG554&lt;S554),IF(H554="Physical uplift","INVALID – before uplift window (cannot confirm loading)","INVALID – before valid window"),IF(AG554&gt;Flights!$AA$21,"INVALID – completed after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f>
        <v>OPEN – CLARIFICATION</v>
      </c>
      <c r="AI554" s="61" t="n">
        <f aca="false">IF(OR(AH554="N/A – RULE",AH554="N/A – JUSTIFIED"),0,1)</f>
        <v>1</v>
      </c>
      <c r="AJ554" s="61" t="n">
        <f aca="false">IF(LEFT(AH554,8)="COMPLETE",1,0)</f>
        <v>0</v>
      </c>
      <c r="AK554" s="61" t="n">
        <f aca="false">IF(AND(AI554=1,AJ554=0,AsOfUTC&gt;Q554),1,0)</f>
        <v>0</v>
      </c>
      <c r="AL554" s="61" t="n">
        <f aca="false">IF(AND(AI554=1,OR(TRIM(U554)="Fail",AB554="Open",AND(ISNUMBER(AF554),AF554&lt;&gt;0,TRIM(U554)&lt;&gt;"Pass after CA"))),1,0)</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row>
    <row r="555" customFormat="false" ht="54" hidden="false" customHeight="true" outlineLevel="0" collapsed="false">
      <c r="A555" s="57" t="s">
        <v>1196</v>
      </c>
      <c r="B555" s="57" t="s">
        <v>280</v>
      </c>
      <c r="C555" s="57" t="str">
        <f aca="false">Flights!$F$21</f>
        <v>MH0073</v>
      </c>
      <c r="D555" s="58" t="n">
        <f aca="false">Flights!$D$21</f>
        <v>46322</v>
      </c>
      <c r="E555" s="57" t="str">
        <f aca="false">Flights!$G$21&amp;"-"&amp;Flights!$H$21</f>
        <v>HKG-KUL</v>
      </c>
      <c r="F555" s="57" t="str">
        <f aca="false">Flights!$K$21</f>
        <v>BC</v>
      </c>
      <c r="G555" s="57" t="s">
        <v>383</v>
      </c>
      <c r="H555" s="57" t="s">
        <v>341</v>
      </c>
      <c r="I555" s="57" t="s">
        <v>462</v>
      </c>
      <c r="J555" s="57" t="s">
        <v>481</v>
      </c>
      <c r="K555" s="67" t="s">
        <v>482</v>
      </c>
      <c r="L555" s="67" t="s">
        <v>1197</v>
      </c>
      <c r="M555" s="67" t="s">
        <v>414</v>
      </c>
      <c r="N555" s="67" t="s">
        <v>346</v>
      </c>
      <c r="O555" s="67" t="s">
        <v>1198</v>
      </c>
      <c r="P555" s="57" t="s">
        <v>272</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IF(N555="N/A – rule","N/A – RULE",IF(TRIM(U555)="N/A",IF(AT555=0,"INVALID – N/A not permitted for this mandatory check",IF(AND(TRIM(AC555)&lt;&gt;"",TRIM(AE555)&lt;&gt;"",TRIM(T555)&lt;&gt;""),"N/A – JUSTIFIED","INVALID – N/A needs justification, PIC and verifier")),IF(OR(TRIM(U555)="Pass",TRIM(U555)="Pass after CA"),IF(NOT(ISNUMBER(AD555)),"INVALID – completion time missing",IF(TRIM(T555)="","INVALID – PIC missing",IF(TRIM(Z555)="","INVALID – evidence missing",IF(TRIM(AE555)="","INVALID – verifier missing",IF(AND(AQ555=1,TRIM(W555)=""),"INVALID – batch ID missing",IF(AND(AR555=1,OR(NOT(ISNUMBER(X555)),NOT(ISNUMBER(Y555)))),"INVALID – expected/actual qty missing",IF(IF(AND(TRIM(U555)="Pass",ISNUMBER(AF555)),IF(AF555&lt;&gt;0,"INVALID – qty variance: use Fail or Pass after CA",""),"")&amp;IF(AND(TRIM(U555)="Pass",AB555="Open"),"INVALID – corrective action still open: use Fail, then Pass after CA","")&amp;IF(AND(TRIM(U555)="Pass after CA",OR(TRIM(AA555)="",AB555&lt;&gt;"Closed")),"INVALID – corrective action not recorded/closed","")&lt;&gt;"",IF(AND(TRIM(U555)="Pass",ISNUMBER(AF555)),IF(AF555&lt;&gt;0,"INVALID – qty variance: use Fail or Pass after CA",""),"")&amp;IF(AND(TRIM(U555)="Pass",AB555="Open"),"INVALID – corrective action still open: use Fail, then Pass after CA","")&amp;IF(AND(TRIM(U555)="Pass after CA",OR(TRIM(AA555)="",AB555&lt;&gt;"Closed")),"INVALID – corrective action not recorded/closed",""),IF(AND(AS555=1,Documents!$J$21&lt;&gt;"ON FILE"),"INVALID – GLD not on file (Documents sheet)",IF(AND(AS555=2,Documents!$O$21&lt;&gt;"ON FILE"),"INVALID – menu checklist not on file (Documents sheet)",IF(AND(AS555=3,NOT(ISNUMBER(Flights!$AX$21))),"INVALID – enter carrying flight KUL departure (Flights AX)",IF(AG555&gt;AsOfUTC,"INVALID – completion time is in the future",IF(AND(ISNUMBER(S555),AG555&lt;S555),IF(H555="Physical uplift","INVALID – before uplift window (cannot confirm loading)","INVALID – before valid window"),IF(AG555&gt;Flights!$AA$21,"INVALID – completed after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f>
        <v>OPEN</v>
      </c>
      <c r="AI555" s="61" t="n">
        <f aca="false">IF(OR(AH555="N/A – RULE",AH555="N/A – JUSTIFIED"),0,1)</f>
        <v>1</v>
      </c>
      <c r="AJ555" s="61" t="n">
        <f aca="false">IF(LEFT(AH555,8)="COMPLETE",1,0)</f>
        <v>0</v>
      </c>
      <c r="AK555" s="61" t="n">
        <f aca="false">IF(AND(AI555=1,AJ555=0,AsOfUTC&gt;Q555),1,0)</f>
        <v>0</v>
      </c>
      <c r="AL555" s="61" t="n">
        <f aca="false">IF(AND(AI555=1,OR(TRIM(U555)="Fail",AB555="Open",AND(ISNUMBER(AF555),AF555&lt;&gt;0,TRIM(U555)&lt;&gt;"Pass after CA"))),1,0)</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1</v>
      </c>
    </row>
    <row r="556" customFormat="false" ht="41.25" hidden="false" customHeight="true" outlineLevel="0" collapsed="false">
      <c r="A556" s="57" t="s">
        <v>1199</v>
      </c>
      <c r="B556" s="57" t="s">
        <v>280</v>
      </c>
      <c r="C556" s="57" t="str">
        <f aca="false">Flights!$F$21</f>
        <v>MH0073</v>
      </c>
      <c r="D556" s="58" t="n">
        <f aca="false">Flights!$D$21</f>
        <v>46322</v>
      </c>
      <c r="E556" s="57" t="str">
        <f aca="false">Flights!$G$21&amp;"-"&amp;Flights!$H$21</f>
        <v>HKG-KUL</v>
      </c>
      <c r="F556" s="57" t="str">
        <f aca="false">Flights!$K$21</f>
        <v>BC</v>
      </c>
      <c r="G556" s="57" t="s">
        <v>383</v>
      </c>
      <c r="H556" s="57" t="s">
        <v>341</v>
      </c>
      <c r="I556" s="57" t="s">
        <v>462</v>
      </c>
      <c r="J556" s="57" t="s">
        <v>486</v>
      </c>
      <c r="K556" s="67" t="s">
        <v>464</v>
      </c>
      <c r="L556" s="67" t="s">
        <v>1200</v>
      </c>
      <c r="M556" s="67" t="s">
        <v>414</v>
      </c>
      <c r="N556" s="67" t="s">
        <v>346</v>
      </c>
      <c r="O556" s="67" t="s">
        <v>1186</v>
      </c>
      <c r="P556" s="57" t="s">
        <v>272</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IF(N556="N/A – rule","N/A – RULE",IF(TRIM(U556)="N/A",IF(AT556=0,"INVALID – N/A not permitted for this mandatory check",IF(AND(TRIM(AC556)&lt;&gt;"",TRIM(AE556)&lt;&gt;"",TRIM(T556)&lt;&gt;""),"N/A – JUSTIFIED","INVALID – N/A needs justification, PIC and verifier")),IF(OR(TRIM(U556)="Pass",TRIM(U556)="Pass after CA"),IF(NOT(ISNUMBER(AD556)),"INVALID – completion time missing",IF(TRIM(T556)="","INVALID – PIC missing",IF(TRIM(Z556)="","INVALID – evidence missing",IF(TRIM(AE556)="","INVALID – verifier missing",IF(AND(AQ556=1,TRIM(W556)=""),"INVALID – batch ID missing",IF(AND(AR556=1,OR(NOT(ISNUMBER(X556)),NOT(ISNUMBER(Y556)))),"INVALID – expected/actual qty missing",IF(IF(AND(TRIM(U556)="Pass",ISNUMBER(AF556)),IF(AF556&lt;&gt;0,"INVALID – qty variance: use Fail or Pass after CA",""),"")&amp;IF(AND(TRIM(U556)="Pass",AB556="Open"),"INVALID – corrective action still open: use Fail, then Pass after CA","")&amp;IF(AND(TRIM(U556)="Pass after CA",OR(TRIM(AA556)="",AB556&lt;&gt;"Closed")),"INVALID – corrective action not recorded/closed","")&lt;&gt;"",IF(AND(TRIM(U556)="Pass",ISNUMBER(AF556)),IF(AF556&lt;&gt;0,"INVALID – qty variance: use Fail or Pass after CA",""),"")&amp;IF(AND(TRIM(U556)="Pass",AB556="Open"),"INVALID – corrective action still open: use Fail, then Pass after CA","")&amp;IF(AND(TRIM(U556)="Pass after CA",OR(TRIM(AA556)="",AB556&lt;&gt;"Closed")),"INVALID – corrective action not recorded/closed",""),IF(AND(AS556=1,Documents!$J$21&lt;&gt;"ON FILE"),"INVALID – GLD not on file (Documents sheet)",IF(AND(AS556=2,Documents!$O$21&lt;&gt;"ON FILE"),"INVALID – menu checklist not on file (Documents sheet)",IF(AND(AS556=3,NOT(ISNUMBER(Flights!$AX$21))),"INVALID – enter carrying flight KUL departure (Flights AX)",IF(AG556&gt;AsOfUTC,"INVALID – completion time is in the future",IF(AND(ISNUMBER(S556),AG556&lt;S556),IF(H556="Physical uplift","INVALID – before uplift window (cannot confirm loading)","INVALID – before valid window"),IF(AG556&gt;Flights!$AA$21,"INVALID – completed after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f>
        <v>OPEN</v>
      </c>
      <c r="AI556" s="61" t="n">
        <f aca="false">IF(OR(AH556="N/A – RULE",AH556="N/A – JUSTIFIED"),0,1)</f>
        <v>1</v>
      </c>
      <c r="AJ556" s="61" t="n">
        <f aca="false">IF(LEFT(AH556,8)="COMPLETE",1,0)</f>
        <v>0</v>
      </c>
      <c r="AK556" s="61" t="n">
        <f aca="false">IF(AND(AI556=1,AJ556=0,AsOfUTC&gt;Q556),1,0)</f>
        <v>0</v>
      </c>
      <c r="AL556" s="61" t="n">
        <f aca="false">IF(AND(AI556=1,OR(TRIM(U556)="Fail",AB556="Open",AND(ISNUMBER(AF556),AF556&lt;&gt;0,TRIM(U556)&lt;&gt;"Pass after CA"))),1,0)</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1</v>
      </c>
    </row>
    <row r="557" customFormat="false" ht="41.25" hidden="false" customHeight="true" outlineLevel="0" collapsed="false">
      <c r="A557" s="57" t="s">
        <v>1201</v>
      </c>
      <c r="B557" s="57" t="s">
        <v>280</v>
      </c>
      <c r="C557" s="57" t="str">
        <f aca="false">Flights!$F$21</f>
        <v>MH0073</v>
      </c>
      <c r="D557" s="58" t="n">
        <f aca="false">Flights!$D$21</f>
        <v>46322</v>
      </c>
      <c r="E557" s="57" t="str">
        <f aca="false">Flights!$G$21&amp;"-"&amp;Flights!$H$21</f>
        <v>HKG-KUL</v>
      </c>
      <c r="F557" s="57" t="str">
        <f aca="false">Flights!$K$21</f>
        <v>BC</v>
      </c>
      <c r="G557" s="57" t="s">
        <v>383</v>
      </c>
      <c r="H557" s="57" t="s">
        <v>341</v>
      </c>
      <c r="I557" s="57" t="s">
        <v>410</v>
      </c>
      <c r="J557" s="57" t="s">
        <v>489</v>
      </c>
      <c r="K557" s="67" t="s">
        <v>412</v>
      </c>
      <c r="L557" s="67" t="s">
        <v>1202</v>
      </c>
      <c r="M557" s="67" t="s">
        <v>414</v>
      </c>
      <c r="N557" s="67" t="s">
        <v>346</v>
      </c>
      <c r="O557" s="67" t="s">
        <v>1186</v>
      </c>
      <c r="P557" s="57" t="s">
        <v>272</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IF(N557="N/A – rule","N/A – RULE",IF(TRIM(U557)="N/A",IF(AT557=0,"INVALID – N/A not permitted for this mandatory check",IF(AND(TRIM(AC557)&lt;&gt;"",TRIM(AE557)&lt;&gt;"",TRIM(T557)&lt;&gt;""),"N/A – JUSTIFIED","INVALID – N/A needs justification, PIC and verifier")),IF(OR(TRIM(U557)="Pass",TRIM(U557)="Pass after CA"),IF(NOT(ISNUMBER(AD557)),"INVALID – completion time missing",IF(TRIM(T557)="","INVALID – PIC missing",IF(TRIM(Z557)="","INVALID – evidence missing",IF(TRIM(AE557)="","INVALID – verifier missing",IF(AND(AQ557=1,TRIM(W557)=""),"INVALID – batch ID missing",IF(AND(AR557=1,OR(NOT(ISNUMBER(X557)),NOT(ISNUMBER(Y557)))),"INVALID – expected/actual qty missing",IF(IF(AND(TRIM(U557)="Pass",ISNUMBER(AF557)),IF(AF557&lt;&gt;0,"INVALID – qty variance: use Fail or Pass after CA",""),"")&amp;IF(AND(TRIM(U557)="Pass",AB557="Open"),"INVALID – corrective action still open: use Fail, then Pass after CA","")&amp;IF(AND(TRIM(U557)="Pass after CA",OR(TRIM(AA557)="",AB557&lt;&gt;"Closed")),"INVALID – corrective action not recorded/closed","")&lt;&gt;"",IF(AND(TRIM(U557)="Pass",ISNUMBER(AF557)),IF(AF557&lt;&gt;0,"INVALID – qty variance: use Fail or Pass after CA",""),"")&amp;IF(AND(TRIM(U557)="Pass",AB557="Open"),"INVALID – corrective action still open: use Fail, then Pass after CA","")&amp;IF(AND(TRIM(U557)="Pass after CA",OR(TRIM(AA557)="",AB557&lt;&gt;"Closed")),"INVALID – corrective action not recorded/closed",""),IF(AND(AS557=1,Documents!$J$21&lt;&gt;"ON FILE"),"INVALID – GLD not on file (Documents sheet)",IF(AND(AS557=2,Documents!$O$21&lt;&gt;"ON FILE"),"INVALID – menu checklist not on file (Documents sheet)",IF(AND(AS557=3,NOT(ISNUMBER(Flights!$AX$21))),"INVALID – enter carrying flight KUL departure (Flights AX)",IF(AG557&gt;AsOfUTC,"INVALID – completion time is in the future",IF(AND(ISNUMBER(S557),AG557&lt;S557),IF(H557="Physical uplift","INVALID – before uplift window (cannot confirm loading)","INVALID – before valid window"),IF(AG557&gt;Flights!$AA$21,"INVALID – completed after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f>
        <v>OPEN</v>
      </c>
      <c r="AI557" s="61" t="n">
        <f aca="false">IF(OR(AH557="N/A – RULE",AH557="N/A – JUSTIFIED"),0,1)</f>
        <v>1</v>
      </c>
      <c r="AJ557" s="61" t="n">
        <f aca="false">IF(LEFT(AH557,8)="COMPLETE",1,0)</f>
        <v>0</v>
      </c>
      <c r="AK557" s="61" t="n">
        <f aca="false">IF(AND(AI557=1,AJ557=0,AsOfUTC&gt;Q557),1,0)</f>
        <v>0</v>
      </c>
      <c r="AL557" s="61" t="n">
        <f aca="false">IF(AND(AI557=1,OR(TRIM(U557)="Fail",AB557="Open",AND(ISNUMBER(AF557),AF557&lt;&gt;0,TRIM(U557)&lt;&gt;"Pass after CA"))),1,0)</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1</v>
      </c>
    </row>
    <row r="558" customFormat="false" ht="41.25" hidden="false" customHeight="true" outlineLevel="0" collapsed="false">
      <c r="A558" s="57" t="s">
        <v>1203</v>
      </c>
      <c r="B558" s="57" t="s">
        <v>280</v>
      </c>
      <c r="C558" s="57" t="str">
        <f aca="false">Flights!$F$21</f>
        <v>MH0073</v>
      </c>
      <c r="D558" s="58" t="n">
        <f aca="false">Flights!$D$21</f>
        <v>46322</v>
      </c>
      <c r="E558" s="57" t="str">
        <f aca="false">Flights!$G$21&amp;"-"&amp;Flights!$H$21</f>
        <v>HKG-KUL</v>
      </c>
      <c r="F558" s="57" t="str">
        <f aca="false">Flights!$K$21</f>
        <v>BC</v>
      </c>
      <c r="G558" s="57" t="s">
        <v>383</v>
      </c>
      <c r="H558" s="57" t="s">
        <v>341</v>
      </c>
      <c r="I558" s="57" t="s">
        <v>410</v>
      </c>
      <c r="J558" s="57" t="s">
        <v>492</v>
      </c>
      <c r="K558" s="67" t="s">
        <v>412</v>
      </c>
      <c r="L558" s="67" t="s">
        <v>1204</v>
      </c>
      <c r="M558" s="67" t="s">
        <v>414</v>
      </c>
      <c r="N558" s="67" t="s">
        <v>346</v>
      </c>
      <c r="O558" s="67" t="s">
        <v>1186</v>
      </c>
      <c r="P558" s="57" t="s">
        <v>272</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IF(N558="N/A – rule","N/A – RULE",IF(TRIM(U558)="N/A",IF(AT558=0,"INVALID – N/A not permitted for this mandatory check",IF(AND(TRIM(AC558)&lt;&gt;"",TRIM(AE558)&lt;&gt;"",TRIM(T558)&lt;&gt;""),"N/A – JUSTIFIED","INVALID – N/A needs justification, PIC and verifier")),IF(OR(TRIM(U558)="Pass",TRIM(U558)="Pass after CA"),IF(NOT(ISNUMBER(AD558)),"INVALID – completion time missing",IF(TRIM(T558)="","INVALID – PIC missing",IF(TRIM(Z558)="","INVALID – evidence missing",IF(TRIM(AE558)="","INVALID – verifier missing",IF(AND(AQ558=1,TRIM(W558)=""),"INVALID – batch ID missing",IF(AND(AR558=1,OR(NOT(ISNUMBER(X558)),NOT(ISNUMBER(Y558)))),"INVALID – expected/actual qty missing",IF(IF(AND(TRIM(U558)="Pass",ISNUMBER(AF558)),IF(AF558&lt;&gt;0,"INVALID – qty variance: use Fail or Pass after CA",""),"")&amp;IF(AND(TRIM(U558)="Pass",AB558="Open"),"INVALID – corrective action still open: use Fail, then Pass after CA","")&amp;IF(AND(TRIM(U558)="Pass after CA",OR(TRIM(AA558)="",AB558&lt;&gt;"Closed")),"INVALID – corrective action not recorded/closed","")&lt;&gt;"",IF(AND(TRIM(U558)="Pass",ISNUMBER(AF558)),IF(AF558&lt;&gt;0,"INVALID – qty variance: use Fail or Pass after CA",""),"")&amp;IF(AND(TRIM(U558)="Pass",AB558="Open"),"INVALID – corrective action still open: use Fail, then Pass after CA","")&amp;IF(AND(TRIM(U558)="Pass after CA",OR(TRIM(AA558)="",AB558&lt;&gt;"Closed")),"INVALID – corrective action not recorded/closed",""),IF(AND(AS558=1,Documents!$J$21&lt;&gt;"ON FILE"),"INVALID – GLD not on file (Documents sheet)",IF(AND(AS558=2,Documents!$O$21&lt;&gt;"ON FILE"),"INVALID – menu checklist not on file (Documents sheet)",IF(AND(AS558=3,NOT(ISNUMBER(Flights!$AX$21))),"INVALID – enter carrying flight KUL departure (Flights AX)",IF(AG558&gt;AsOfUTC,"INVALID – completion time is in the future",IF(AND(ISNUMBER(S558),AG558&lt;S558),IF(H558="Physical uplift","INVALID – before uplift window (cannot confirm loading)","INVALID – before valid window"),IF(AG558&gt;Flights!$AA$21,"INVALID – completed after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f>
        <v>OPEN</v>
      </c>
      <c r="AI558" s="61" t="n">
        <f aca="false">IF(OR(AH558="N/A – RULE",AH558="N/A – JUSTIFIED"),0,1)</f>
        <v>1</v>
      </c>
      <c r="AJ558" s="61" t="n">
        <f aca="false">IF(LEFT(AH558,8)="COMPLETE",1,0)</f>
        <v>0</v>
      </c>
      <c r="AK558" s="61" t="n">
        <f aca="false">IF(AND(AI558=1,AJ558=0,AsOfUTC&gt;Q558),1,0)</f>
        <v>0</v>
      </c>
      <c r="AL558" s="61" t="n">
        <f aca="false">IF(AND(AI558=1,OR(TRIM(U558)="Fail",AB558="Open",AND(ISNUMBER(AF558),AF558&lt;&gt;0,TRIM(U558)&lt;&gt;"Pass after CA"))),1,0)</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1</v>
      </c>
    </row>
    <row r="559" customFormat="false" ht="91.5" hidden="false" customHeight="true" outlineLevel="0" collapsed="false">
      <c r="A559" s="57" t="s">
        <v>1205</v>
      </c>
      <c r="B559" s="57" t="s">
        <v>280</v>
      </c>
      <c r="C559" s="57" t="str">
        <f aca="false">Flights!$F$21</f>
        <v>MH0073</v>
      </c>
      <c r="D559" s="58" t="n">
        <f aca="false">Flights!$D$21</f>
        <v>46322</v>
      </c>
      <c r="E559" s="57" t="str">
        <f aca="false">Flights!$G$21&amp;"-"&amp;Flights!$H$21</f>
        <v>HKG-KUL</v>
      </c>
      <c r="F559" s="57" t="str">
        <f aca="false">Flights!$K$21</f>
        <v>BC</v>
      </c>
      <c r="G559" s="57" t="s">
        <v>383</v>
      </c>
      <c r="H559" s="57" t="s">
        <v>341</v>
      </c>
      <c r="I559" s="57" t="s">
        <v>597</v>
      </c>
      <c r="J559" s="57" t="s">
        <v>1146</v>
      </c>
      <c r="K559" s="67" t="s">
        <v>1147</v>
      </c>
      <c r="L559" s="67" t="s">
        <v>1148</v>
      </c>
      <c r="M559" s="67" t="s">
        <v>414</v>
      </c>
      <c r="N559" s="67" t="s">
        <v>407</v>
      </c>
      <c r="O559" s="67" t="s">
        <v>1206</v>
      </c>
      <c r="P559" s="57" t="s">
        <v>272</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IF(N559="N/A – rule","N/A – RULE",IF(TRIM(U559)="N/A",IF(AT559=0,"INVALID – N/A not permitted for this mandatory check",IF(AND(TRIM(AC559)&lt;&gt;"",TRIM(AE559)&lt;&gt;"",TRIM(T559)&lt;&gt;""),"N/A – JUSTIFIED","INVALID – N/A needs justification, PIC and verifier")),IF(OR(TRIM(U559)="Pass",TRIM(U559)="Pass after CA"),IF(NOT(ISNUMBER(AD559)),"INVALID – completion time missing",IF(TRIM(T559)="","INVALID – PIC missing",IF(TRIM(Z559)="","INVALID – evidence missing",IF(TRIM(AE559)="","INVALID – verifier missing",IF(AND(AQ559=1,TRIM(W559)=""),"INVALID – batch ID missing",IF(AND(AR559=1,OR(NOT(ISNUMBER(X559)),NOT(ISNUMBER(Y559)))),"INVALID – expected/actual qty missing",IF(IF(AND(TRIM(U559)="Pass",ISNUMBER(AF559)),IF(AF559&lt;&gt;0,"INVALID – qty variance: use Fail or Pass after CA",""),"")&amp;IF(AND(TRIM(U559)="Pass",AB559="Open"),"INVALID – corrective action still open: use Fail, then Pass after CA","")&amp;IF(AND(TRIM(U559)="Pass after CA",OR(TRIM(AA559)="",AB559&lt;&gt;"Closed")),"INVALID – corrective action not recorded/closed","")&lt;&gt;"",IF(AND(TRIM(U559)="Pass",ISNUMBER(AF559)),IF(AF559&lt;&gt;0,"INVALID – qty variance: use Fail or Pass after CA",""),"")&amp;IF(AND(TRIM(U559)="Pass",AB559="Open"),"INVALID – corrective action still open: use Fail, then Pass after CA","")&amp;IF(AND(TRIM(U559)="Pass after CA",OR(TRIM(AA559)="",AB559&lt;&gt;"Closed")),"INVALID – corrective action not recorded/closed",""),IF(AND(AS559=1,Documents!$J$21&lt;&gt;"ON FILE"),"INVALID – GLD not on file (Documents sheet)",IF(AND(AS559=2,Documents!$O$21&lt;&gt;"ON FILE"),"INVALID – menu checklist not on file (Documents sheet)",IF(AND(AS559=3,NOT(ISNUMBER(Flights!$AX$21))),"INVALID – enter carrying flight KUL departure (Flights AX)",IF(AG559&gt;AsOfUTC,"INVALID – completion time is in the future",IF(AND(ISNUMBER(S559),AG559&lt;S559),IF(H559="Physical uplift","INVALID – before uplift window (cannot confirm loading)","INVALID – before valid window"),IF(AG559&gt;Flights!$AA$21,"INVALID – completed after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f>
        <v>OPEN – CLARIFICATION</v>
      </c>
      <c r="AI559" s="61" t="n">
        <f aca="false">IF(OR(AH559="N/A – RULE",AH559="N/A – JUSTIFIED"),0,1)</f>
        <v>1</v>
      </c>
      <c r="AJ559" s="61" t="n">
        <f aca="false">IF(LEFT(AH559,8)="COMPLETE",1,0)</f>
        <v>0</v>
      </c>
      <c r="AK559" s="61" t="n">
        <f aca="false">IF(AND(AI559=1,AJ559=0,AsOfUTC&gt;Q559),1,0)</f>
        <v>0</v>
      </c>
      <c r="AL559" s="61" t="n">
        <f aca="false">IF(AND(AI559=1,OR(TRIM(U559)="Fail",AB559="Open",AND(ISNUMBER(AF559),AF559&lt;&gt;0,TRIM(U559)&lt;&gt;"Pass after CA"))),1,0)</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row>
    <row r="560" customFormat="false" ht="39.75" hidden="false" customHeight="true" outlineLevel="0" collapsed="false">
      <c r="A560" s="57" t="s">
        <v>1207</v>
      </c>
      <c r="B560" s="57" t="s">
        <v>280</v>
      </c>
      <c r="C560" s="57" t="str">
        <f aca="false">Flights!$F$21</f>
        <v>MH0073</v>
      </c>
      <c r="D560" s="58" t="n">
        <f aca="false">Flights!$D$21</f>
        <v>46322</v>
      </c>
      <c r="E560" s="57" t="str">
        <f aca="false">Flights!$G$21&amp;"-"&amp;Flights!$H$21</f>
        <v>HKG-KUL</v>
      </c>
      <c r="F560" s="57" t="str">
        <f aca="false">Flights!$K$21</f>
        <v>BC</v>
      </c>
      <c r="G560" s="57" t="s">
        <v>422</v>
      </c>
      <c r="H560" s="57" t="s">
        <v>423</v>
      </c>
      <c r="I560" s="57" t="s">
        <v>342</v>
      </c>
      <c r="J560" s="57" t="s">
        <v>424</v>
      </c>
      <c r="K560" s="67" t="s">
        <v>389</v>
      </c>
      <c r="L560" s="67" t="s">
        <v>425</v>
      </c>
      <c r="M560" s="67"/>
      <c r="N560" s="67" t="s">
        <v>346</v>
      </c>
      <c r="O560" s="67" t="s">
        <v>426</v>
      </c>
      <c r="P560" s="57" t="s">
        <v>272</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IF(N560="N/A – rule","N/A – RULE",IF(TRIM(U560)="N/A",IF(AT560=0,"INVALID – N/A not permitted for this mandatory check",IF(AND(TRIM(AC560)&lt;&gt;"",TRIM(AE560)&lt;&gt;"",TRIM(T560)&lt;&gt;""),"N/A – JUSTIFIED","INVALID – N/A needs justification, PIC and verifier")),IF(OR(TRIM(U560)="Pass",TRIM(U560)="Pass after CA"),IF(NOT(ISNUMBER(AD560)),"INVALID – completion time missing",IF(TRIM(T560)="","INVALID – PIC missing",IF(TRIM(Z560)="","INVALID – evidence missing",IF(TRIM(AE560)="","INVALID – verifier missing",IF(AND(AQ560=1,TRIM(W560)=""),"INVALID – batch ID missing",IF(AND(AR560=1,OR(NOT(ISNUMBER(X560)),NOT(ISNUMBER(Y560)))),"INVALID – expected/actual qty missing",IF(IF(AND(TRIM(U560)="Pass",ISNUMBER(AF560)),IF(AF560&lt;&gt;0,"INVALID – qty variance: use Fail or Pass after CA",""),"")&amp;IF(AND(TRIM(U560)="Pass",AB560="Open"),"INVALID – corrective action still open: use Fail, then Pass after CA","")&amp;IF(AND(TRIM(U560)="Pass after CA",OR(TRIM(AA560)="",AB560&lt;&gt;"Closed")),"INVALID – corrective action not recorded/closed","")&lt;&gt;"",IF(AND(TRIM(U560)="Pass",ISNUMBER(AF560)),IF(AF560&lt;&gt;0,"INVALID – qty variance: use Fail or Pass after CA",""),"")&amp;IF(AND(TRIM(U560)="Pass",AB560="Open"),"INVALID – corrective action still open: use Fail, then Pass after CA","")&amp;IF(AND(TRIM(U560)="Pass after CA",OR(TRIM(AA560)="",AB560&lt;&gt;"Closed")),"INVALID – corrective action not recorded/closed",""),IF(AND(AS560=1,Documents!$J$21&lt;&gt;"ON FILE"),"INVALID – GLD not on file (Documents sheet)",IF(AND(AS560=2,Documents!$O$21&lt;&gt;"ON FILE"),"INVALID – menu checklist not on file (Documents sheet)",IF(AND(AS560=3,NOT(ISNUMBER(Flights!$AX$21))),"INVALID – enter carrying flight KUL departure (Flights AX)",IF(AG560&gt;AsOfUTC,"INVALID – completion time is in the future",IF(AND(ISNUMBER(S560),AG560&lt;S560),IF(H560="Physical uplift","INVALID – before uplift window (cannot confirm loading)","INVALID – before valid window"),IF(AG560&gt;Flights!$AA$21,"INVALID – completed after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f>
        <v>OPEN</v>
      </c>
      <c r="AI560" s="61" t="n">
        <f aca="false">IF(OR(AH560="N/A – RULE",AH560="N/A – JUSTIFIED"),0,1)</f>
        <v>1</v>
      </c>
      <c r="AJ560" s="61" t="n">
        <f aca="false">IF(LEFT(AH560,8)="COMPLETE",1,0)</f>
        <v>0</v>
      </c>
      <c r="AK560" s="61" t="n">
        <f aca="false">IF(AND(AI560=1,AJ560=0,AsOfUTC&gt;Q560),1,0)</f>
        <v>0</v>
      </c>
      <c r="AL560" s="61" t="n">
        <f aca="false">IF(AND(AI560=1,OR(TRIM(U560)="Fail",AB560="Open",AND(ISNUMBER(AF560),AF560&lt;&gt;0,TRIM(U560)&lt;&gt;"Pass after CA"))),1,0)</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row>
    <row r="561" customFormat="false" ht="39.75" hidden="false" customHeight="true" outlineLevel="0" collapsed="false">
      <c r="A561" s="57" t="s">
        <v>1208</v>
      </c>
      <c r="B561" s="57" t="s">
        <v>280</v>
      </c>
      <c r="C561" s="57" t="str">
        <f aca="false">Flights!$F$21</f>
        <v>MH0073</v>
      </c>
      <c r="D561" s="58" t="n">
        <f aca="false">Flights!$D$21</f>
        <v>46322</v>
      </c>
      <c r="E561" s="57" t="str">
        <f aca="false">Flights!$G$21&amp;"-"&amp;Flights!$H$21</f>
        <v>HKG-KUL</v>
      </c>
      <c r="F561" s="57" t="str">
        <f aca="false">Flights!$K$21</f>
        <v>BC</v>
      </c>
      <c r="G561" s="57" t="s">
        <v>422</v>
      </c>
      <c r="H561" s="57" t="s">
        <v>423</v>
      </c>
      <c r="I561" s="57" t="s">
        <v>391</v>
      </c>
      <c r="J561" s="57" t="s">
        <v>428</v>
      </c>
      <c r="K561" s="67" t="s">
        <v>389</v>
      </c>
      <c r="L561" s="67" t="s">
        <v>425</v>
      </c>
      <c r="M561" s="67"/>
      <c r="N561" s="67" t="s">
        <v>346</v>
      </c>
      <c r="O561" s="67" t="s">
        <v>426</v>
      </c>
      <c r="P561" s="57" t="s">
        <v>272</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IF(N561="N/A – rule","N/A – RULE",IF(TRIM(U561)="N/A",IF(AT561=0,"INVALID – N/A not permitted for this mandatory check",IF(AND(TRIM(AC561)&lt;&gt;"",TRIM(AE561)&lt;&gt;"",TRIM(T561)&lt;&gt;""),"N/A – JUSTIFIED","INVALID – N/A needs justification, PIC and verifier")),IF(OR(TRIM(U561)="Pass",TRIM(U561)="Pass after CA"),IF(NOT(ISNUMBER(AD561)),"INVALID – completion time missing",IF(TRIM(T561)="","INVALID – PIC missing",IF(TRIM(Z561)="","INVALID – evidence missing",IF(TRIM(AE561)="","INVALID – verifier missing",IF(AND(AQ561=1,TRIM(W561)=""),"INVALID – batch ID missing",IF(AND(AR561=1,OR(NOT(ISNUMBER(X561)),NOT(ISNUMBER(Y561)))),"INVALID – expected/actual qty missing",IF(IF(AND(TRIM(U561)="Pass",ISNUMBER(AF561)),IF(AF561&lt;&gt;0,"INVALID – qty variance: use Fail or Pass after CA",""),"")&amp;IF(AND(TRIM(U561)="Pass",AB561="Open"),"INVALID – corrective action still open: use Fail, then Pass after CA","")&amp;IF(AND(TRIM(U561)="Pass after CA",OR(TRIM(AA561)="",AB561&lt;&gt;"Closed")),"INVALID – corrective action not recorded/closed","")&lt;&gt;"",IF(AND(TRIM(U561)="Pass",ISNUMBER(AF561)),IF(AF561&lt;&gt;0,"INVALID – qty variance: use Fail or Pass after CA",""),"")&amp;IF(AND(TRIM(U561)="Pass",AB561="Open"),"INVALID – corrective action still open: use Fail, then Pass after CA","")&amp;IF(AND(TRIM(U561)="Pass after CA",OR(TRIM(AA561)="",AB561&lt;&gt;"Closed")),"INVALID – corrective action not recorded/closed",""),IF(AND(AS561=1,Documents!$J$21&lt;&gt;"ON FILE"),"INVALID – GLD not on file (Documents sheet)",IF(AND(AS561=2,Documents!$O$21&lt;&gt;"ON FILE"),"INVALID – menu checklist not on file (Documents sheet)",IF(AND(AS561=3,NOT(ISNUMBER(Flights!$AX$21))),"INVALID – enter carrying flight KUL departure (Flights AX)",IF(AG561&gt;AsOfUTC,"INVALID – completion time is in the future",IF(AND(ISNUMBER(S561),AG561&lt;S561),IF(H561="Physical uplift","INVALID – before uplift window (cannot confirm loading)","INVALID – before valid window"),IF(AG561&gt;Flights!$AA$21,"INVALID – completed after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f>
        <v>OPEN</v>
      </c>
      <c r="AI561" s="61" t="n">
        <f aca="false">IF(OR(AH561="N/A – RULE",AH561="N/A – JUSTIFIED"),0,1)</f>
        <v>1</v>
      </c>
      <c r="AJ561" s="61" t="n">
        <f aca="false">IF(LEFT(AH561,8)="COMPLETE",1,0)</f>
        <v>0</v>
      </c>
      <c r="AK561" s="61" t="n">
        <f aca="false">IF(AND(AI561=1,AJ561=0,AsOfUTC&gt;Q561),1,0)</f>
        <v>0</v>
      </c>
      <c r="AL561" s="61" t="n">
        <f aca="false">IF(AND(AI561=1,OR(TRIM(U561)="Fail",AB561="Open",AND(ISNUMBER(AF561),AF561&lt;&gt;0,TRIM(U561)&lt;&gt;"Pass after CA"))),1,0)</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row>
    <row r="562" customFormat="false" ht="41.25" hidden="false" customHeight="true" outlineLevel="0" collapsed="false">
      <c r="A562" s="57" t="s">
        <v>1209</v>
      </c>
      <c r="B562" s="57" t="s">
        <v>280</v>
      </c>
      <c r="C562" s="57" t="str">
        <f aca="false">Flights!$F$21</f>
        <v>MH0073</v>
      </c>
      <c r="D562" s="58" t="n">
        <f aca="false">Flights!$D$21</f>
        <v>46322</v>
      </c>
      <c r="E562" s="57" t="str">
        <f aca="false">Flights!$G$21&amp;"-"&amp;Flights!$H$21</f>
        <v>HKG-KUL</v>
      </c>
      <c r="F562" s="57" t="str">
        <f aca="false">Flights!$K$21</f>
        <v>BC</v>
      </c>
      <c r="G562" s="57" t="s">
        <v>422</v>
      </c>
      <c r="H562" s="57" t="s">
        <v>423</v>
      </c>
      <c r="I562" s="57" t="s">
        <v>374</v>
      </c>
      <c r="J562" s="57" t="s">
        <v>1210</v>
      </c>
      <c r="K562" s="67" t="s">
        <v>1211</v>
      </c>
      <c r="L562" s="67" t="s">
        <v>662</v>
      </c>
      <c r="M562" s="67"/>
      <c r="N562" s="67" t="s">
        <v>346</v>
      </c>
      <c r="O562" s="67" t="s">
        <v>663</v>
      </c>
      <c r="P562" s="57" t="s">
        <v>177</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IF(N562="N/A – rule","N/A – RULE",IF(TRIM(U562)="N/A",IF(AT562=0,"INVALID – N/A not permitted for this mandatory check",IF(AND(TRIM(AC562)&lt;&gt;"",TRIM(AE562)&lt;&gt;"",TRIM(T562)&lt;&gt;""),"N/A – JUSTIFIED","INVALID – N/A needs justification, PIC and verifier")),IF(OR(TRIM(U562)="Pass",TRIM(U562)="Pass after CA"),IF(NOT(ISNUMBER(AD562)),"INVALID – completion time missing",IF(TRIM(T562)="","INVALID – PIC missing",IF(TRIM(Z562)="","INVALID – evidence missing",IF(TRIM(AE562)="","INVALID – verifier missing",IF(AND(AQ562=1,TRIM(W562)=""),"INVALID – batch ID missing",IF(AND(AR562=1,OR(NOT(ISNUMBER(X562)),NOT(ISNUMBER(Y562)))),"INVALID – expected/actual qty missing",IF(IF(AND(TRIM(U562)="Pass",ISNUMBER(AF562)),IF(AF562&lt;&gt;0,"INVALID – qty variance: use Fail or Pass after CA",""),"")&amp;IF(AND(TRIM(U562)="Pass",AB562="Open"),"INVALID – corrective action still open: use Fail, then Pass after CA","")&amp;IF(AND(TRIM(U562)="Pass after CA",OR(TRIM(AA562)="",AB562&lt;&gt;"Closed")),"INVALID – corrective action not recorded/closed","")&lt;&gt;"",IF(AND(TRIM(U562)="Pass",ISNUMBER(AF562)),IF(AF562&lt;&gt;0,"INVALID – qty variance: use Fail or Pass after CA",""),"")&amp;IF(AND(TRIM(U562)="Pass",AB562="Open"),"INVALID – corrective action still open: use Fail, then Pass after CA","")&amp;IF(AND(TRIM(U562)="Pass after CA",OR(TRIM(AA562)="",AB562&lt;&gt;"Closed")),"INVALID – corrective action not recorded/closed",""),IF(AND(AS562=1,Documents!$J$21&lt;&gt;"ON FILE"),"INVALID – GLD not on file (Documents sheet)",IF(AND(AS562=2,Documents!$O$21&lt;&gt;"ON FILE"),"INVALID – menu checklist not on file (Documents sheet)",IF(AND(AS562=3,NOT(ISNUMBER(Flights!$AX$21))),"INVALID – enter carrying flight KUL departure (Flights AX)",IF(AG562&gt;AsOfUTC,"INVALID – completion time is in the future",IF(AND(ISNUMBER(S562),AG562&lt;S562),IF(H562="Physical uplift","INVALID – before uplift window (cannot confirm loading)","INVALID – before valid window"),IF(AG562&gt;Flights!$AA$21,"INVALID – completed after departure (cannot establish readiness)",IF(AND(H562="Physical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f>
        <v>OPEN</v>
      </c>
      <c r="AI562" s="61" t="n">
        <f aca="false">IF(OR(AH562="N/A – RULE",AH562="N/A – JUSTIFIED"),0,1)</f>
        <v>1</v>
      </c>
      <c r="AJ562" s="61" t="n">
        <f aca="false">IF(LEFT(AH562,8)="COMPLETE",1,0)</f>
        <v>0</v>
      </c>
      <c r="AK562" s="61" t="n">
        <f aca="false">IF(AND(AI562=1,AJ562=0,AsOfUTC&gt;Q562),1,0)</f>
        <v>0</v>
      </c>
      <c r="AL562" s="61" t="n">
        <f aca="false">IF(AND(AI562=1,OR(TRIM(U562)="Fail",AB562="Open",AND(ISNUMBER(AF562),AF562&lt;&gt;0,TRIM(U562)&lt;&gt;"Pass after CA"))),1,0)</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row>
    <row r="563" customFormat="false" ht="39.75" hidden="false" customHeight="true" outlineLevel="0" collapsed="false">
      <c r="A563" s="57" t="s">
        <v>1212</v>
      </c>
      <c r="B563" s="57" t="s">
        <v>280</v>
      </c>
      <c r="C563" s="57" t="str">
        <f aca="false">Flights!$F$21</f>
        <v>MH0073</v>
      </c>
      <c r="D563" s="58" t="n">
        <f aca="false">Flights!$D$21</f>
        <v>46322</v>
      </c>
      <c r="E563" s="57" t="str">
        <f aca="false">Flights!$G$21&amp;"-"&amp;Flights!$H$21</f>
        <v>HKG-KUL</v>
      </c>
      <c r="F563" s="57" t="str">
        <f aca="false">Flights!$K$21</f>
        <v>BC</v>
      </c>
      <c r="G563" s="57" t="s">
        <v>422</v>
      </c>
      <c r="H563" s="57" t="s">
        <v>423</v>
      </c>
      <c r="I563" s="57" t="s">
        <v>403</v>
      </c>
      <c r="J563" s="57" t="s">
        <v>1213</v>
      </c>
      <c r="K563" s="67" t="s">
        <v>464</v>
      </c>
      <c r="L563" s="67" t="s">
        <v>1182</v>
      </c>
      <c r="M563" s="67" t="s">
        <v>177</v>
      </c>
      <c r="N563" s="67" t="s">
        <v>346</v>
      </c>
      <c r="O563" s="67"/>
      <c r="P563" s="57" t="s">
        <v>272</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IF(N563="N/A – rule","N/A – RULE",IF(TRIM(U563)="N/A",IF(AT563=0,"INVALID – N/A not permitted for this mandatory check",IF(AND(TRIM(AC563)&lt;&gt;"",TRIM(AE563)&lt;&gt;"",TRIM(T563)&lt;&gt;""),"N/A – JUSTIFIED","INVALID – N/A needs justification, PIC and verifier")),IF(OR(TRIM(U563)="Pass",TRIM(U563)="Pass after CA"),IF(NOT(ISNUMBER(AD563)),"INVALID – completion time missing",IF(TRIM(T563)="","INVALID – PIC missing",IF(TRIM(Z563)="","INVALID – evidence missing",IF(TRIM(AE563)="","INVALID – verifier missing",IF(AND(AQ563=1,TRIM(W563)=""),"INVALID – batch ID missing",IF(AND(AR563=1,OR(NOT(ISNUMBER(X563)),NOT(ISNUMBER(Y563)))),"INVALID – expected/actual qty missing",IF(IF(AND(TRIM(U563)="Pass",ISNUMBER(AF563)),IF(AF563&lt;&gt;0,"INVALID – qty variance: use Fail or Pass after CA",""),"")&amp;IF(AND(TRIM(U563)="Pass",AB563="Open"),"INVALID – corrective action still open: use Fail, then Pass after CA","")&amp;IF(AND(TRIM(U563)="Pass after CA",OR(TRIM(AA563)="",AB563&lt;&gt;"Closed")),"INVALID – corrective action not recorded/closed","")&lt;&gt;"",IF(AND(TRIM(U563)="Pass",ISNUMBER(AF563)),IF(AF563&lt;&gt;0,"INVALID – qty variance: use Fail or Pass after CA",""),"")&amp;IF(AND(TRIM(U563)="Pass",AB563="Open"),"INVALID – corrective action still open: use Fail, then Pass after CA","")&amp;IF(AND(TRIM(U563)="Pass after CA",OR(TRIM(AA563)="",AB563&lt;&gt;"Closed")),"INVALID – corrective action not recorded/closed",""),IF(AND(AS563=1,Documents!$J$21&lt;&gt;"ON FILE"),"INVALID – GLD not on file (Documents sheet)",IF(AND(AS563=2,Documents!$O$21&lt;&gt;"ON FILE"),"INVALID – menu checklist not on file (Documents sheet)",IF(AND(AS563=3,NOT(ISNUMBER(Flights!$AX$21))),"INVALID – enter carrying flight KUL departure (Flights AX)",IF(AG563&gt;AsOfUTC,"INVALID – completion time is in the future",IF(AND(ISNUMBER(S563),AG563&lt;S563),IF(H563="Physical uplift","INVALID – before uplift window (cannot confirm loading)","INVALID – before valid window"),IF(AG563&gt;Flights!$AA$21,"INVALID – completed after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f>
        <v>OPEN</v>
      </c>
      <c r="AI563" s="61" t="n">
        <f aca="false">IF(OR(AH563="N/A – RULE",AH563="N/A – JUSTIFIED"),0,1)</f>
        <v>1</v>
      </c>
      <c r="AJ563" s="61" t="n">
        <f aca="false">IF(LEFT(AH563,8)="COMPLETE",1,0)</f>
        <v>0</v>
      </c>
      <c r="AK563" s="61" t="n">
        <f aca="false">IF(AND(AI563=1,AJ563=0,AsOfUTC&gt;Q563),1,0)</f>
        <v>0</v>
      </c>
      <c r="AL563" s="61" t="n">
        <f aca="false">IF(AND(AI563=1,OR(TRIM(U563)="Fail",AB563="Open",AND(ISNUMBER(AF563),AF563&lt;&gt;0,TRIM(U563)&lt;&gt;"Pass after CA"))),1,0)</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1</v>
      </c>
    </row>
    <row r="564" customFormat="false" ht="39.75" hidden="false" customHeight="true" outlineLevel="0" collapsed="false">
      <c r="A564" s="57" t="s">
        <v>1214</v>
      </c>
      <c r="B564" s="57" t="s">
        <v>280</v>
      </c>
      <c r="C564" s="57" t="str">
        <f aca="false">Flights!$F$21</f>
        <v>MH0073</v>
      </c>
      <c r="D564" s="58" t="n">
        <f aca="false">Flights!$D$21</f>
        <v>46322</v>
      </c>
      <c r="E564" s="57" t="str">
        <f aca="false">Flights!$G$21&amp;"-"&amp;Flights!$H$21</f>
        <v>HKG-KUL</v>
      </c>
      <c r="F564" s="57" t="str">
        <f aca="false">Flights!$K$21</f>
        <v>BC</v>
      </c>
      <c r="G564" s="57" t="s">
        <v>422</v>
      </c>
      <c r="H564" s="57" t="s">
        <v>423</v>
      </c>
      <c r="I564" s="57" t="s">
        <v>462</v>
      </c>
      <c r="J564" s="57" t="s">
        <v>500</v>
      </c>
      <c r="K564" s="67" t="s">
        <v>464</v>
      </c>
      <c r="L564" s="67" t="s">
        <v>1185</v>
      </c>
      <c r="M564" s="67" t="s">
        <v>414</v>
      </c>
      <c r="N564" s="67" t="s">
        <v>346</v>
      </c>
      <c r="O564" s="67"/>
      <c r="P564" s="57" t="s">
        <v>272</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IF(N564="N/A – rule","N/A – RULE",IF(TRIM(U564)="N/A",IF(AT564=0,"INVALID – N/A not permitted for this mandatory check",IF(AND(TRIM(AC564)&lt;&gt;"",TRIM(AE564)&lt;&gt;"",TRIM(T564)&lt;&gt;""),"N/A – JUSTIFIED","INVALID – N/A needs justification, PIC and verifier")),IF(OR(TRIM(U564)="Pass",TRIM(U564)="Pass after CA"),IF(NOT(ISNUMBER(AD564)),"INVALID – completion time missing",IF(TRIM(T564)="","INVALID – PIC missing",IF(TRIM(Z564)="","INVALID – evidence missing",IF(TRIM(AE564)="","INVALID – verifier missing",IF(AND(AQ564=1,TRIM(W564)=""),"INVALID – batch ID missing",IF(AND(AR564=1,OR(NOT(ISNUMBER(X564)),NOT(ISNUMBER(Y564)))),"INVALID – expected/actual qty missing",IF(IF(AND(TRIM(U564)="Pass",ISNUMBER(AF564)),IF(AF564&lt;&gt;0,"INVALID – qty variance: use Fail or Pass after CA",""),"")&amp;IF(AND(TRIM(U564)="Pass",AB564="Open"),"INVALID – corrective action still open: use Fail, then Pass after CA","")&amp;IF(AND(TRIM(U564)="Pass after CA",OR(TRIM(AA564)="",AB564&lt;&gt;"Closed")),"INVALID – corrective action not recorded/closed","")&lt;&gt;"",IF(AND(TRIM(U564)="Pass",ISNUMBER(AF564)),IF(AF564&lt;&gt;0,"INVALID – qty variance: use Fail or Pass after CA",""),"")&amp;IF(AND(TRIM(U564)="Pass",AB564="Open"),"INVALID – corrective action still open: use Fail, then Pass after CA","")&amp;IF(AND(TRIM(U564)="Pass after CA",OR(TRIM(AA564)="",AB564&lt;&gt;"Closed")),"INVALID – corrective action not recorded/closed",""),IF(AND(AS564=1,Documents!$J$21&lt;&gt;"ON FILE"),"INVALID – GLD not on file (Documents sheet)",IF(AND(AS564=2,Documents!$O$21&lt;&gt;"ON FILE"),"INVALID – menu checklist not on file (Documents sheet)",IF(AND(AS564=3,NOT(ISNUMBER(Flights!$AX$21))),"INVALID – enter carrying flight KUL departure (Flights AX)",IF(AG564&gt;AsOfUTC,"INVALID – completion time is in the future",IF(AND(ISNUMBER(S564),AG564&lt;S564),IF(H564="Physical uplift","INVALID – before uplift window (cannot confirm loading)","INVALID – before valid window"),IF(AG564&gt;Flights!$AA$21,"INVALID – completed after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f>
        <v>OPEN</v>
      </c>
      <c r="AI564" s="61" t="n">
        <f aca="false">IF(OR(AH564="N/A – RULE",AH564="N/A – JUSTIFIED"),0,1)</f>
        <v>1</v>
      </c>
      <c r="AJ564" s="61" t="n">
        <f aca="false">IF(LEFT(AH564,8)="COMPLETE",1,0)</f>
        <v>0</v>
      </c>
      <c r="AK564" s="61" t="n">
        <f aca="false">IF(AND(AI564=1,AJ564=0,AsOfUTC&gt;Q564),1,0)</f>
        <v>0</v>
      </c>
      <c r="AL564" s="61" t="n">
        <f aca="false">IF(AND(AI564=1,OR(TRIM(U564)="Fail",AB564="Open",AND(ISNUMBER(AF564),AF564&lt;&gt;0,TRIM(U564)&lt;&gt;"Pass after CA"))),1,0)</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1</v>
      </c>
    </row>
    <row r="565" customFormat="false" ht="39.75" hidden="false" customHeight="true" outlineLevel="0" collapsed="false">
      <c r="A565" s="57" t="s">
        <v>1215</v>
      </c>
      <c r="B565" s="57" t="s">
        <v>280</v>
      </c>
      <c r="C565" s="57" t="str">
        <f aca="false">Flights!$F$21</f>
        <v>MH0073</v>
      </c>
      <c r="D565" s="58" t="n">
        <f aca="false">Flights!$D$21</f>
        <v>46322</v>
      </c>
      <c r="E565" s="57" t="str">
        <f aca="false">Flights!$G$21&amp;"-"&amp;Flights!$H$21</f>
        <v>HKG-KUL</v>
      </c>
      <c r="F565" s="57" t="str">
        <f aca="false">Flights!$K$21</f>
        <v>BC</v>
      </c>
      <c r="G565" s="57" t="s">
        <v>422</v>
      </c>
      <c r="H565" s="57" t="s">
        <v>423</v>
      </c>
      <c r="I565" s="57" t="s">
        <v>462</v>
      </c>
      <c r="J565" s="57" t="s">
        <v>502</v>
      </c>
      <c r="K565" s="67" t="s">
        <v>464</v>
      </c>
      <c r="L565" s="67" t="s">
        <v>1188</v>
      </c>
      <c r="M565" s="67" t="s">
        <v>414</v>
      </c>
      <c r="N565" s="67" t="s">
        <v>346</v>
      </c>
      <c r="O565" s="67"/>
      <c r="P565" s="57" t="s">
        <v>272</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IF(N565="N/A – rule","N/A – RULE",IF(TRIM(U565)="N/A",IF(AT565=0,"INVALID – N/A not permitted for this mandatory check",IF(AND(TRIM(AC565)&lt;&gt;"",TRIM(AE565)&lt;&gt;"",TRIM(T565)&lt;&gt;""),"N/A – JUSTIFIED","INVALID – N/A needs justification, PIC and verifier")),IF(OR(TRIM(U565)="Pass",TRIM(U565)="Pass after CA"),IF(NOT(ISNUMBER(AD565)),"INVALID – completion time missing",IF(TRIM(T565)="","INVALID – PIC missing",IF(TRIM(Z565)="","INVALID – evidence missing",IF(TRIM(AE565)="","INVALID – verifier missing",IF(AND(AQ565=1,TRIM(W565)=""),"INVALID – batch ID missing",IF(AND(AR565=1,OR(NOT(ISNUMBER(X565)),NOT(ISNUMBER(Y565)))),"INVALID – expected/actual qty missing",IF(IF(AND(TRIM(U565)="Pass",ISNUMBER(AF565)),IF(AF565&lt;&gt;0,"INVALID – qty variance: use Fail or Pass after CA",""),"")&amp;IF(AND(TRIM(U565)="Pass",AB565="Open"),"INVALID – corrective action still open: use Fail, then Pass after CA","")&amp;IF(AND(TRIM(U565)="Pass after CA",OR(TRIM(AA565)="",AB565&lt;&gt;"Closed")),"INVALID – corrective action not recorded/closed","")&lt;&gt;"",IF(AND(TRIM(U565)="Pass",ISNUMBER(AF565)),IF(AF565&lt;&gt;0,"INVALID – qty variance: use Fail or Pass after CA",""),"")&amp;IF(AND(TRIM(U565)="Pass",AB565="Open"),"INVALID – corrective action still open: use Fail, then Pass after CA","")&amp;IF(AND(TRIM(U565)="Pass after CA",OR(TRIM(AA565)="",AB565&lt;&gt;"Closed")),"INVALID – corrective action not recorded/closed",""),IF(AND(AS565=1,Documents!$J$21&lt;&gt;"ON FILE"),"INVALID – GLD not on file (Documents sheet)",IF(AND(AS565=2,Documents!$O$21&lt;&gt;"ON FILE"),"INVALID – menu checklist not on file (Documents sheet)",IF(AND(AS565=3,NOT(ISNUMBER(Flights!$AX$21))),"INVALID – enter carrying flight KUL departure (Flights AX)",IF(AG565&gt;AsOfUTC,"INVALID – completion time is in the future",IF(AND(ISNUMBER(S565),AG565&lt;S565),IF(H565="Physical uplift","INVALID – before uplift window (cannot confirm loading)","INVALID – before valid window"),IF(AG565&gt;Flights!$AA$21,"INVALID – completed after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f>
        <v>OPEN</v>
      </c>
      <c r="AI565" s="61" t="n">
        <f aca="false">IF(OR(AH565="N/A – RULE",AH565="N/A – JUSTIFIED"),0,1)</f>
        <v>1</v>
      </c>
      <c r="AJ565" s="61" t="n">
        <f aca="false">IF(LEFT(AH565,8)="COMPLETE",1,0)</f>
        <v>0</v>
      </c>
      <c r="AK565" s="61" t="n">
        <f aca="false">IF(AND(AI565=1,AJ565=0,AsOfUTC&gt;Q565),1,0)</f>
        <v>0</v>
      </c>
      <c r="AL565" s="61" t="n">
        <f aca="false">IF(AND(AI565=1,OR(TRIM(U565)="Fail",AB565="Open",AND(ISNUMBER(AF565),AF565&lt;&gt;0,TRIM(U565)&lt;&gt;"Pass after CA"))),1,0)</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1</v>
      </c>
    </row>
    <row r="566" customFormat="false" ht="39.75" hidden="false" customHeight="true" outlineLevel="0" collapsed="false">
      <c r="A566" s="57" t="s">
        <v>1216</v>
      </c>
      <c r="B566" s="57" t="s">
        <v>280</v>
      </c>
      <c r="C566" s="57" t="str">
        <f aca="false">Flights!$F$21</f>
        <v>MH0073</v>
      </c>
      <c r="D566" s="58" t="n">
        <f aca="false">Flights!$D$21</f>
        <v>46322</v>
      </c>
      <c r="E566" s="57" t="str">
        <f aca="false">Flights!$G$21&amp;"-"&amp;Flights!$H$21</f>
        <v>HKG-KUL</v>
      </c>
      <c r="F566" s="57" t="str">
        <f aca="false">Flights!$K$21</f>
        <v>BC</v>
      </c>
      <c r="G566" s="57" t="s">
        <v>422</v>
      </c>
      <c r="H566" s="57" t="s">
        <v>423</v>
      </c>
      <c r="I566" s="57" t="s">
        <v>462</v>
      </c>
      <c r="J566" s="57" t="s">
        <v>504</v>
      </c>
      <c r="K566" s="67" t="s">
        <v>464</v>
      </c>
      <c r="L566" s="67" t="s">
        <v>1190</v>
      </c>
      <c r="M566" s="67" t="s">
        <v>414</v>
      </c>
      <c r="N566" s="67" t="s">
        <v>346</v>
      </c>
      <c r="O566" s="67"/>
      <c r="P566" s="57" t="s">
        <v>272</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IF(N566="N/A – rule","N/A – RULE",IF(TRIM(U566)="N/A",IF(AT566=0,"INVALID – N/A not permitted for this mandatory check",IF(AND(TRIM(AC566)&lt;&gt;"",TRIM(AE566)&lt;&gt;"",TRIM(T566)&lt;&gt;""),"N/A – JUSTIFIED","INVALID – N/A needs justification, PIC and verifier")),IF(OR(TRIM(U566)="Pass",TRIM(U566)="Pass after CA"),IF(NOT(ISNUMBER(AD566)),"INVALID – completion time missing",IF(TRIM(T566)="","INVALID – PIC missing",IF(TRIM(Z566)="","INVALID – evidence missing",IF(TRIM(AE566)="","INVALID – verifier missing",IF(AND(AQ566=1,TRIM(W566)=""),"INVALID – batch ID missing",IF(AND(AR566=1,OR(NOT(ISNUMBER(X566)),NOT(ISNUMBER(Y566)))),"INVALID – expected/actual qty missing",IF(IF(AND(TRIM(U566)="Pass",ISNUMBER(AF566)),IF(AF566&lt;&gt;0,"INVALID – qty variance: use Fail or Pass after CA",""),"")&amp;IF(AND(TRIM(U566)="Pass",AB566="Open"),"INVALID – corrective action still open: use Fail, then Pass after CA","")&amp;IF(AND(TRIM(U566)="Pass after CA",OR(TRIM(AA566)="",AB566&lt;&gt;"Closed")),"INVALID – corrective action not recorded/closed","")&lt;&gt;"",IF(AND(TRIM(U566)="Pass",ISNUMBER(AF566)),IF(AF566&lt;&gt;0,"INVALID – qty variance: use Fail or Pass after CA",""),"")&amp;IF(AND(TRIM(U566)="Pass",AB566="Open"),"INVALID – corrective action still open: use Fail, then Pass after CA","")&amp;IF(AND(TRIM(U566)="Pass after CA",OR(TRIM(AA566)="",AB566&lt;&gt;"Closed")),"INVALID – corrective action not recorded/closed",""),IF(AND(AS566=1,Documents!$J$21&lt;&gt;"ON FILE"),"INVALID – GLD not on file (Documents sheet)",IF(AND(AS566=2,Documents!$O$21&lt;&gt;"ON FILE"),"INVALID – menu checklist not on file (Documents sheet)",IF(AND(AS566=3,NOT(ISNUMBER(Flights!$AX$21))),"INVALID – enter carrying flight KUL departure (Flights AX)",IF(AG566&gt;AsOfUTC,"INVALID – completion time is in the future",IF(AND(ISNUMBER(S566),AG566&lt;S566),IF(H566="Physical uplift","INVALID – before uplift window (cannot confirm loading)","INVALID – before valid window"),IF(AG566&gt;Flights!$AA$21,"INVALID – completed after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f>
        <v>OPEN</v>
      </c>
      <c r="AI566" s="61" t="n">
        <f aca="false">IF(OR(AH566="N/A – RULE",AH566="N/A – JUSTIFIED"),0,1)</f>
        <v>1</v>
      </c>
      <c r="AJ566" s="61" t="n">
        <f aca="false">IF(LEFT(AH566,8)="COMPLETE",1,0)</f>
        <v>0</v>
      </c>
      <c r="AK566" s="61" t="n">
        <f aca="false">IF(AND(AI566=1,AJ566=0,AsOfUTC&gt;Q566),1,0)</f>
        <v>0</v>
      </c>
      <c r="AL566" s="61" t="n">
        <f aca="false">IF(AND(AI566=1,OR(TRIM(U566)="Fail",AB566="Open",AND(ISNUMBER(AF566),AF566&lt;&gt;0,TRIM(U566)&lt;&gt;"Pass after CA"))),1,0)</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1</v>
      </c>
    </row>
    <row r="567" customFormat="false" ht="78.75" hidden="false" customHeight="true" outlineLevel="0" collapsed="false">
      <c r="A567" s="57" t="s">
        <v>1217</v>
      </c>
      <c r="B567" s="57" t="s">
        <v>280</v>
      </c>
      <c r="C567" s="57" t="str">
        <f aca="false">Flights!$F$21</f>
        <v>MH0073</v>
      </c>
      <c r="D567" s="58" t="n">
        <f aca="false">Flights!$D$21</f>
        <v>46322</v>
      </c>
      <c r="E567" s="57" t="str">
        <f aca="false">Flights!$G$21&amp;"-"&amp;Flights!$H$21</f>
        <v>HKG-KUL</v>
      </c>
      <c r="F567" s="57" t="str">
        <f aca="false">Flights!$K$21</f>
        <v>BC</v>
      </c>
      <c r="G567" s="57" t="s">
        <v>422</v>
      </c>
      <c r="H567" s="57" t="s">
        <v>423</v>
      </c>
      <c r="I567" s="57" t="s">
        <v>462</v>
      </c>
      <c r="J567" s="57" t="s">
        <v>506</v>
      </c>
      <c r="K567" s="67" t="s">
        <v>464</v>
      </c>
      <c r="L567" s="67" t="s">
        <v>1192</v>
      </c>
      <c r="M567" s="67" t="s">
        <v>414</v>
      </c>
      <c r="N567" s="67" t="s">
        <v>407</v>
      </c>
      <c r="O567" s="67" t="s">
        <v>1218</v>
      </c>
      <c r="P567" s="57" t="s">
        <v>272</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IF(N567="N/A – rule","N/A – RULE",IF(TRIM(U567)="N/A",IF(AT567=0,"INVALID – N/A not permitted for this mandatory check",IF(AND(TRIM(AC567)&lt;&gt;"",TRIM(AE567)&lt;&gt;"",TRIM(T567)&lt;&gt;""),"N/A – JUSTIFIED","INVALID – N/A needs justification, PIC and verifier")),IF(OR(TRIM(U567)="Pass",TRIM(U567)="Pass after CA"),IF(NOT(ISNUMBER(AD567)),"INVALID – completion time missing",IF(TRIM(T567)="","INVALID – PIC missing",IF(TRIM(Z567)="","INVALID – evidence missing",IF(TRIM(AE567)="","INVALID – verifier missing",IF(AND(AQ567=1,TRIM(W567)=""),"INVALID – batch ID missing",IF(AND(AR567=1,OR(NOT(ISNUMBER(X567)),NOT(ISNUMBER(Y567)))),"INVALID – expected/actual qty missing",IF(IF(AND(TRIM(U567)="Pass",ISNUMBER(AF567)),IF(AF567&lt;&gt;0,"INVALID – qty variance: use Fail or Pass after CA",""),"")&amp;IF(AND(TRIM(U567)="Pass",AB567="Open"),"INVALID – corrective action still open: use Fail, then Pass after CA","")&amp;IF(AND(TRIM(U567)="Pass after CA",OR(TRIM(AA567)="",AB567&lt;&gt;"Closed")),"INVALID – corrective action not recorded/closed","")&lt;&gt;"",IF(AND(TRIM(U567)="Pass",ISNUMBER(AF567)),IF(AF567&lt;&gt;0,"INVALID – qty variance: use Fail or Pass after CA",""),"")&amp;IF(AND(TRIM(U567)="Pass",AB567="Open"),"INVALID – corrective action still open: use Fail, then Pass after CA","")&amp;IF(AND(TRIM(U567)="Pass after CA",OR(TRIM(AA567)="",AB567&lt;&gt;"Closed")),"INVALID – corrective action not recorded/closed",""),IF(AND(AS567=1,Documents!$J$21&lt;&gt;"ON FILE"),"INVALID – GLD not on file (Documents sheet)",IF(AND(AS567=2,Documents!$O$21&lt;&gt;"ON FILE"),"INVALID – menu checklist not on file (Documents sheet)",IF(AND(AS567=3,NOT(ISNUMBER(Flights!$AX$21))),"INVALID – enter carrying flight KUL departure (Flights AX)",IF(AG567&gt;AsOfUTC,"INVALID – completion time is in the future",IF(AND(ISNUMBER(S567),AG567&lt;S567),IF(H567="Physical uplift","INVALID – before uplift window (cannot confirm loading)","INVALID – before valid window"),IF(AG567&gt;Flights!$AA$21,"INVALID – completed after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f>
        <v>OPEN – CLARIFICATION</v>
      </c>
      <c r="AI567" s="61" t="n">
        <f aca="false">IF(OR(AH567="N/A – RULE",AH567="N/A – JUSTIFIED"),0,1)</f>
        <v>1</v>
      </c>
      <c r="AJ567" s="61" t="n">
        <f aca="false">IF(LEFT(AH567,8)="COMPLETE",1,0)</f>
        <v>0</v>
      </c>
      <c r="AK567" s="61" t="n">
        <f aca="false">IF(AND(AI567=1,AJ567=0,AsOfUTC&gt;Q567),1,0)</f>
        <v>0</v>
      </c>
      <c r="AL567" s="61" t="n">
        <f aca="false">IF(AND(AI567=1,OR(TRIM(U567)="Fail",AB567="Open",AND(ISNUMBER(AF567),AF567&lt;&gt;0,TRIM(U567)&lt;&gt;"Pass after CA"))),1,0)</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row>
    <row r="568" customFormat="false" ht="78.75" hidden="false" customHeight="true" outlineLevel="0" collapsed="false">
      <c r="A568" s="57" t="s">
        <v>1219</v>
      </c>
      <c r="B568" s="57" t="s">
        <v>280</v>
      </c>
      <c r="C568" s="57" t="str">
        <f aca="false">Flights!$F$21</f>
        <v>MH0073</v>
      </c>
      <c r="D568" s="58" t="n">
        <f aca="false">Flights!$D$21</f>
        <v>46322</v>
      </c>
      <c r="E568" s="57" t="str">
        <f aca="false">Flights!$G$21&amp;"-"&amp;Flights!$H$21</f>
        <v>HKG-KUL</v>
      </c>
      <c r="F568" s="57" t="str">
        <f aca="false">Flights!$K$21</f>
        <v>BC</v>
      </c>
      <c r="G568" s="57" t="s">
        <v>422</v>
      </c>
      <c r="H568" s="57" t="s">
        <v>423</v>
      </c>
      <c r="I568" s="57" t="s">
        <v>462</v>
      </c>
      <c r="J568" s="57" t="s">
        <v>509</v>
      </c>
      <c r="K568" s="67" t="s">
        <v>464</v>
      </c>
      <c r="L568" s="67" t="s">
        <v>1195</v>
      </c>
      <c r="M568" s="67" t="s">
        <v>414</v>
      </c>
      <c r="N568" s="67" t="s">
        <v>407</v>
      </c>
      <c r="O568" s="67" t="s">
        <v>1218</v>
      </c>
      <c r="P568" s="57" t="s">
        <v>272</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IF(N568="N/A – rule","N/A – RULE",IF(TRIM(U568)="N/A",IF(AT568=0,"INVALID – N/A not permitted for this mandatory check",IF(AND(TRIM(AC568)&lt;&gt;"",TRIM(AE568)&lt;&gt;"",TRIM(T568)&lt;&gt;""),"N/A – JUSTIFIED","INVALID – N/A needs justification, PIC and verifier")),IF(OR(TRIM(U568)="Pass",TRIM(U568)="Pass after CA"),IF(NOT(ISNUMBER(AD568)),"INVALID – completion time missing",IF(TRIM(T568)="","INVALID – PIC missing",IF(TRIM(Z568)="","INVALID – evidence missing",IF(TRIM(AE568)="","INVALID – verifier missing",IF(AND(AQ568=1,TRIM(W568)=""),"INVALID – batch ID missing",IF(AND(AR568=1,OR(NOT(ISNUMBER(X568)),NOT(ISNUMBER(Y568)))),"INVALID – expected/actual qty missing",IF(IF(AND(TRIM(U568)="Pass",ISNUMBER(AF568)),IF(AF568&lt;&gt;0,"INVALID – qty variance: use Fail or Pass after CA",""),"")&amp;IF(AND(TRIM(U568)="Pass",AB568="Open"),"INVALID – corrective action still open: use Fail, then Pass after CA","")&amp;IF(AND(TRIM(U568)="Pass after CA",OR(TRIM(AA568)="",AB568&lt;&gt;"Closed")),"INVALID – corrective action not recorded/closed","")&lt;&gt;"",IF(AND(TRIM(U568)="Pass",ISNUMBER(AF568)),IF(AF568&lt;&gt;0,"INVALID – qty variance: use Fail or Pass after CA",""),"")&amp;IF(AND(TRIM(U568)="Pass",AB568="Open"),"INVALID – corrective action still open: use Fail, then Pass after CA","")&amp;IF(AND(TRIM(U568)="Pass after CA",OR(TRIM(AA568)="",AB568&lt;&gt;"Closed")),"INVALID – corrective action not recorded/closed",""),IF(AND(AS568=1,Documents!$J$21&lt;&gt;"ON FILE"),"INVALID – GLD not on file (Documents sheet)",IF(AND(AS568=2,Documents!$O$21&lt;&gt;"ON FILE"),"INVALID – menu checklist not on file (Documents sheet)",IF(AND(AS568=3,NOT(ISNUMBER(Flights!$AX$21))),"INVALID – enter carrying flight KUL departure (Flights AX)",IF(AG568&gt;AsOfUTC,"INVALID – completion time is in the future",IF(AND(ISNUMBER(S568),AG568&lt;S568),IF(H568="Physical uplift","INVALID – before uplift window (cannot confirm loading)","INVALID – before valid window"),IF(AG568&gt;Flights!$AA$21,"INVALID – completed after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f>
        <v>OPEN – CLARIFICATION</v>
      </c>
      <c r="AI568" s="61" t="n">
        <f aca="false">IF(OR(AH568="N/A – RULE",AH568="N/A – JUSTIFIED"),0,1)</f>
        <v>1</v>
      </c>
      <c r="AJ568" s="61" t="n">
        <f aca="false">IF(LEFT(AH568,8)="COMPLETE",1,0)</f>
        <v>0</v>
      </c>
      <c r="AK568" s="61" t="n">
        <f aca="false">IF(AND(AI568=1,AJ568=0,AsOfUTC&gt;Q568),1,0)</f>
        <v>0</v>
      </c>
      <c r="AL568" s="61" t="n">
        <f aca="false">IF(AND(AI568=1,OR(TRIM(U568)="Fail",AB568="Open",AND(ISNUMBER(AF568),AF568&lt;&gt;0,TRIM(U568)&lt;&gt;"Pass after CA"))),1,0)</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row>
    <row r="569" customFormat="false" ht="39.75" hidden="false" customHeight="true" outlineLevel="0" collapsed="false">
      <c r="A569" s="57" t="s">
        <v>1220</v>
      </c>
      <c r="B569" s="57" t="s">
        <v>280</v>
      </c>
      <c r="C569" s="57" t="str">
        <f aca="false">Flights!$F$21</f>
        <v>MH0073</v>
      </c>
      <c r="D569" s="58" t="n">
        <f aca="false">Flights!$D$21</f>
        <v>46322</v>
      </c>
      <c r="E569" s="57" t="str">
        <f aca="false">Flights!$G$21&amp;"-"&amp;Flights!$H$21</f>
        <v>HKG-KUL</v>
      </c>
      <c r="F569" s="57" t="str">
        <f aca="false">Flights!$K$21</f>
        <v>BC</v>
      </c>
      <c r="G569" s="57" t="s">
        <v>422</v>
      </c>
      <c r="H569" s="57" t="s">
        <v>423</v>
      </c>
      <c r="I569" s="57" t="s">
        <v>462</v>
      </c>
      <c r="J569" s="57" t="s">
        <v>511</v>
      </c>
      <c r="K569" s="67" t="s">
        <v>482</v>
      </c>
      <c r="L569" s="67" t="s">
        <v>1197</v>
      </c>
      <c r="M569" s="67" t="s">
        <v>414</v>
      </c>
      <c r="N569" s="67" t="s">
        <v>346</v>
      </c>
      <c r="O569" s="67" t="s">
        <v>512</v>
      </c>
      <c r="P569" s="57" t="s">
        <v>272</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IF(N569="N/A – rule","N/A – RULE",IF(TRIM(U569)="N/A",IF(AT569=0,"INVALID – N/A not permitted for this mandatory check",IF(AND(TRIM(AC569)&lt;&gt;"",TRIM(AE569)&lt;&gt;"",TRIM(T569)&lt;&gt;""),"N/A – JUSTIFIED","INVALID – N/A needs justification, PIC and verifier")),IF(OR(TRIM(U569)="Pass",TRIM(U569)="Pass after CA"),IF(NOT(ISNUMBER(AD569)),"INVALID – completion time missing",IF(TRIM(T569)="","INVALID – PIC missing",IF(TRIM(Z569)="","INVALID – evidence missing",IF(TRIM(AE569)="","INVALID – verifier missing",IF(AND(AQ569=1,TRIM(W569)=""),"INVALID – batch ID missing",IF(AND(AR569=1,OR(NOT(ISNUMBER(X569)),NOT(ISNUMBER(Y569)))),"INVALID – expected/actual qty missing",IF(IF(AND(TRIM(U569)="Pass",ISNUMBER(AF569)),IF(AF569&lt;&gt;0,"INVALID – qty variance: use Fail or Pass after CA",""),"")&amp;IF(AND(TRIM(U569)="Pass",AB569="Open"),"INVALID – corrective action still open: use Fail, then Pass after CA","")&amp;IF(AND(TRIM(U569)="Pass after CA",OR(TRIM(AA569)="",AB569&lt;&gt;"Closed")),"INVALID – corrective action not recorded/closed","")&lt;&gt;"",IF(AND(TRIM(U569)="Pass",ISNUMBER(AF569)),IF(AF569&lt;&gt;0,"INVALID – qty variance: use Fail or Pass after CA",""),"")&amp;IF(AND(TRIM(U569)="Pass",AB569="Open"),"INVALID – corrective action still open: use Fail, then Pass after CA","")&amp;IF(AND(TRIM(U569)="Pass after CA",OR(TRIM(AA569)="",AB569&lt;&gt;"Closed")),"INVALID – corrective action not recorded/closed",""),IF(AND(AS569=1,Documents!$J$21&lt;&gt;"ON FILE"),"INVALID – GLD not on file (Documents sheet)",IF(AND(AS569=2,Documents!$O$21&lt;&gt;"ON FILE"),"INVALID – menu checklist not on file (Documents sheet)",IF(AND(AS569=3,NOT(ISNUMBER(Flights!$AX$21))),"INVALID – enter carrying flight KUL departure (Flights AX)",IF(AG569&gt;AsOfUTC,"INVALID – completion time is in the future",IF(AND(ISNUMBER(S569),AG569&lt;S569),IF(H569="Physical uplift","INVALID – before uplift window (cannot confirm loading)","INVALID – before valid window"),IF(AG569&gt;Flights!$AA$21,"INVALID – completed after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f>
        <v>OPEN</v>
      </c>
      <c r="AI569" s="61" t="n">
        <f aca="false">IF(OR(AH569="N/A – RULE",AH569="N/A – JUSTIFIED"),0,1)</f>
        <v>1</v>
      </c>
      <c r="AJ569" s="61" t="n">
        <f aca="false">IF(LEFT(AH569,8)="COMPLETE",1,0)</f>
        <v>0</v>
      </c>
      <c r="AK569" s="61" t="n">
        <f aca="false">IF(AND(AI569=1,AJ569=0,AsOfUTC&gt;Q569),1,0)</f>
        <v>0</v>
      </c>
      <c r="AL569" s="61" t="n">
        <f aca="false">IF(AND(AI569=1,OR(TRIM(U569)="Fail",AB569="Open",AND(ISNUMBER(AF569),AF569&lt;&gt;0,TRIM(U569)&lt;&gt;"Pass after CA"))),1,0)</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1</v>
      </c>
    </row>
    <row r="570" customFormat="false" ht="39.75" hidden="false" customHeight="true" outlineLevel="0" collapsed="false">
      <c r="A570" s="57" t="s">
        <v>1221</v>
      </c>
      <c r="B570" s="57" t="s">
        <v>280</v>
      </c>
      <c r="C570" s="57" t="str">
        <f aca="false">Flights!$F$21</f>
        <v>MH0073</v>
      </c>
      <c r="D570" s="58" t="n">
        <f aca="false">Flights!$D$21</f>
        <v>46322</v>
      </c>
      <c r="E570" s="57" t="str">
        <f aca="false">Flights!$G$21&amp;"-"&amp;Flights!$H$21</f>
        <v>HKG-KUL</v>
      </c>
      <c r="F570" s="57" t="str">
        <f aca="false">Flights!$K$21</f>
        <v>BC</v>
      </c>
      <c r="G570" s="57" t="s">
        <v>422</v>
      </c>
      <c r="H570" s="57" t="s">
        <v>423</v>
      </c>
      <c r="I570" s="57" t="s">
        <v>462</v>
      </c>
      <c r="J570" s="57" t="s">
        <v>514</v>
      </c>
      <c r="K570" s="67" t="s">
        <v>464</v>
      </c>
      <c r="L570" s="67" t="s">
        <v>1200</v>
      </c>
      <c r="M570" s="67" t="s">
        <v>414</v>
      </c>
      <c r="N570" s="67" t="s">
        <v>346</v>
      </c>
      <c r="O570" s="67"/>
      <c r="P570" s="57" t="s">
        <v>272</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IF(N570="N/A – rule","N/A – RULE",IF(TRIM(U570)="N/A",IF(AT570=0,"INVALID – N/A not permitted for this mandatory check",IF(AND(TRIM(AC570)&lt;&gt;"",TRIM(AE570)&lt;&gt;"",TRIM(T570)&lt;&gt;""),"N/A – JUSTIFIED","INVALID – N/A needs justification, PIC and verifier")),IF(OR(TRIM(U570)="Pass",TRIM(U570)="Pass after CA"),IF(NOT(ISNUMBER(AD570)),"INVALID – completion time missing",IF(TRIM(T570)="","INVALID – PIC missing",IF(TRIM(Z570)="","INVALID – evidence missing",IF(TRIM(AE570)="","INVALID – verifier missing",IF(AND(AQ570=1,TRIM(W570)=""),"INVALID – batch ID missing",IF(AND(AR570=1,OR(NOT(ISNUMBER(X570)),NOT(ISNUMBER(Y570)))),"INVALID – expected/actual qty missing",IF(IF(AND(TRIM(U570)="Pass",ISNUMBER(AF570)),IF(AF570&lt;&gt;0,"INVALID – qty variance: use Fail or Pass after CA",""),"")&amp;IF(AND(TRIM(U570)="Pass",AB570="Open"),"INVALID – corrective action still open: use Fail, then Pass after CA","")&amp;IF(AND(TRIM(U570)="Pass after CA",OR(TRIM(AA570)="",AB570&lt;&gt;"Closed")),"INVALID – corrective action not recorded/closed","")&lt;&gt;"",IF(AND(TRIM(U570)="Pass",ISNUMBER(AF570)),IF(AF570&lt;&gt;0,"INVALID – qty variance: use Fail or Pass after CA",""),"")&amp;IF(AND(TRIM(U570)="Pass",AB570="Open"),"INVALID – corrective action still open: use Fail, then Pass after CA","")&amp;IF(AND(TRIM(U570)="Pass after CA",OR(TRIM(AA570)="",AB570&lt;&gt;"Closed")),"INVALID – corrective action not recorded/closed",""),IF(AND(AS570=1,Documents!$J$21&lt;&gt;"ON FILE"),"INVALID – GLD not on file (Documents sheet)",IF(AND(AS570=2,Documents!$O$21&lt;&gt;"ON FILE"),"INVALID – menu checklist not on file (Documents sheet)",IF(AND(AS570=3,NOT(ISNUMBER(Flights!$AX$21))),"INVALID – enter carrying flight KUL departure (Flights AX)",IF(AG570&gt;AsOfUTC,"INVALID – completion time is in the future",IF(AND(ISNUMBER(S570),AG570&lt;S570),IF(H570="Physical uplift","INVALID – before uplift window (cannot confirm loading)","INVALID – before valid window"),IF(AG570&gt;Flights!$AA$21,"INVALID – completed after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f>
        <v>OPEN</v>
      </c>
      <c r="AI570" s="61" t="n">
        <f aca="false">IF(OR(AH570="N/A – RULE",AH570="N/A – JUSTIFIED"),0,1)</f>
        <v>1</v>
      </c>
      <c r="AJ570" s="61" t="n">
        <f aca="false">IF(LEFT(AH570,8)="COMPLETE",1,0)</f>
        <v>0</v>
      </c>
      <c r="AK570" s="61" t="n">
        <f aca="false">IF(AND(AI570=1,AJ570=0,AsOfUTC&gt;Q570),1,0)</f>
        <v>0</v>
      </c>
      <c r="AL570" s="61" t="n">
        <f aca="false">IF(AND(AI570=1,OR(TRIM(U570)="Fail",AB570="Open",AND(ISNUMBER(AF570),AF570&lt;&gt;0,TRIM(U570)&lt;&gt;"Pass after CA"))),1,0)</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1</v>
      </c>
    </row>
    <row r="571" customFormat="false" ht="39.75" hidden="false" customHeight="true" outlineLevel="0" collapsed="false">
      <c r="A571" s="57" t="s">
        <v>1222</v>
      </c>
      <c r="B571" s="57" t="s">
        <v>280</v>
      </c>
      <c r="C571" s="57" t="str">
        <f aca="false">Flights!$F$21</f>
        <v>MH0073</v>
      </c>
      <c r="D571" s="58" t="n">
        <f aca="false">Flights!$D$21</f>
        <v>46322</v>
      </c>
      <c r="E571" s="57" t="str">
        <f aca="false">Flights!$G$21&amp;"-"&amp;Flights!$H$21</f>
        <v>HKG-KUL</v>
      </c>
      <c r="F571" s="57" t="str">
        <f aca="false">Flights!$K$21</f>
        <v>BC</v>
      </c>
      <c r="G571" s="57" t="s">
        <v>422</v>
      </c>
      <c r="H571" s="57" t="s">
        <v>423</v>
      </c>
      <c r="I571" s="57" t="s">
        <v>410</v>
      </c>
      <c r="J571" s="57" t="s">
        <v>516</v>
      </c>
      <c r="K571" s="67" t="s">
        <v>412</v>
      </c>
      <c r="L571" s="67" t="s">
        <v>1202</v>
      </c>
      <c r="M571" s="67" t="s">
        <v>414</v>
      </c>
      <c r="N571" s="67" t="s">
        <v>346</v>
      </c>
      <c r="O571" s="67"/>
      <c r="P571" s="57" t="s">
        <v>272</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IF(N571="N/A – rule","N/A – RULE",IF(TRIM(U571)="N/A",IF(AT571=0,"INVALID – N/A not permitted for this mandatory check",IF(AND(TRIM(AC571)&lt;&gt;"",TRIM(AE571)&lt;&gt;"",TRIM(T571)&lt;&gt;""),"N/A – JUSTIFIED","INVALID – N/A needs justification, PIC and verifier")),IF(OR(TRIM(U571)="Pass",TRIM(U571)="Pass after CA"),IF(NOT(ISNUMBER(AD571)),"INVALID – completion time missing",IF(TRIM(T571)="","INVALID – PIC missing",IF(TRIM(Z571)="","INVALID – evidence missing",IF(TRIM(AE571)="","INVALID – verifier missing",IF(AND(AQ571=1,TRIM(W571)=""),"INVALID – batch ID missing",IF(AND(AR571=1,OR(NOT(ISNUMBER(X571)),NOT(ISNUMBER(Y571)))),"INVALID – expected/actual qty missing",IF(IF(AND(TRIM(U571)="Pass",ISNUMBER(AF571)),IF(AF571&lt;&gt;0,"INVALID – qty variance: use Fail or Pass after CA",""),"")&amp;IF(AND(TRIM(U571)="Pass",AB571="Open"),"INVALID – corrective action still open: use Fail, then Pass after CA","")&amp;IF(AND(TRIM(U571)="Pass after CA",OR(TRIM(AA571)="",AB571&lt;&gt;"Closed")),"INVALID – corrective action not recorded/closed","")&lt;&gt;"",IF(AND(TRIM(U571)="Pass",ISNUMBER(AF571)),IF(AF571&lt;&gt;0,"INVALID – qty variance: use Fail or Pass after CA",""),"")&amp;IF(AND(TRIM(U571)="Pass",AB571="Open"),"INVALID – corrective action still open: use Fail, then Pass after CA","")&amp;IF(AND(TRIM(U571)="Pass after CA",OR(TRIM(AA571)="",AB571&lt;&gt;"Closed")),"INVALID – corrective action not recorded/closed",""),IF(AND(AS571=1,Documents!$J$21&lt;&gt;"ON FILE"),"INVALID – GLD not on file (Documents sheet)",IF(AND(AS571=2,Documents!$O$21&lt;&gt;"ON FILE"),"INVALID – menu checklist not on file (Documents sheet)",IF(AND(AS571=3,NOT(ISNUMBER(Flights!$AX$21))),"INVALID – enter carrying flight KUL departure (Flights AX)",IF(AG571&gt;AsOfUTC,"INVALID – completion time is in the future",IF(AND(ISNUMBER(S571),AG571&lt;S571),IF(H571="Physical uplift","INVALID – before uplift window (cannot confirm loading)","INVALID – before valid window"),IF(AG571&gt;Flights!$AA$21,"INVALID – completed after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f>
        <v>OPEN</v>
      </c>
      <c r="AI571" s="61" t="n">
        <f aca="false">IF(OR(AH571="N/A – RULE",AH571="N/A – JUSTIFIED"),0,1)</f>
        <v>1</v>
      </c>
      <c r="AJ571" s="61" t="n">
        <f aca="false">IF(LEFT(AH571,8)="COMPLETE",1,0)</f>
        <v>0</v>
      </c>
      <c r="AK571" s="61" t="n">
        <f aca="false">IF(AND(AI571=1,AJ571=0,AsOfUTC&gt;Q571),1,0)</f>
        <v>0</v>
      </c>
      <c r="AL571" s="61" t="n">
        <f aca="false">IF(AND(AI571=1,OR(TRIM(U571)="Fail",AB571="Open",AND(ISNUMBER(AF571),AF571&lt;&gt;0,TRIM(U571)&lt;&gt;"Pass after CA"))),1,0)</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1</v>
      </c>
    </row>
    <row r="572" customFormat="false" ht="39.75" hidden="false" customHeight="true" outlineLevel="0" collapsed="false">
      <c r="A572" s="57" t="s">
        <v>1223</v>
      </c>
      <c r="B572" s="57" t="s">
        <v>280</v>
      </c>
      <c r="C572" s="57" t="str">
        <f aca="false">Flights!$F$21</f>
        <v>MH0073</v>
      </c>
      <c r="D572" s="58" t="n">
        <f aca="false">Flights!$D$21</f>
        <v>46322</v>
      </c>
      <c r="E572" s="57" t="str">
        <f aca="false">Flights!$G$21&amp;"-"&amp;Flights!$H$21</f>
        <v>HKG-KUL</v>
      </c>
      <c r="F572" s="57" t="str">
        <f aca="false">Flights!$K$21</f>
        <v>BC</v>
      </c>
      <c r="G572" s="57" t="s">
        <v>422</v>
      </c>
      <c r="H572" s="57" t="s">
        <v>423</v>
      </c>
      <c r="I572" s="57" t="s">
        <v>410</v>
      </c>
      <c r="J572" s="57" t="s">
        <v>518</v>
      </c>
      <c r="K572" s="67" t="s">
        <v>412</v>
      </c>
      <c r="L572" s="67" t="s">
        <v>1204</v>
      </c>
      <c r="M572" s="67" t="s">
        <v>414</v>
      </c>
      <c r="N572" s="67" t="s">
        <v>346</v>
      </c>
      <c r="O572" s="67"/>
      <c r="P572" s="57" t="s">
        <v>272</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IF(N572="N/A – rule","N/A – RULE",IF(TRIM(U572)="N/A",IF(AT572=0,"INVALID – N/A not permitted for this mandatory check",IF(AND(TRIM(AC572)&lt;&gt;"",TRIM(AE572)&lt;&gt;"",TRIM(T572)&lt;&gt;""),"N/A – JUSTIFIED","INVALID – N/A needs justification, PIC and verifier")),IF(OR(TRIM(U572)="Pass",TRIM(U572)="Pass after CA"),IF(NOT(ISNUMBER(AD572)),"INVALID – completion time missing",IF(TRIM(T572)="","INVALID – PIC missing",IF(TRIM(Z572)="","INVALID – evidence missing",IF(TRIM(AE572)="","INVALID – verifier missing",IF(AND(AQ572=1,TRIM(W572)=""),"INVALID – batch ID missing",IF(AND(AR572=1,OR(NOT(ISNUMBER(X572)),NOT(ISNUMBER(Y572)))),"INVALID – expected/actual qty missing",IF(IF(AND(TRIM(U572)="Pass",ISNUMBER(AF572)),IF(AF572&lt;&gt;0,"INVALID – qty variance: use Fail or Pass after CA",""),"")&amp;IF(AND(TRIM(U572)="Pass",AB572="Open"),"INVALID – corrective action still open: use Fail, then Pass after CA","")&amp;IF(AND(TRIM(U572)="Pass after CA",OR(TRIM(AA572)="",AB572&lt;&gt;"Closed")),"INVALID – corrective action not recorded/closed","")&lt;&gt;"",IF(AND(TRIM(U572)="Pass",ISNUMBER(AF572)),IF(AF572&lt;&gt;0,"INVALID – qty variance: use Fail or Pass after CA",""),"")&amp;IF(AND(TRIM(U572)="Pass",AB572="Open"),"INVALID – corrective action still open: use Fail, then Pass after CA","")&amp;IF(AND(TRIM(U572)="Pass after CA",OR(TRIM(AA572)="",AB572&lt;&gt;"Closed")),"INVALID – corrective action not recorded/closed",""),IF(AND(AS572=1,Documents!$J$21&lt;&gt;"ON FILE"),"INVALID – GLD not on file (Documents sheet)",IF(AND(AS572=2,Documents!$O$21&lt;&gt;"ON FILE"),"INVALID – menu checklist not on file (Documents sheet)",IF(AND(AS572=3,NOT(ISNUMBER(Flights!$AX$21))),"INVALID – enter carrying flight KUL departure (Flights AX)",IF(AG572&gt;AsOfUTC,"INVALID – completion time is in the future",IF(AND(ISNUMBER(S572),AG572&lt;S572),IF(H572="Physical uplift","INVALID – before uplift window (cannot confirm loading)","INVALID – before valid window"),IF(AG572&gt;Flights!$AA$21,"INVALID – completed after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f>
        <v>OPEN</v>
      </c>
      <c r="AI572" s="61" t="n">
        <f aca="false">IF(OR(AH572="N/A – RULE",AH572="N/A – JUSTIFIED"),0,1)</f>
        <v>1</v>
      </c>
      <c r="AJ572" s="61" t="n">
        <f aca="false">IF(LEFT(AH572,8)="COMPLETE",1,0)</f>
        <v>0</v>
      </c>
      <c r="AK572" s="61" t="n">
        <f aca="false">IF(AND(AI572=1,AJ572=0,AsOfUTC&gt;Q572),1,0)</f>
        <v>0</v>
      </c>
      <c r="AL572" s="61" t="n">
        <f aca="false">IF(AND(AI572=1,OR(TRIM(U572)="Fail",AB572="Open",AND(ISNUMBER(AF572),AF572&lt;&gt;0,TRIM(U572)&lt;&gt;"Pass after CA"))),1,0)</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1</v>
      </c>
    </row>
    <row r="573" customFormat="false" ht="66" hidden="false" customHeight="true" outlineLevel="0" collapsed="false">
      <c r="A573" s="57" t="s">
        <v>1224</v>
      </c>
      <c r="B573" s="57" t="s">
        <v>280</v>
      </c>
      <c r="C573" s="57" t="str">
        <f aca="false">Flights!$F$21</f>
        <v>MH0073</v>
      </c>
      <c r="D573" s="58" t="n">
        <f aca="false">Flights!$D$21</f>
        <v>46322</v>
      </c>
      <c r="E573" s="57" t="str">
        <f aca="false">Flights!$G$21&amp;"-"&amp;Flights!$H$21</f>
        <v>HKG-KUL</v>
      </c>
      <c r="F573" s="57" t="str">
        <f aca="false">Flights!$K$21</f>
        <v>BC</v>
      </c>
      <c r="G573" s="57" t="s">
        <v>422</v>
      </c>
      <c r="H573" s="57" t="s">
        <v>423</v>
      </c>
      <c r="I573" s="57" t="s">
        <v>597</v>
      </c>
      <c r="J573" s="57" t="s">
        <v>1156</v>
      </c>
      <c r="K573" s="67" t="s">
        <v>1147</v>
      </c>
      <c r="L573" s="67" t="s">
        <v>1148</v>
      </c>
      <c r="M573" s="67" t="s">
        <v>414</v>
      </c>
      <c r="N573" s="67" t="s">
        <v>407</v>
      </c>
      <c r="O573" s="67" t="s">
        <v>1225</v>
      </c>
      <c r="P573" s="57" t="s">
        <v>272</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IF(N573="N/A – rule","N/A – RULE",IF(TRIM(U573)="N/A",IF(AT573=0,"INVALID – N/A not permitted for this mandatory check",IF(AND(TRIM(AC573)&lt;&gt;"",TRIM(AE573)&lt;&gt;"",TRIM(T573)&lt;&gt;""),"N/A – JUSTIFIED","INVALID – N/A needs justification, PIC and verifier")),IF(OR(TRIM(U573)="Pass",TRIM(U573)="Pass after CA"),IF(NOT(ISNUMBER(AD573)),"INVALID – completion time missing",IF(TRIM(T573)="","INVALID – PIC missing",IF(TRIM(Z573)="","INVALID – evidence missing",IF(TRIM(AE573)="","INVALID – verifier missing",IF(AND(AQ573=1,TRIM(W573)=""),"INVALID – batch ID missing",IF(AND(AR573=1,OR(NOT(ISNUMBER(X573)),NOT(ISNUMBER(Y573)))),"INVALID – expected/actual qty missing",IF(IF(AND(TRIM(U573)="Pass",ISNUMBER(AF573)),IF(AF573&lt;&gt;0,"INVALID – qty variance: use Fail or Pass after CA",""),"")&amp;IF(AND(TRIM(U573)="Pass",AB573="Open"),"INVALID – corrective action still open: use Fail, then Pass after CA","")&amp;IF(AND(TRIM(U573)="Pass after CA",OR(TRIM(AA573)="",AB573&lt;&gt;"Closed")),"INVALID – corrective action not recorded/closed","")&lt;&gt;"",IF(AND(TRIM(U573)="Pass",ISNUMBER(AF573)),IF(AF573&lt;&gt;0,"INVALID – qty variance: use Fail or Pass after CA",""),"")&amp;IF(AND(TRIM(U573)="Pass",AB573="Open"),"INVALID – corrective action still open: use Fail, then Pass after CA","")&amp;IF(AND(TRIM(U573)="Pass after CA",OR(TRIM(AA573)="",AB573&lt;&gt;"Closed")),"INVALID – corrective action not recorded/closed",""),IF(AND(AS573=1,Documents!$J$21&lt;&gt;"ON FILE"),"INVALID – GLD not on file (Documents sheet)",IF(AND(AS573=2,Documents!$O$21&lt;&gt;"ON FILE"),"INVALID – menu checklist not on file (Documents sheet)",IF(AND(AS573=3,NOT(ISNUMBER(Flights!$AX$21))),"INVALID – enter carrying flight KUL departure (Flights AX)",IF(AG573&gt;AsOfUTC,"INVALID – completion time is in the future",IF(AND(ISNUMBER(S573),AG573&lt;S573),IF(H573="Physical uplift","INVALID – before uplift window (cannot confirm loading)","INVALID – before valid window"),IF(AG573&gt;Flights!$AA$21,"INVALID – completed after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f>
        <v>OPEN – CLARIFICATION</v>
      </c>
      <c r="AI573" s="61" t="n">
        <f aca="false">IF(OR(AH573="N/A – RULE",AH573="N/A – JUSTIFIED"),0,1)</f>
        <v>1</v>
      </c>
      <c r="AJ573" s="61" t="n">
        <f aca="false">IF(LEFT(AH573,8)="COMPLETE",1,0)</f>
        <v>0</v>
      </c>
      <c r="AK573" s="61" t="n">
        <f aca="false">IF(AND(AI573=1,AJ573=0,AsOfUTC&gt;Q573),1,0)</f>
        <v>0</v>
      </c>
      <c r="AL573" s="61" t="n">
        <f aca="false">IF(AND(AI573=1,OR(TRIM(U573)="Fail",AB573="Open",AND(ISNUMBER(AF573),AF573&lt;&gt;0,TRIM(U573)&lt;&gt;"Pass after CA"))),1,0)</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row>
    <row r="574" customFormat="false" ht="39.75" hidden="false" customHeight="true" outlineLevel="0" collapsed="false">
      <c r="A574" s="57" t="s">
        <v>1226</v>
      </c>
      <c r="B574" s="57" t="s">
        <v>283</v>
      </c>
      <c r="C574" s="57" t="str">
        <f aca="false">Flights!$F$22</f>
        <v>MH0052</v>
      </c>
      <c r="D574" s="58" t="n">
        <f aca="false">Flights!$D$22</f>
        <v>46322</v>
      </c>
      <c r="E574" s="57" t="str">
        <f aca="false">Flights!$G$22&amp;"-"&amp;Flights!$H$22</f>
        <v>KUL-KIX</v>
      </c>
      <c r="F574" s="57" t="str">
        <f aca="false">Flights!$K$22</f>
        <v>BC</v>
      </c>
      <c r="G574" s="57" t="s">
        <v>74</v>
      </c>
      <c r="H574" s="57" t="s">
        <v>341</v>
      </c>
      <c r="I574" s="57" t="s">
        <v>342</v>
      </c>
      <c r="J574" s="57" t="s">
        <v>343</v>
      </c>
      <c r="K574" s="67" t="s">
        <v>344</v>
      </c>
      <c r="L574" s="67" t="s">
        <v>345</v>
      </c>
      <c r="M574" s="67"/>
      <c r="N574" s="67" t="s">
        <v>346</v>
      </c>
      <c r="O574" s="67"/>
      <c r="P574" s="57" t="s">
        <v>177</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IF(N574="N/A – rule","N/A – RULE",IF(TRIM(U574)="N/A",IF(AT574=0,"INVALID – N/A not permitted for this mandatory check",IF(AND(TRIM(AC574)&lt;&gt;"",TRIM(AE574)&lt;&gt;"",TRIM(T574)&lt;&gt;""),"N/A – JUSTIFIED","INVALID – N/A needs justification, PIC and verifier")),IF(OR(TRIM(U574)="Pass",TRIM(U574)="Pass after CA"),IF(NOT(ISNUMBER(AD574)),"INVALID – completion time missing",IF(TRIM(T574)="","INVALID – PIC missing",IF(TRIM(Z574)="","INVALID – evidence missing",IF(TRIM(AE574)="","INVALID – verifier missing",IF(AND(AQ574=1,TRIM(W574)=""),"INVALID – batch ID missing",IF(AND(AR574=1,OR(NOT(ISNUMBER(X574)),NOT(ISNUMBER(Y574)))),"INVALID – expected/actual qty missing",IF(IF(AND(TRIM(U574)="Pass",ISNUMBER(AF574)),IF(AF574&lt;&gt;0,"INVALID – qty variance: use Fail or Pass after CA",""),"")&amp;IF(AND(TRIM(U574)="Pass",AB574="Open"),"INVALID – corrective action still open: use Fail, then Pass after CA","")&amp;IF(AND(TRIM(U574)="Pass after CA",OR(TRIM(AA574)="",AB574&lt;&gt;"Closed")),"INVALID – corrective action not recorded/closed","")&lt;&gt;"",IF(AND(TRIM(U574)="Pass",ISNUMBER(AF574)),IF(AF574&lt;&gt;0,"INVALID – qty variance: use Fail or Pass after CA",""),"")&amp;IF(AND(TRIM(U574)="Pass",AB574="Open"),"INVALID – corrective action still open: use Fail, then Pass after CA","")&amp;IF(AND(TRIM(U574)="Pass after CA",OR(TRIM(AA574)="",AB574&lt;&gt;"Closed")),"INVALID – corrective action not recorded/closed",""),IF(AND(AS574=1,Documents!$J$22&lt;&gt;"ON FILE"),"INVALID – GLD not on file (Documents sheet)",IF(AND(AS574=2,Documents!$O$22&lt;&gt;"ON FILE"),"INVALID – menu checklist not on file (Documents sheet)",IF(AND(AS574=3,NOT(ISNUMBER(Flights!$AX$22))),"INVALID – enter carrying flight KUL departure (Flights AX)",IF(AG574&gt;AsOfUTC,"INVALID – completion time is in the future",IF(AND(ISNUMBER(S574),AG574&lt;S574),IF(H574="Physical uplift","INVALID – before uplift window (cannot confirm loading)","INVALID – before valid window"),IF(AG574&gt;Flights!$AA$22,"INVALID – completed after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f>
        <v>OPEN</v>
      </c>
      <c r="AI574" s="61" t="n">
        <f aca="false">IF(OR(AH574="N/A – RULE",AH574="N/A – JUSTIFIED"),0,1)</f>
        <v>1</v>
      </c>
      <c r="AJ574" s="61" t="n">
        <f aca="false">IF(LEFT(AH574,8)="COMPLETE",1,0)</f>
        <v>0</v>
      </c>
      <c r="AK574" s="61" t="n">
        <f aca="false">IF(AND(AI574=1,AJ574=0,AsOfUTC&gt;Q574),1,0)</f>
        <v>0</v>
      </c>
      <c r="AL574" s="61" t="n">
        <f aca="false">IF(AND(AI574=1,OR(TRIM(U574)="Fail",AB574="Open",AND(ISNUMBER(AF574),AF574&lt;&gt;0,TRIM(U574)&lt;&gt;"Pass after CA"))),1,0)</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row>
    <row r="575" customFormat="false" ht="39.75" hidden="false" customHeight="true" outlineLevel="0" collapsed="false">
      <c r="A575" s="57" t="s">
        <v>1227</v>
      </c>
      <c r="B575" s="57" t="s">
        <v>283</v>
      </c>
      <c r="C575" s="57" t="str">
        <f aca="false">Flights!$F$22</f>
        <v>MH0052</v>
      </c>
      <c r="D575" s="58" t="n">
        <f aca="false">Flights!$D$22</f>
        <v>46322</v>
      </c>
      <c r="E575" s="57" t="str">
        <f aca="false">Flights!$G$22&amp;"-"&amp;Flights!$H$22</f>
        <v>KUL-KIX</v>
      </c>
      <c r="F575" s="57" t="str">
        <f aca="false">Flights!$K$22</f>
        <v>BC</v>
      </c>
      <c r="G575" s="57" t="s">
        <v>74</v>
      </c>
      <c r="H575" s="57" t="s">
        <v>341</v>
      </c>
      <c r="I575" s="57" t="s">
        <v>348</v>
      </c>
      <c r="J575" s="57" t="s">
        <v>349</v>
      </c>
      <c r="K575" s="67" t="s">
        <v>350</v>
      </c>
      <c r="L575" s="67" t="s">
        <v>345</v>
      </c>
      <c r="M575" s="67"/>
      <c r="N575" s="67" t="s">
        <v>346</v>
      </c>
      <c r="O575" s="67"/>
      <c r="P575" s="57" t="s">
        <v>177</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IF(N575="N/A – rule","N/A – RULE",IF(TRIM(U575)="N/A",IF(AT575=0,"INVALID – N/A not permitted for this mandatory check",IF(AND(TRIM(AC575)&lt;&gt;"",TRIM(AE575)&lt;&gt;"",TRIM(T575)&lt;&gt;""),"N/A – JUSTIFIED","INVALID – N/A needs justification, PIC and verifier")),IF(OR(TRIM(U575)="Pass",TRIM(U575)="Pass after CA"),IF(NOT(ISNUMBER(AD575)),"INVALID – completion time missing",IF(TRIM(T575)="","INVALID – PIC missing",IF(TRIM(Z575)="","INVALID – evidence missing",IF(TRIM(AE575)="","INVALID – verifier missing",IF(AND(AQ575=1,TRIM(W575)=""),"INVALID – batch ID missing",IF(AND(AR575=1,OR(NOT(ISNUMBER(X575)),NOT(ISNUMBER(Y575)))),"INVALID – expected/actual qty missing",IF(IF(AND(TRIM(U575)="Pass",ISNUMBER(AF575)),IF(AF575&lt;&gt;0,"INVALID – qty variance: use Fail or Pass after CA",""),"")&amp;IF(AND(TRIM(U575)="Pass",AB575="Open"),"INVALID – corrective action still open: use Fail, then Pass after CA","")&amp;IF(AND(TRIM(U575)="Pass after CA",OR(TRIM(AA575)="",AB575&lt;&gt;"Closed")),"INVALID – corrective action not recorded/closed","")&lt;&gt;"",IF(AND(TRIM(U575)="Pass",ISNUMBER(AF575)),IF(AF575&lt;&gt;0,"INVALID – qty variance: use Fail or Pass after CA",""),"")&amp;IF(AND(TRIM(U575)="Pass",AB575="Open"),"INVALID – corrective action still open: use Fail, then Pass after CA","")&amp;IF(AND(TRIM(U575)="Pass after CA",OR(TRIM(AA575)="",AB575&lt;&gt;"Closed")),"INVALID – corrective action not recorded/closed",""),IF(AND(AS575=1,Documents!$J$22&lt;&gt;"ON FILE"),"INVALID – GLD not on file (Documents sheet)",IF(AND(AS575=2,Documents!$O$22&lt;&gt;"ON FILE"),"INVALID – menu checklist not on file (Documents sheet)",IF(AND(AS575=3,NOT(ISNUMBER(Flights!$AX$22))),"INVALID – enter carrying flight KUL departure (Flights AX)",IF(AG575&gt;AsOfUTC,"INVALID – completion time is in the future",IF(AND(ISNUMBER(S575),AG575&lt;S575),IF(H575="Physical uplift","INVALID – before uplift window (cannot confirm loading)","INVALID – before valid window"),IF(AG575&gt;Flights!$AA$22,"INVALID – completed after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f>
        <v>OPEN</v>
      </c>
      <c r="AI575" s="61" t="n">
        <f aca="false">IF(OR(AH575="N/A – RULE",AH575="N/A – JUSTIFIED"),0,1)</f>
        <v>1</v>
      </c>
      <c r="AJ575" s="61" t="n">
        <f aca="false">IF(LEFT(AH575,8)="COMPLETE",1,0)</f>
        <v>0</v>
      </c>
      <c r="AK575" s="61" t="n">
        <f aca="false">IF(AND(AI575=1,AJ575=0,AsOfUTC&gt;Q575),1,0)</f>
        <v>0</v>
      </c>
      <c r="AL575" s="61" t="n">
        <f aca="false">IF(AND(AI575=1,OR(TRIM(U575)="Fail",AB575="Open",AND(ISNUMBER(AF575),AF575&lt;&gt;0,TRIM(U575)&lt;&gt;"Pass after CA"))),1,0)</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1</v>
      </c>
    </row>
    <row r="576" customFormat="false" ht="41.25" hidden="false" customHeight="true" outlineLevel="0" collapsed="false">
      <c r="A576" s="57" t="s">
        <v>1228</v>
      </c>
      <c r="B576" s="57" t="s">
        <v>283</v>
      </c>
      <c r="C576" s="57" t="str">
        <f aca="false">Flights!$F$22</f>
        <v>MH0052</v>
      </c>
      <c r="D576" s="58" t="n">
        <f aca="false">Flights!$D$22</f>
        <v>46322</v>
      </c>
      <c r="E576" s="57" t="str">
        <f aca="false">Flights!$G$22&amp;"-"&amp;Flights!$H$22</f>
        <v>KUL-KIX</v>
      </c>
      <c r="F576" s="57" t="str">
        <f aca="false">Flights!$K$22</f>
        <v>BC</v>
      </c>
      <c r="G576" s="57" t="s">
        <v>74</v>
      </c>
      <c r="H576" s="57" t="s">
        <v>341</v>
      </c>
      <c r="I576" s="57" t="s">
        <v>352</v>
      </c>
      <c r="J576" s="57" t="s">
        <v>353</v>
      </c>
      <c r="K576" s="67" t="s">
        <v>354</v>
      </c>
      <c r="L576" s="67" t="s">
        <v>345</v>
      </c>
      <c r="M576" s="67"/>
      <c r="N576" s="67" t="str">
        <f aca="false">IF(TRIM(Flights!$L$22)="A339","Required","N/A – rule")</f>
        <v>N/A – rule</v>
      </c>
      <c r="O576" s="67" t="s">
        <v>355</v>
      </c>
      <c r="P576" s="57" t="s">
        <v>177</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IF(N576="N/A – rule","N/A – RULE",IF(TRIM(U576)="N/A",IF(AT576=0,"INVALID – N/A not permitted for this mandatory check",IF(AND(TRIM(AC576)&lt;&gt;"",TRIM(AE576)&lt;&gt;"",TRIM(T576)&lt;&gt;""),"N/A – JUSTIFIED","INVALID – N/A needs justification, PIC and verifier")),IF(OR(TRIM(U576)="Pass",TRIM(U576)="Pass after CA"),IF(NOT(ISNUMBER(AD576)),"INVALID – completion time missing",IF(TRIM(T576)="","INVALID – PIC missing",IF(TRIM(Z576)="","INVALID – evidence missing",IF(TRIM(AE576)="","INVALID – verifier missing",IF(AND(AQ576=1,TRIM(W576)=""),"INVALID – batch ID missing",IF(AND(AR576=1,OR(NOT(ISNUMBER(X576)),NOT(ISNUMBER(Y576)))),"INVALID – expected/actual qty missing",IF(IF(AND(TRIM(U576)="Pass",ISNUMBER(AF576)),IF(AF576&lt;&gt;0,"INVALID – qty variance: use Fail or Pass after CA",""),"")&amp;IF(AND(TRIM(U576)="Pass",AB576="Open"),"INVALID – corrective action still open: use Fail, then Pass after CA","")&amp;IF(AND(TRIM(U576)="Pass after CA",OR(TRIM(AA576)="",AB576&lt;&gt;"Closed")),"INVALID – corrective action not recorded/closed","")&lt;&gt;"",IF(AND(TRIM(U576)="Pass",ISNUMBER(AF576)),IF(AF576&lt;&gt;0,"INVALID – qty variance: use Fail or Pass after CA",""),"")&amp;IF(AND(TRIM(U576)="Pass",AB576="Open"),"INVALID – corrective action still open: use Fail, then Pass after CA","")&amp;IF(AND(TRIM(U576)="Pass after CA",OR(TRIM(AA576)="",AB576&lt;&gt;"Closed")),"INVALID – corrective action not recorded/closed",""),IF(AND(AS576=1,Documents!$J$22&lt;&gt;"ON FILE"),"INVALID – GLD not on file (Documents sheet)",IF(AND(AS576=2,Documents!$O$22&lt;&gt;"ON FILE"),"INVALID – menu checklist not on file (Documents sheet)",IF(AND(AS576=3,NOT(ISNUMBER(Flights!$AX$22))),"INVALID – enter carrying flight KUL departure (Flights AX)",IF(AG576&gt;AsOfUTC,"INVALID – completion time is in the future",IF(AND(ISNUMBER(S576),AG576&lt;S576),IF(H576="Physical uplift","INVALID – before uplift window (cannot confirm loading)","INVALID – before valid window"),IF(AG576&gt;Flights!$AA$22,"INVALID – completed after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f>
        <v>N/A – RULE</v>
      </c>
      <c r="AI576" s="61" t="n">
        <f aca="false">IF(OR(AH576="N/A – RULE",AH576="N/A – JUSTIFIED"),0,1)</f>
        <v>0</v>
      </c>
      <c r="AJ576" s="61" t="n">
        <f aca="false">IF(LEFT(AH576,8)="COMPLETE",1,0)</f>
        <v>0</v>
      </c>
      <c r="AK576" s="61" t="n">
        <f aca="false">IF(AND(AI576=1,AJ576=0,AsOfUTC&gt;Q576),1,0)</f>
        <v>0</v>
      </c>
      <c r="AL576" s="61" t="n">
        <f aca="false">IF(AND(AI576=1,OR(TRIM(U576)="Fail",AB576="Open",AND(ISNUMBER(AF576),AF576&lt;&gt;0,TRIM(U576)&lt;&gt;"Pass after CA"))),1,0)</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row>
    <row r="577" customFormat="false" ht="39.75" hidden="false" customHeight="true" outlineLevel="0" collapsed="false">
      <c r="A577" s="57" t="s">
        <v>1229</v>
      </c>
      <c r="B577" s="57" t="s">
        <v>283</v>
      </c>
      <c r="C577" s="57" t="str">
        <f aca="false">Flights!$F$22</f>
        <v>MH0052</v>
      </c>
      <c r="D577" s="58" t="n">
        <f aca="false">Flights!$D$22</f>
        <v>46322</v>
      </c>
      <c r="E577" s="57" t="str">
        <f aca="false">Flights!$G$22&amp;"-"&amp;Flights!$H$22</f>
        <v>KUL-KIX</v>
      </c>
      <c r="F577" s="57" t="str">
        <f aca="false">Flights!$K$22</f>
        <v>BC</v>
      </c>
      <c r="G577" s="57" t="s">
        <v>74</v>
      </c>
      <c r="H577" s="57" t="s">
        <v>341</v>
      </c>
      <c r="I577" s="57" t="s">
        <v>357</v>
      </c>
      <c r="J577" s="57" t="s">
        <v>358</v>
      </c>
      <c r="K577" s="67" t="s">
        <v>359</v>
      </c>
      <c r="L577" s="67" t="s">
        <v>345</v>
      </c>
      <c r="M577" s="67"/>
      <c r="N577" s="67" t="s">
        <v>346</v>
      </c>
      <c r="O577" s="67"/>
      <c r="P577" s="57" t="s">
        <v>177</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IF(N577="N/A – rule","N/A – RULE",IF(TRIM(U577)="N/A",IF(AT577=0,"INVALID – N/A not permitted for this mandatory check",IF(AND(TRIM(AC577)&lt;&gt;"",TRIM(AE577)&lt;&gt;"",TRIM(T577)&lt;&gt;""),"N/A – JUSTIFIED","INVALID – N/A needs justification, PIC and verifier")),IF(OR(TRIM(U577)="Pass",TRIM(U577)="Pass after CA"),IF(NOT(ISNUMBER(AD577)),"INVALID – completion time missing",IF(TRIM(T577)="","INVALID – PIC missing",IF(TRIM(Z577)="","INVALID – evidence missing",IF(TRIM(AE577)="","INVALID – verifier missing",IF(AND(AQ577=1,TRIM(W577)=""),"INVALID – batch ID missing",IF(AND(AR577=1,OR(NOT(ISNUMBER(X577)),NOT(ISNUMBER(Y577)))),"INVALID – expected/actual qty missing",IF(IF(AND(TRIM(U577)="Pass",ISNUMBER(AF577)),IF(AF577&lt;&gt;0,"INVALID – qty variance: use Fail or Pass after CA",""),"")&amp;IF(AND(TRIM(U577)="Pass",AB577="Open"),"INVALID – corrective action still open: use Fail, then Pass after CA","")&amp;IF(AND(TRIM(U577)="Pass after CA",OR(TRIM(AA577)="",AB577&lt;&gt;"Closed")),"INVALID – corrective action not recorded/closed","")&lt;&gt;"",IF(AND(TRIM(U577)="Pass",ISNUMBER(AF577)),IF(AF577&lt;&gt;0,"INVALID – qty variance: use Fail or Pass after CA",""),"")&amp;IF(AND(TRIM(U577)="Pass",AB577="Open"),"INVALID – corrective action still open: use Fail, then Pass after CA","")&amp;IF(AND(TRIM(U577)="Pass after CA",OR(TRIM(AA577)="",AB577&lt;&gt;"Closed")),"INVALID – corrective action not recorded/closed",""),IF(AND(AS577=1,Documents!$J$22&lt;&gt;"ON FILE"),"INVALID – GLD not on file (Documents sheet)",IF(AND(AS577=2,Documents!$O$22&lt;&gt;"ON FILE"),"INVALID – menu checklist not on file (Documents sheet)",IF(AND(AS577=3,NOT(ISNUMBER(Flights!$AX$22))),"INVALID – enter carrying flight KUL departure (Flights AX)",IF(AG577&gt;AsOfUTC,"INVALID – completion time is in the future",IF(AND(ISNUMBER(S577),AG577&lt;S577),IF(H577="Physical uplift","INVALID – before uplift window (cannot confirm loading)","INVALID – before valid window"),IF(AG577&gt;Flights!$AA$22,"INVALID – completed after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f>
        <v>OPEN</v>
      </c>
      <c r="AI577" s="61" t="n">
        <f aca="false">IF(OR(AH577="N/A – RULE",AH577="N/A – JUSTIFIED"),0,1)</f>
        <v>1</v>
      </c>
      <c r="AJ577" s="61" t="n">
        <f aca="false">IF(LEFT(AH577,8)="COMPLETE",1,0)</f>
        <v>0</v>
      </c>
      <c r="AK577" s="61" t="n">
        <f aca="false">IF(AND(AI577=1,AJ577=0,AsOfUTC&gt;Q577),1,0)</f>
        <v>0</v>
      </c>
      <c r="AL577" s="61" t="n">
        <f aca="false">IF(AND(AI577=1,OR(TRIM(U577)="Fail",AB577="Open",AND(ISNUMBER(AF577),AF577&lt;&gt;0,TRIM(U577)&lt;&gt;"Pass after CA"))),1,0)</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row>
    <row r="578" customFormat="false" ht="39.75" hidden="false" customHeight="true" outlineLevel="0" collapsed="false">
      <c r="A578" s="57" t="s">
        <v>1230</v>
      </c>
      <c r="B578" s="57" t="s">
        <v>283</v>
      </c>
      <c r="C578" s="57" t="str">
        <f aca="false">Flights!$F$22</f>
        <v>MH0052</v>
      </c>
      <c r="D578" s="58" t="n">
        <f aca="false">Flights!$D$22</f>
        <v>46322</v>
      </c>
      <c r="E578" s="57" t="str">
        <f aca="false">Flights!$G$22&amp;"-"&amp;Flights!$H$22</f>
        <v>KUL-KIX</v>
      </c>
      <c r="F578" s="57" t="str">
        <f aca="false">Flights!$K$22</f>
        <v>BC</v>
      </c>
      <c r="G578" s="57" t="s">
        <v>74</v>
      </c>
      <c r="H578" s="57" t="s">
        <v>341</v>
      </c>
      <c r="I578" s="57" t="s">
        <v>361</v>
      </c>
      <c r="J578" s="57" t="s">
        <v>362</v>
      </c>
      <c r="K578" s="67" t="s">
        <v>363</v>
      </c>
      <c r="L578" s="67" t="s">
        <v>345</v>
      </c>
      <c r="M578" s="67"/>
      <c r="N578" s="67" t="s">
        <v>346</v>
      </c>
      <c r="O578" s="67"/>
      <c r="P578" s="57" t="s">
        <v>177</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IF(N578="N/A – rule","N/A – RULE",IF(TRIM(U578)="N/A",IF(AT578=0,"INVALID – N/A not permitted for this mandatory check",IF(AND(TRIM(AC578)&lt;&gt;"",TRIM(AE578)&lt;&gt;"",TRIM(T578)&lt;&gt;""),"N/A – JUSTIFIED","INVALID – N/A needs justification, PIC and verifier")),IF(OR(TRIM(U578)="Pass",TRIM(U578)="Pass after CA"),IF(NOT(ISNUMBER(AD578)),"INVALID – completion time missing",IF(TRIM(T578)="","INVALID – PIC missing",IF(TRIM(Z578)="","INVALID – evidence missing",IF(TRIM(AE578)="","INVALID – verifier missing",IF(AND(AQ578=1,TRIM(W578)=""),"INVALID – batch ID missing",IF(AND(AR578=1,OR(NOT(ISNUMBER(X578)),NOT(ISNUMBER(Y578)))),"INVALID – expected/actual qty missing",IF(IF(AND(TRIM(U578)="Pass",ISNUMBER(AF578)),IF(AF578&lt;&gt;0,"INVALID – qty variance: use Fail or Pass after CA",""),"")&amp;IF(AND(TRIM(U578)="Pass",AB578="Open"),"INVALID – corrective action still open: use Fail, then Pass after CA","")&amp;IF(AND(TRIM(U578)="Pass after CA",OR(TRIM(AA578)="",AB578&lt;&gt;"Closed")),"INVALID – corrective action not recorded/closed","")&lt;&gt;"",IF(AND(TRIM(U578)="Pass",ISNUMBER(AF578)),IF(AF578&lt;&gt;0,"INVALID – qty variance: use Fail or Pass after CA",""),"")&amp;IF(AND(TRIM(U578)="Pass",AB578="Open"),"INVALID – corrective action still open: use Fail, then Pass after CA","")&amp;IF(AND(TRIM(U578)="Pass after CA",OR(TRIM(AA578)="",AB578&lt;&gt;"Closed")),"INVALID – corrective action not recorded/closed",""),IF(AND(AS578=1,Documents!$J$22&lt;&gt;"ON FILE"),"INVALID – GLD not on file (Documents sheet)",IF(AND(AS578=2,Documents!$O$22&lt;&gt;"ON FILE"),"INVALID – menu checklist not on file (Documents sheet)",IF(AND(AS578=3,NOT(ISNUMBER(Flights!$AX$22))),"INVALID – enter carrying flight KUL departure (Flights AX)",IF(AG578&gt;AsOfUTC,"INVALID – completion time is in the future",IF(AND(ISNUMBER(S578),AG578&lt;S578),IF(H578="Physical uplift","INVALID – before uplift window (cannot confirm loading)","INVALID – before valid window"),IF(AG578&gt;Flights!$AA$22,"INVALID – completed after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f>
        <v>OPEN</v>
      </c>
      <c r="AI578" s="61" t="n">
        <f aca="false">IF(OR(AH578="N/A – RULE",AH578="N/A – JUSTIFIED"),0,1)</f>
        <v>1</v>
      </c>
      <c r="AJ578" s="61" t="n">
        <f aca="false">IF(LEFT(AH578,8)="COMPLETE",1,0)</f>
        <v>0</v>
      </c>
      <c r="AK578" s="61" t="n">
        <f aca="false">IF(AND(AI578=1,AJ578=0,AsOfUTC&gt;Q578),1,0)</f>
        <v>0</v>
      </c>
      <c r="AL578" s="61" t="n">
        <f aca="false">IF(AND(AI578=1,OR(TRIM(U578)="Fail",AB578="Open",AND(ISNUMBER(AF578),AF578&lt;&gt;0,TRIM(U578)&lt;&gt;"Pass after CA"))),1,0)</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row>
    <row r="579" customFormat="false" ht="39.75" hidden="false" customHeight="true" outlineLevel="0" collapsed="false">
      <c r="A579" s="57" t="s">
        <v>1231</v>
      </c>
      <c r="B579" s="57" t="s">
        <v>283</v>
      </c>
      <c r="C579" s="57" t="str">
        <f aca="false">Flights!$F$22</f>
        <v>MH0052</v>
      </c>
      <c r="D579" s="58" t="n">
        <f aca="false">Flights!$D$22</f>
        <v>46322</v>
      </c>
      <c r="E579" s="57" t="str">
        <f aca="false">Flights!$G$22&amp;"-"&amp;Flights!$H$22</f>
        <v>KUL-KIX</v>
      </c>
      <c r="F579" s="57" t="str">
        <f aca="false">Flights!$K$22</f>
        <v>BC</v>
      </c>
      <c r="G579" s="57" t="s">
        <v>74</v>
      </c>
      <c r="H579" s="57" t="s">
        <v>341</v>
      </c>
      <c r="I579" s="57" t="s">
        <v>361</v>
      </c>
      <c r="J579" s="57" t="s">
        <v>365</v>
      </c>
      <c r="K579" s="67" t="s">
        <v>366</v>
      </c>
      <c r="L579" s="67" t="s">
        <v>345</v>
      </c>
      <c r="M579" s="67"/>
      <c r="N579" s="67" t="s">
        <v>346</v>
      </c>
      <c r="O579" s="67"/>
      <c r="P579" s="57" t="s">
        <v>177</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IF(N579="N/A – rule","N/A – RULE",IF(TRIM(U579)="N/A",IF(AT579=0,"INVALID – N/A not permitted for this mandatory check",IF(AND(TRIM(AC579)&lt;&gt;"",TRIM(AE579)&lt;&gt;"",TRIM(T579)&lt;&gt;""),"N/A – JUSTIFIED","INVALID – N/A needs justification, PIC and verifier")),IF(OR(TRIM(U579)="Pass",TRIM(U579)="Pass after CA"),IF(NOT(ISNUMBER(AD579)),"INVALID – completion time missing",IF(TRIM(T579)="","INVALID – PIC missing",IF(TRIM(Z579)="","INVALID – evidence missing",IF(TRIM(AE579)="","INVALID – verifier missing",IF(AND(AQ579=1,TRIM(W579)=""),"INVALID – batch ID missing",IF(AND(AR579=1,OR(NOT(ISNUMBER(X579)),NOT(ISNUMBER(Y579)))),"INVALID – expected/actual qty missing",IF(IF(AND(TRIM(U579)="Pass",ISNUMBER(AF579)),IF(AF579&lt;&gt;0,"INVALID – qty variance: use Fail or Pass after CA",""),"")&amp;IF(AND(TRIM(U579)="Pass",AB579="Open"),"INVALID – corrective action still open: use Fail, then Pass after CA","")&amp;IF(AND(TRIM(U579)="Pass after CA",OR(TRIM(AA579)="",AB579&lt;&gt;"Closed")),"INVALID – corrective action not recorded/closed","")&lt;&gt;"",IF(AND(TRIM(U579)="Pass",ISNUMBER(AF579)),IF(AF579&lt;&gt;0,"INVALID – qty variance: use Fail or Pass after CA",""),"")&amp;IF(AND(TRIM(U579)="Pass",AB579="Open"),"INVALID – corrective action still open: use Fail, then Pass after CA","")&amp;IF(AND(TRIM(U579)="Pass after CA",OR(TRIM(AA579)="",AB579&lt;&gt;"Closed")),"INVALID – corrective action not recorded/closed",""),IF(AND(AS579=1,Documents!$J$22&lt;&gt;"ON FILE"),"INVALID – GLD not on file (Documents sheet)",IF(AND(AS579=2,Documents!$O$22&lt;&gt;"ON FILE"),"INVALID – menu checklist not on file (Documents sheet)",IF(AND(AS579=3,NOT(ISNUMBER(Flights!$AX$22))),"INVALID – enter carrying flight KUL departure (Flights AX)",IF(AG579&gt;AsOfUTC,"INVALID – completion time is in the future",IF(AND(ISNUMBER(S579),AG579&lt;S579),IF(H579="Physical uplift","INVALID – before uplift window (cannot confirm loading)","INVALID – before valid window"),IF(AG579&gt;Flights!$AA$22,"INVALID – completed after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f>
        <v>OPEN</v>
      </c>
      <c r="AI579" s="61" t="n">
        <f aca="false">IF(OR(AH579="N/A – RULE",AH579="N/A – JUSTIFIED"),0,1)</f>
        <v>1</v>
      </c>
      <c r="AJ579" s="61" t="n">
        <f aca="false">IF(LEFT(AH579,8)="COMPLETE",1,0)</f>
        <v>0</v>
      </c>
      <c r="AK579" s="61" t="n">
        <f aca="false">IF(AND(AI579=1,AJ579=0,AsOfUTC&gt;Q579),1,0)</f>
        <v>0</v>
      </c>
      <c r="AL579" s="61" t="n">
        <f aca="false">IF(AND(AI579=1,OR(TRIM(U579)="Fail",AB579="Open",AND(ISNUMBER(AF579),AF579&lt;&gt;0,TRIM(U579)&lt;&gt;"Pass after CA"))),1,0)</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row>
    <row r="580" customFormat="false" ht="39.75" hidden="false" customHeight="true" outlineLevel="0" collapsed="false">
      <c r="A580" s="57" t="s">
        <v>1232</v>
      </c>
      <c r="B580" s="57" t="s">
        <v>283</v>
      </c>
      <c r="C580" s="57" t="str">
        <f aca="false">Flights!$F$22</f>
        <v>MH0052</v>
      </c>
      <c r="D580" s="58" t="n">
        <f aca="false">Flights!$D$22</f>
        <v>46322</v>
      </c>
      <c r="E580" s="57" t="str">
        <f aca="false">Flights!$G$22&amp;"-"&amp;Flights!$H$22</f>
        <v>KUL-KIX</v>
      </c>
      <c r="F580" s="57" t="str">
        <f aca="false">Flights!$K$22</f>
        <v>BC</v>
      </c>
      <c r="G580" s="57" t="s">
        <v>74</v>
      </c>
      <c r="H580" s="57" t="s">
        <v>341</v>
      </c>
      <c r="I580" s="57" t="s">
        <v>368</v>
      </c>
      <c r="J580" s="57" t="s">
        <v>369</v>
      </c>
      <c r="K580" s="67" t="s">
        <v>370</v>
      </c>
      <c r="L580" s="67" t="s">
        <v>345</v>
      </c>
      <c r="M580" s="67"/>
      <c r="N580" s="67" t="s">
        <v>346</v>
      </c>
      <c r="O580" s="67"/>
      <c r="P580" s="57" t="s">
        <v>177</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IF(N580="N/A – rule","N/A – RULE",IF(TRIM(U580)="N/A",IF(AT580=0,"INVALID – N/A not permitted for this mandatory check",IF(AND(TRIM(AC580)&lt;&gt;"",TRIM(AE580)&lt;&gt;"",TRIM(T580)&lt;&gt;""),"N/A – JUSTIFIED","INVALID – N/A needs justification, PIC and verifier")),IF(OR(TRIM(U580)="Pass",TRIM(U580)="Pass after CA"),IF(NOT(ISNUMBER(AD580)),"INVALID – completion time missing",IF(TRIM(T580)="","INVALID – PIC missing",IF(TRIM(Z580)="","INVALID – evidence missing",IF(TRIM(AE580)="","INVALID – verifier missing",IF(AND(AQ580=1,TRIM(W580)=""),"INVALID – batch ID missing",IF(AND(AR580=1,OR(NOT(ISNUMBER(X580)),NOT(ISNUMBER(Y580)))),"INVALID – expected/actual qty missing",IF(IF(AND(TRIM(U580)="Pass",ISNUMBER(AF580)),IF(AF580&lt;&gt;0,"INVALID – qty variance: use Fail or Pass after CA",""),"")&amp;IF(AND(TRIM(U580)="Pass",AB580="Open"),"INVALID – corrective action still open: use Fail, then Pass after CA","")&amp;IF(AND(TRIM(U580)="Pass after CA",OR(TRIM(AA580)="",AB580&lt;&gt;"Closed")),"INVALID – corrective action not recorded/closed","")&lt;&gt;"",IF(AND(TRIM(U580)="Pass",ISNUMBER(AF580)),IF(AF580&lt;&gt;0,"INVALID – qty variance: use Fail or Pass after CA",""),"")&amp;IF(AND(TRIM(U580)="Pass",AB580="Open"),"INVALID – corrective action still open: use Fail, then Pass after CA","")&amp;IF(AND(TRIM(U580)="Pass after CA",OR(TRIM(AA580)="",AB580&lt;&gt;"Closed")),"INVALID – corrective action not recorded/closed",""),IF(AND(AS580=1,Documents!$J$22&lt;&gt;"ON FILE"),"INVALID – GLD not on file (Documents sheet)",IF(AND(AS580=2,Documents!$O$22&lt;&gt;"ON FILE"),"INVALID – menu checklist not on file (Documents sheet)",IF(AND(AS580=3,NOT(ISNUMBER(Flights!$AX$22))),"INVALID – enter carrying flight KUL departure (Flights AX)",IF(AG580&gt;AsOfUTC,"INVALID – completion time is in the future",IF(AND(ISNUMBER(S580),AG580&lt;S580),IF(H580="Physical uplift","INVALID – before uplift window (cannot confirm loading)","INVALID – before valid window"),IF(AG580&gt;Flights!$AA$22,"INVALID – completed after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f>
        <v>OPEN</v>
      </c>
      <c r="AI580" s="61" t="n">
        <f aca="false">IF(OR(AH580="N/A – RULE",AH580="N/A – JUSTIFIED"),0,1)</f>
        <v>1</v>
      </c>
      <c r="AJ580" s="61" t="n">
        <f aca="false">IF(LEFT(AH580,8)="COMPLETE",1,0)</f>
        <v>0</v>
      </c>
      <c r="AK580" s="61" t="n">
        <f aca="false">IF(AND(AI580=1,AJ580=0,AsOfUTC&gt;Q580),1,0)</f>
        <v>0</v>
      </c>
      <c r="AL580" s="61" t="n">
        <f aca="false">IF(AND(AI580=1,OR(TRIM(U580)="Fail",AB580="Open",AND(ISNUMBER(AF580),AF580&lt;&gt;0,TRIM(U580)&lt;&gt;"Pass after CA"))),1,0)</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row>
    <row r="581" customFormat="false" ht="39.75" hidden="false" customHeight="true" outlineLevel="0" collapsed="false">
      <c r="A581" s="57" t="s">
        <v>1233</v>
      </c>
      <c r="B581" s="57" t="s">
        <v>283</v>
      </c>
      <c r="C581" s="57" t="str">
        <f aca="false">Flights!$F$22</f>
        <v>MH0052</v>
      </c>
      <c r="D581" s="58" t="n">
        <f aca="false">Flights!$D$22</f>
        <v>46322</v>
      </c>
      <c r="E581" s="57" t="str">
        <f aca="false">Flights!$G$22&amp;"-"&amp;Flights!$H$22</f>
        <v>KUL-KIX</v>
      </c>
      <c r="F581" s="57" t="str">
        <f aca="false">Flights!$K$22</f>
        <v>BC</v>
      </c>
      <c r="G581" s="57" t="s">
        <v>74</v>
      </c>
      <c r="H581" s="57" t="s">
        <v>341</v>
      </c>
      <c r="I581" s="57" t="s">
        <v>368</v>
      </c>
      <c r="J581" s="57" t="s">
        <v>372</v>
      </c>
      <c r="K581" s="67" t="s">
        <v>370</v>
      </c>
      <c r="L581" s="67" t="s">
        <v>345</v>
      </c>
      <c r="M581" s="67"/>
      <c r="N581" s="67" t="s">
        <v>346</v>
      </c>
      <c r="O581" s="67"/>
      <c r="P581" s="57" t="s">
        <v>177</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IF(N581="N/A – rule","N/A – RULE",IF(TRIM(U581)="N/A",IF(AT581=0,"INVALID – N/A not permitted for this mandatory check",IF(AND(TRIM(AC581)&lt;&gt;"",TRIM(AE581)&lt;&gt;"",TRIM(T581)&lt;&gt;""),"N/A – JUSTIFIED","INVALID – N/A needs justification, PIC and verifier")),IF(OR(TRIM(U581)="Pass",TRIM(U581)="Pass after CA"),IF(NOT(ISNUMBER(AD581)),"INVALID – completion time missing",IF(TRIM(T581)="","INVALID – PIC missing",IF(TRIM(Z581)="","INVALID – evidence missing",IF(TRIM(AE581)="","INVALID – verifier missing",IF(AND(AQ581=1,TRIM(W581)=""),"INVALID – batch ID missing",IF(AND(AR581=1,OR(NOT(ISNUMBER(X581)),NOT(ISNUMBER(Y581)))),"INVALID – expected/actual qty missing",IF(IF(AND(TRIM(U581)="Pass",ISNUMBER(AF581)),IF(AF581&lt;&gt;0,"INVALID – qty variance: use Fail or Pass after CA",""),"")&amp;IF(AND(TRIM(U581)="Pass",AB581="Open"),"INVALID – corrective action still open: use Fail, then Pass after CA","")&amp;IF(AND(TRIM(U581)="Pass after CA",OR(TRIM(AA581)="",AB581&lt;&gt;"Closed")),"INVALID – corrective action not recorded/closed","")&lt;&gt;"",IF(AND(TRIM(U581)="Pass",ISNUMBER(AF581)),IF(AF581&lt;&gt;0,"INVALID – qty variance: use Fail or Pass after CA",""),"")&amp;IF(AND(TRIM(U581)="Pass",AB581="Open"),"INVALID – corrective action still open: use Fail, then Pass after CA","")&amp;IF(AND(TRIM(U581)="Pass after CA",OR(TRIM(AA581)="",AB581&lt;&gt;"Closed")),"INVALID – corrective action not recorded/closed",""),IF(AND(AS581=1,Documents!$J$22&lt;&gt;"ON FILE"),"INVALID – GLD not on file (Documents sheet)",IF(AND(AS581=2,Documents!$O$22&lt;&gt;"ON FILE"),"INVALID – menu checklist not on file (Documents sheet)",IF(AND(AS581=3,NOT(ISNUMBER(Flights!$AX$22))),"INVALID – enter carrying flight KUL departure (Flights AX)",IF(AG581&gt;AsOfUTC,"INVALID – completion time is in the future",IF(AND(ISNUMBER(S581),AG581&lt;S581),IF(H581="Physical uplift","INVALID – before uplift window (cannot confirm loading)","INVALID – before valid window"),IF(AG581&gt;Flights!$AA$22,"INVALID – completed after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f>
        <v>OPEN</v>
      </c>
      <c r="AI581" s="61" t="n">
        <f aca="false">IF(OR(AH581="N/A – RULE",AH581="N/A – JUSTIFIED"),0,1)</f>
        <v>1</v>
      </c>
      <c r="AJ581" s="61" t="n">
        <f aca="false">IF(LEFT(AH581,8)="COMPLETE",1,0)</f>
        <v>0</v>
      </c>
      <c r="AK581" s="61" t="n">
        <f aca="false">IF(AND(AI581=1,AJ581=0,AsOfUTC&gt;Q581),1,0)</f>
        <v>0</v>
      </c>
      <c r="AL581" s="61" t="n">
        <f aca="false">IF(AND(AI581=1,OR(TRIM(U581)="Fail",AB581="Open",AND(ISNUMBER(AF581),AF581&lt;&gt;0,TRIM(U581)&lt;&gt;"Pass after CA"))),1,0)</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row>
    <row r="582" customFormat="false" ht="39.75" hidden="false" customHeight="true" outlineLevel="0" collapsed="false">
      <c r="A582" s="57" t="s">
        <v>1234</v>
      </c>
      <c r="B582" s="57" t="s">
        <v>283</v>
      </c>
      <c r="C582" s="57" t="str">
        <f aca="false">Flights!$F$22</f>
        <v>MH0052</v>
      </c>
      <c r="D582" s="58" t="n">
        <f aca="false">Flights!$D$22</f>
        <v>46322</v>
      </c>
      <c r="E582" s="57" t="str">
        <f aca="false">Flights!$G$22&amp;"-"&amp;Flights!$H$22</f>
        <v>KUL-KIX</v>
      </c>
      <c r="F582" s="57" t="str">
        <f aca="false">Flights!$K$22</f>
        <v>BC</v>
      </c>
      <c r="G582" s="57" t="s">
        <v>74</v>
      </c>
      <c r="H582" s="57" t="s">
        <v>341</v>
      </c>
      <c r="I582" s="57" t="s">
        <v>374</v>
      </c>
      <c r="J582" s="57" t="s">
        <v>375</v>
      </c>
      <c r="K582" s="67" t="s">
        <v>1235</v>
      </c>
      <c r="L582" s="67" t="s">
        <v>1236</v>
      </c>
      <c r="M582" s="67"/>
      <c r="N582" s="67" t="s">
        <v>346</v>
      </c>
      <c r="O582" s="67"/>
      <c r="P582" s="57" t="s">
        <v>177</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IF(N582="N/A – rule","N/A – RULE",IF(TRIM(U582)="N/A",IF(AT582=0,"INVALID – N/A not permitted for this mandatory check",IF(AND(TRIM(AC582)&lt;&gt;"",TRIM(AE582)&lt;&gt;"",TRIM(T582)&lt;&gt;""),"N/A – JUSTIFIED","INVALID – N/A needs justification, PIC and verifier")),IF(OR(TRIM(U582)="Pass",TRIM(U582)="Pass after CA"),IF(NOT(ISNUMBER(AD582)),"INVALID – completion time missing",IF(TRIM(T582)="","INVALID – PIC missing",IF(TRIM(Z582)="","INVALID – evidence missing",IF(TRIM(AE582)="","INVALID – verifier missing",IF(AND(AQ582=1,TRIM(W582)=""),"INVALID – batch ID missing",IF(AND(AR582=1,OR(NOT(ISNUMBER(X582)),NOT(ISNUMBER(Y582)))),"INVALID – expected/actual qty missing",IF(IF(AND(TRIM(U582)="Pass",ISNUMBER(AF582)),IF(AF582&lt;&gt;0,"INVALID – qty variance: use Fail or Pass after CA",""),"")&amp;IF(AND(TRIM(U582)="Pass",AB582="Open"),"INVALID – corrective action still open: use Fail, then Pass after CA","")&amp;IF(AND(TRIM(U582)="Pass after CA",OR(TRIM(AA582)="",AB582&lt;&gt;"Closed")),"INVALID – corrective action not recorded/closed","")&lt;&gt;"",IF(AND(TRIM(U582)="Pass",ISNUMBER(AF582)),IF(AF582&lt;&gt;0,"INVALID – qty variance: use Fail or Pass after CA",""),"")&amp;IF(AND(TRIM(U582)="Pass",AB582="Open"),"INVALID – corrective action still open: use Fail, then Pass after CA","")&amp;IF(AND(TRIM(U582)="Pass after CA",OR(TRIM(AA582)="",AB582&lt;&gt;"Closed")),"INVALID – corrective action not recorded/closed",""),IF(AND(AS582=1,Documents!$J$22&lt;&gt;"ON FILE"),"INVALID – GLD not on file (Documents sheet)",IF(AND(AS582=2,Documents!$O$22&lt;&gt;"ON FILE"),"INVALID – menu checklist not on file (Documents sheet)",IF(AND(AS582=3,NOT(ISNUMBER(Flights!$AX$22))),"INVALID – enter carrying flight KUL departure (Flights AX)",IF(AG582&gt;AsOfUTC,"INVALID – completion time is in the future",IF(AND(ISNUMBER(S582),AG582&lt;S582),IF(H582="Physical uplift","INVALID – before uplift window (cannot confirm loading)","INVALID – before valid window"),IF(AG582&gt;Flights!$AA$22,"INVALID – completed after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f>
        <v>OPEN</v>
      </c>
      <c r="AI582" s="61" t="n">
        <f aca="false">IF(OR(AH582="N/A – RULE",AH582="N/A – JUSTIFIED"),0,1)</f>
        <v>1</v>
      </c>
      <c r="AJ582" s="61" t="n">
        <f aca="false">IF(LEFT(AH582,8)="COMPLETE",1,0)</f>
        <v>0</v>
      </c>
      <c r="AK582" s="61" t="n">
        <f aca="false">IF(AND(AI582=1,AJ582=0,AsOfUTC&gt;Q582),1,0)</f>
        <v>0</v>
      </c>
      <c r="AL582" s="61" t="n">
        <f aca="false">IF(AND(AI582=1,OR(TRIM(U582)="Fail",AB582="Open",AND(ISNUMBER(AF582),AF582&lt;&gt;0,TRIM(U582)&lt;&gt;"Pass after CA"))),1,0)</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row>
    <row r="583" customFormat="false" ht="39.75" hidden="false" customHeight="true" outlineLevel="0" collapsed="false">
      <c r="A583" s="57" t="s">
        <v>1237</v>
      </c>
      <c r="B583" s="57" t="s">
        <v>283</v>
      </c>
      <c r="C583" s="57" t="str">
        <f aca="false">Flights!$F$22</f>
        <v>MH0052</v>
      </c>
      <c r="D583" s="58" t="n">
        <f aca="false">Flights!$D$22</f>
        <v>46322</v>
      </c>
      <c r="E583" s="57" t="str">
        <f aca="false">Flights!$G$22&amp;"-"&amp;Flights!$H$22</f>
        <v>KUL-KIX</v>
      </c>
      <c r="F583" s="57" t="str">
        <f aca="false">Flights!$K$22</f>
        <v>BC</v>
      </c>
      <c r="G583" s="57" t="s">
        <v>76</v>
      </c>
      <c r="H583" s="57" t="s">
        <v>341</v>
      </c>
      <c r="I583" s="57" t="s">
        <v>342</v>
      </c>
      <c r="J583" s="57" t="s">
        <v>379</v>
      </c>
      <c r="K583" s="67" t="s">
        <v>380</v>
      </c>
      <c r="L583" s="67" t="s">
        <v>381</v>
      </c>
      <c r="M583" s="67"/>
      <c r="N583" s="67" t="s">
        <v>346</v>
      </c>
      <c r="O583" s="67"/>
      <c r="P583" s="57" t="s">
        <v>177</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IF(N583="N/A – rule","N/A – RULE",IF(TRIM(U583)="N/A",IF(AT583=0,"INVALID – N/A not permitted for this mandatory check",IF(AND(TRIM(AC583)&lt;&gt;"",TRIM(AE583)&lt;&gt;"",TRIM(T583)&lt;&gt;""),"N/A – JUSTIFIED","INVALID – N/A needs justification, PIC and verifier")),IF(OR(TRIM(U583)="Pass",TRIM(U583)="Pass after CA"),IF(NOT(ISNUMBER(AD583)),"INVALID – completion time missing",IF(TRIM(T583)="","INVALID – PIC missing",IF(TRIM(Z583)="","INVALID – evidence missing",IF(TRIM(AE583)="","INVALID – verifier missing",IF(AND(AQ583=1,TRIM(W583)=""),"INVALID – batch ID missing",IF(AND(AR583=1,OR(NOT(ISNUMBER(X583)),NOT(ISNUMBER(Y583)))),"INVALID – expected/actual qty missing",IF(IF(AND(TRIM(U583)="Pass",ISNUMBER(AF583)),IF(AF583&lt;&gt;0,"INVALID – qty variance: use Fail or Pass after CA",""),"")&amp;IF(AND(TRIM(U583)="Pass",AB583="Open"),"INVALID – corrective action still open: use Fail, then Pass after CA","")&amp;IF(AND(TRIM(U583)="Pass after CA",OR(TRIM(AA583)="",AB583&lt;&gt;"Closed")),"INVALID – corrective action not recorded/closed","")&lt;&gt;"",IF(AND(TRIM(U583)="Pass",ISNUMBER(AF583)),IF(AF583&lt;&gt;0,"INVALID – qty variance: use Fail or Pass after CA",""),"")&amp;IF(AND(TRIM(U583)="Pass",AB583="Open"),"INVALID – corrective action still open: use Fail, then Pass after CA","")&amp;IF(AND(TRIM(U583)="Pass after CA",OR(TRIM(AA583)="",AB583&lt;&gt;"Closed")),"INVALID – corrective action not recorded/closed",""),IF(AND(AS583=1,Documents!$J$22&lt;&gt;"ON FILE"),"INVALID – GLD not on file (Documents sheet)",IF(AND(AS583=2,Documents!$O$22&lt;&gt;"ON FILE"),"INVALID – menu checklist not on file (Documents sheet)",IF(AND(AS583=3,NOT(ISNUMBER(Flights!$AX$22))),"INVALID – enter carrying flight KUL departure (Flights AX)",IF(AG583&gt;AsOfUTC,"INVALID – completion time is in the future",IF(AND(ISNUMBER(S583),AG583&lt;S583),IF(H583="Physical uplift","INVALID – before uplift window (cannot confirm loading)","INVALID – before valid window"),IF(AG583&gt;Flights!$AA$22,"INVALID – completed after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f>
        <v>OPEN</v>
      </c>
      <c r="AI583" s="61" t="n">
        <f aca="false">IF(OR(AH583="N/A – RULE",AH583="N/A – JUSTIFIED"),0,1)</f>
        <v>1</v>
      </c>
      <c r="AJ583" s="61" t="n">
        <f aca="false">IF(LEFT(AH583,8)="COMPLETE",1,0)</f>
        <v>0</v>
      </c>
      <c r="AK583" s="61" t="n">
        <f aca="false">IF(AND(AI583=1,AJ583=0,AsOfUTC&gt;Q583),1,0)</f>
        <v>0</v>
      </c>
      <c r="AL583" s="61" t="n">
        <f aca="false">IF(AND(AI583=1,OR(TRIM(U583)="Fail",AB583="Open",AND(ISNUMBER(AF583),AF583&lt;&gt;0,TRIM(U583)&lt;&gt;"Pass after CA"))),1,0)</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row>
    <row r="584" customFormat="false" ht="39.75" hidden="false" customHeight="true" outlineLevel="0" collapsed="false">
      <c r="A584" s="57" t="s">
        <v>1238</v>
      </c>
      <c r="B584" s="57" t="s">
        <v>283</v>
      </c>
      <c r="C584" s="57" t="str">
        <f aca="false">Flights!$F$22</f>
        <v>MH0052</v>
      </c>
      <c r="D584" s="58" t="n">
        <f aca="false">Flights!$D$22</f>
        <v>46322</v>
      </c>
      <c r="E584" s="57" t="str">
        <f aca="false">Flights!$G$22&amp;"-"&amp;Flights!$H$22</f>
        <v>KUL-KIX</v>
      </c>
      <c r="F584" s="57" t="str">
        <f aca="false">Flights!$K$22</f>
        <v>BC</v>
      </c>
      <c r="G584" s="57" t="s">
        <v>383</v>
      </c>
      <c r="H584" s="57" t="s">
        <v>341</v>
      </c>
      <c r="I584" s="57" t="s">
        <v>342</v>
      </c>
      <c r="J584" s="57" t="s">
        <v>384</v>
      </c>
      <c r="K584" s="67"/>
      <c r="L584" s="67" t="s">
        <v>385</v>
      </c>
      <c r="M584" s="67"/>
      <c r="N584" s="67" t="s">
        <v>346</v>
      </c>
      <c r="O584" s="67" t="s">
        <v>386</v>
      </c>
      <c r="P584" s="57" t="s">
        <v>177</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IF(N584="N/A – rule","N/A – RULE",IF(TRIM(U584)="N/A",IF(AT584=0,"INVALID – N/A not permitted for this mandatory check",IF(AND(TRIM(AC584)&lt;&gt;"",TRIM(AE584)&lt;&gt;"",TRIM(T584)&lt;&gt;""),"N/A – JUSTIFIED","INVALID – N/A needs justification, PIC and verifier")),IF(OR(TRIM(U584)="Pass",TRIM(U584)="Pass after CA"),IF(NOT(ISNUMBER(AD584)),"INVALID – completion time missing",IF(TRIM(T584)="","INVALID – PIC missing",IF(TRIM(Z584)="","INVALID – evidence missing",IF(TRIM(AE584)="","INVALID – verifier missing",IF(AND(AQ584=1,TRIM(W584)=""),"INVALID – batch ID missing",IF(AND(AR584=1,OR(NOT(ISNUMBER(X584)),NOT(ISNUMBER(Y584)))),"INVALID – expected/actual qty missing",IF(IF(AND(TRIM(U584)="Pass",ISNUMBER(AF584)),IF(AF584&lt;&gt;0,"INVALID – qty variance: use Fail or Pass after CA",""),"")&amp;IF(AND(TRIM(U584)="Pass",AB584="Open"),"INVALID – corrective action still open: use Fail, then Pass after CA","")&amp;IF(AND(TRIM(U584)="Pass after CA",OR(TRIM(AA584)="",AB584&lt;&gt;"Closed")),"INVALID – corrective action not recorded/closed","")&lt;&gt;"",IF(AND(TRIM(U584)="Pass",ISNUMBER(AF584)),IF(AF584&lt;&gt;0,"INVALID – qty variance: use Fail or Pass after CA",""),"")&amp;IF(AND(TRIM(U584)="Pass",AB584="Open"),"INVALID – corrective action still open: use Fail, then Pass after CA","")&amp;IF(AND(TRIM(U584)="Pass after CA",OR(TRIM(AA584)="",AB584&lt;&gt;"Closed")),"INVALID – corrective action not recorded/closed",""),IF(AND(AS584=1,Documents!$J$22&lt;&gt;"ON FILE"),"INVALID – GLD not on file (Documents sheet)",IF(AND(AS584=2,Documents!$O$22&lt;&gt;"ON FILE"),"INVALID – menu checklist not on file (Documents sheet)",IF(AND(AS584=3,NOT(ISNUMBER(Flights!$AX$22))),"INVALID – enter carrying flight KUL departure (Flights AX)",IF(AG584&gt;AsOfUTC,"INVALID – completion time is in the future",IF(AND(ISNUMBER(S584),AG584&lt;S584),IF(H584="Physical uplift","INVALID – before uplift window (cannot confirm loading)","INVALID – before valid window"),IF(AG584&gt;Flights!$AA$22,"INVALID – completed after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f>
        <v>OPEN</v>
      </c>
      <c r="AI584" s="61" t="n">
        <f aca="false">IF(OR(AH584="N/A – RULE",AH584="N/A – JUSTIFIED"),0,1)</f>
        <v>1</v>
      </c>
      <c r="AJ584" s="61" t="n">
        <f aca="false">IF(LEFT(AH584,8)="COMPLETE",1,0)</f>
        <v>0</v>
      </c>
      <c r="AK584" s="61" t="n">
        <f aca="false">IF(AND(AI584=1,AJ584=0,AsOfUTC&gt;Q584),1,0)</f>
        <v>0</v>
      </c>
      <c r="AL584" s="61" t="n">
        <f aca="false">IF(AND(AI584=1,OR(TRIM(U584)="Fail",AB584="Open",AND(ISNUMBER(AF584),AF584&lt;&gt;0,TRIM(U584)&lt;&gt;"Pass after CA"))),1,0)</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row>
    <row r="585" customFormat="false" ht="39.75" hidden="false" customHeight="true" outlineLevel="0" collapsed="false">
      <c r="A585" s="57" t="s">
        <v>1239</v>
      </c>
      <c r="B585" s="57" t="s">
        <v>283</v>
      </c>
      <c r="C585" s="57" t="str">
        <f aca="false">Flights!$F$22</f>
        <v>MH0052</v>
      </c>
      <c r="D585" s="58" t="n">
        <f aca="false">Flights!$D$22</f>
        <v>46322</v>
      </c>
      <c r="E585" s="57" t="str">
        <f aca="false">Flights!$G$22&amp;"-"&amp;Flights!$H$22</f>
        <v>KUL-KIX</v>
      </c>
      <c r="F585" s="57" t="str">
        <f aca="false">Flights!$K$22</f>
        <v>BC</v>
      </c>
      <c r="G585" s="57" t="s">
        <v>383</v>
      </c>
      <c r="H585" s="57" t="s">
        <v>341</v>
      </c>
      <c r="I585" s="57" t="s">
        <v>342</v>
      </c>
      <c r="J585" s="57" t="s">
        <v>388</v>
      </c>
      <c r="K585" s="67" t="s">
        <v>389</v>
      </c>
      <c r="L585" s="67" t="s">
        <v>385</v>
      </c>
      <c r="M585" s="67"/>
      <c r="N585" s="67" t="s">
        <v>346</v>
      </c>
      <c r="O585" s="67" t="s">
        <v>386</v>
      </c>
      <c r="P585" s="57" t="s">
        <v>177</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IF(N585="N/A – rule","N/A – RULE",IF(TRIM(U585)="N/A",IF(AT585=0,"INVALID – N/A not permitted for this mandatory check",IF(AND(TRIM(AC585)&lt;&gt;"",TRIM(AE585)&lt;&gt;"",TRIM(T585)&lt;&gt;""),"N/A – JUSTIFIED","INVALID – N/A needs justification, PIC and verifier")),IF(OR(TRIM(U585)="Pass",TRIM(U585)="Pass after CA"),IF(NOT(ISNUMBER(AD585)),"INVALID – completion time missing",IF(TRIM(T585)="","INVALID – PIC missing",IF(TRIM(Z585)="","INVALID – evidence missing",IF(TRIM(AE585)="","INVALID – verifier missing",IF(AND(AQ585=1,TRIM(W585)=""),"INVALID – batch ID missing",IF(AND(AR585=1,OR(NOT(ISNUMBER(X585)),NOT(ISNUMBER(Y585)))),"INVALID – expected/actual qty missing",IF(IF(AND(TRIM(U585)="Pass",ISNUMBER(AF585)),IF(AF585&lt;&gt;0,"INVALID – qty variance: use Fail or Pass after CA",""),"")&amp;IF(AND(TRIM(U585)="Pass",AB585="Open"),"INVALID – corrective action still open: use Fail, then Pass after CA","")&amp;IF(AND(TRIM(U585)="Pass after CA",OR(TRIM(AA585)="",AB585&lt;&gt;"Closed")),"INVALID – corrective action not recorded/closed","")&lt;&gt;"",IF(AND(TRIM(U585)="Pass",ISNUMBER(AF585)),IF(AF585&lt;&gt;0,"INVALID – qty variance: use Fail or Pass after CA",""),"")&amp;IF(AND(TRIM(U585)="Pass",AB585="Open"),"INVALID – corrective action still open: use Fail, then Pass after CA","")&amp;IF(AND(TRIM(U585)="Pass after CA",OR(TRIM(AA585)="",AB585&lt;&gt;"Closed")),"INVALID – corrective action not recorded/closed",""),IF(AND(AS585=1,Documents!$J$22&lt;&gt;"ON FILE"),"INVALID – GLD not on file (Documents sheet)",IF(AND(AS585=2,Documents!$O$22&lt;&gt;"ON FILE"),"INVALID – menu checklist not on file (Documents sheet)",IF(AND(AS585=3,NOT(ISNUMBER(Flights!$AX$22))),"INVALID – enter carrying flight KUL departure (Flights AX)",IF(AG585&gt;AsOfUTC,"INVALID – completion time is in the future",IF(AND(ISNUMBER(S585),AG585&lt;S585),IF(H585="Physical uplift","INVALID – before uplift window (cannot confirm loading)","INVALID – before valid window"),IF(AG585&gt;Flights!$AA$22,"INVALID – completed after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f>
        <v>OPEN</v>
      </c>
      <c r="AI585" s="61" t="n">
        <f aca="false">IF(OR(AH585="N/A – RULE",AH585="N/A – JUSTIFIED"),0,1)</f>
        <v>1</v>
      </c>
      <c r="AJ585" s="61" t="n">
        <f aca="false">IF(LEFT(AH585,8)="COMPLETE",1,0)</f>
        <v>0</v>
      </c>
      <c r="AK585" s="61" t="n">
        <f aca="false">IF(AND(AI585=1,AJ585=0,AsOfUTC&gt;Q585),1,0)</f>
        <v>0</v>
      </c>
      <c r="AL585" s="61" t="n">
        <f aca="false">IF(AND(AI585=1,OR(TRIM(U585)="Fail",AB585="Open",AND(ISNUMBER(AF585),AF585&lt;&gt;0,TRIM(U585)&lt;&gt;"Pass after CA"))),1,0)</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row>
    <row r="586" customFormat="false" ht="39.75" hidden="false" customHeight="true" outlineLevel="0" collapsed="false">
      <c r="A586" s="57" t="s">
        <v>1240</v>
      </c>
      <c r="B586" s="57" t="s">
        <v>283</v>
      </c>
      <c r="C586" s="57" t="str">
        <f aca="false">Flights!$F$22</f>
        <v>MH0052</v>
      </c>
      <c r="D586" s="58" t="n">
        <f aca="false">Flights!$D$22</f>
        <v>46322</v>
      </c>
      <c r="E586" s="57" t="str">
        <f aca="false">Flights!$G$22&amp;"-"&amp;Flights!$H$22</f>
        <v>KUL-KIX</v>
      </c>
      <c r="F586" s="57" t="str">
        <f aca="false">Flights!$K$22</f>
        <v>BC</v>
      </c>
      <c r="G586" s="57" t="s">
        <v>383</v>
      </c>
      <c r="H586" s="57" t="s">
        <v>341</v>
      </c>
      <c r="I586" s="57" t="s">
        <v>391</v>
      </c>
      <c r="J586" s="57" t="s">
        <v>392</v>
      </c>
      <c r="K586" s="67"/>
      <c r="L586" s="67" t="s">
        <v>385</v>
      </c>
      <c r="M586" s="67"/>
      <c r="N586" s="67" t="s">
        <v>346</v>
      </c>
      <c r="O586" s="67" t="s">
        <v>386</v>
      </c>
      <c r="P586" s="57" t="s">
        <v>177</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IF(N586="N/A – rule","N/A – RULE",IF(TRIM(U586)="N/A",IF(AT586=0,"INVALID – N/A not permitted for this mandatory check",IF(AND(TRIM(AC586)&lt;&gt;"",TRIM(AE586)&lt;&gt;"",TRIM(T586)&lt;&gt;""),"N/A – JUSTIFIED","INVALID – N/A needs justification, PIC and verifier")),IF(OR(TRIM(U586)="Pass",TRIM(U586)="Pass after CA"),IF(NOT(ISNUMBER(AD586)),"INVALID – completion time missing",IF(TRIM(T586)="","INVALID – PIC missing",IF(TRIM(Z586)="","INVALID – evidence missing",IF(TRIM(AE586)="","INVALID – verifier missing",IF(AND(AQ586=1,TRIM(W586)=""),"INVALID – batch ID missing",IF(AND(AR586=1,OR(NOT(ISNUMBER(X586)),NOT(ISNUMBER(Y586)))),"INVALID – expected/actual qty missing",IF(IF(AND(TRIM(U586)="Pass",ISNUMBER(AF586)),IF(AF586&lt;&gt;0,"INVALID – qty variance: use Fail or Pass after CA",""),"")&amp;IF(AND(TRIM(U586)="Pass",AB586="Open"),"INVALID – corrective action still open: use Fail, then Pass after CA","")&amp;IF(AND(TRIM(U586)="Pass after CA",OR(TRIM(AA586)="",AB586&lt;&gt;"Closed")),"INVALID – corrective action not recorded/closed","")&lt;&gt;"",IF(AND(TRIM(U586)="Pass",ISNUMBER(AF586)),IF(AF586&lt;&gt;0,"INVALID – qty variance: use Fail or Pass after CA",""),"")&amp;IF(AND(TRIM(U586)="Pass",AB586="Open"),"INVALID – corrective action still open: use Fail, then Pass after CA","")&amp;IF(AND(TRIM(U586)="Pass after CA",OR(TRIM(AA586)="",AB586&lt;&gt;"Closed")),"INVALID – corrective action not recorded/closed",""),IF(AND(AS586=1,Documents!$J$22&lt;&gt;"ON FILE"),"INVALID – GLD not on file (Documents sheet)",IF(AND(AS586=2,Documents!$O$22&lt;&gt;"ON FILE"),"INVALID – menu checklist not on file (Documents sheet)",IF(AND(AS586=3,NOT(ISNUMBER(Flights!$AX$22))),"INVALID – enter carrying flight KUL departure (Flights AX)",IF(AG586&gt;AsOfUTC,"INVALID – completion time is in the future",IF(AND(ISNUMBER(S586),AG586&lt;S586),IF(H586="Physical uplift","INVALID – before uplift window (cannot confirm loading)","INVALID – before valid window"),IF(AG586&gt;Flights!$AA$22,"INVALID – completed after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f>
        <v>OPEN</v>
      </c>
      <c r="AI586" s="61" t="n">
        <f aca="false">IF(OR(AH586="N/A – RULE",AH586="N/A – JUSTIFIED"),0,1)</f>
        <v>1</v>
      </c>
      <c r="AJ586" s="61" t="n">
        <f aca="false">IF(LEFT(AH586,8)="COMPLETE",1,0)</f>
        <v>0</v>
      </c>
      <c r="AK586" s="61" t="n">
        <f aca="false">IF(AND(AI586=1,AJ586=0,AsOfUTC&gt;Q586),1,0)</f>
        <v>0</v>
      </c>
      <c r="AL586" s="61" t="n">
        <f aca="false">IF(AND(AI586=1,OR(TRIM(U586)="Fail",AB586="Open",AND(ISNUMBER(AF586),AF586&lt;&gt;0,TRIM(U586)&lt;&gt;"Pass after CA"))),1,0)</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row>
    <row r="587" customFormat="false" ht="39.75" hidden="false" customHeight="true" outlineLevel="0" collapsed="false">
      <c r="A587" s="57" t="s">
        <v>1241</v>
      </c>
      <c r="B587" s="57" t="s">
        <v>283</v>
      </c>
      <c r="C587" s="57" t="str">
        <f aca="false">Flights!$F$22</f>
        <v>MH0052</v>
      </c>
      <c r="D587" s="58" t="n">
        <f aca="false">Flights!$D$22</f>
        <v>46322</v>
      </c>
      <c r="E587" s="57" t="str">
        <f aca="false">Flights!$G$22&amp;"-"&amp;Flights!$H$22</f>
        <v>KUL-KIX</v>
      </c>
      <c r="F587" s="57" t="str">
        <f aca="false">Flights!$K$22</f>
        <v>BC</v>
      </c>
      <c r="G587" s="57" t="s">
        <v>383</v>
      </c>
      <c r="H587" s="57" t="s">
        <v>341</v>
      </c>
      <c r="I587" s="57" t="s">
        <v>391</v>
      </c>
      <c r="J587" s="57" t="s">
        <v>394</v>
      </c>
      <c r="K587" s="67"/>
      <c r="L587" s="67" t="s">
        <v>385</v>
      </c>
      <c r="M587" s="67"/>
      <c r="N587" s="67" t="s">
        <v>346</v>
      </c>
      <c r="O587" s="67" t="s">
        <v>386</v>
      </c>
      <c r="P587" s="57" t="s">
        <v>177</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IF(N587="N/A – rule","N/A – RULE",IF(TRIM(U587)="N/A",IF(AT587=0,"INVALID – N/A not permitted for this mandatory check",IF(AND(TRIM(AC587)&lt;&gt;"",TRIM(AE587)&lt;&gt;"",TRIM(T587)&lt;&gt;""),"N/A – JUSTIFIED","INVALID – N/A needs justification, PIC and verifier")),IF(OR(TRIM(U587)="Pass",TRIM(U587)="Pass after CA"),IF(NOT(ISNUMBER(AD587)),"INVALID – completion time missing",IF(TRIM(T587)="","INVALID – PIC missing",IF(TRIM(Z587)="","INVALID – evidence missing",IF(TRIM(AE587)="","INVALID – verifier missing",IF(AND(AQ587=1,TRIM(W587)=""),"INVALID – batch ID missing",IF(AND(AR587=1,OR(NOT(ISNUMBER(X587)),NOT(ISNUMBER(Y587)))),"INVALID – expected/actual qty missing",IF(IF(AND(TRIM(U587)="Pass",ISNUMBER(AF587)),IF(AF587&lt;&gt;0,"INVALID – qty variance: use Fail or Pass after CA",""),"")&amp;IF(AND(TRIM(U587)="Pass",AB587="Open"),"INVALID – corrective action still open: use Fail, then Pass after CA","")&amp;IF(AND(TRIM(U587)="Pass after CA",OR(TRIM(AA587)="",AB587&lt;&gt;"Closed")),"INVALID – corrective action not recorded/closed","")&lt;&gt;"",IF(AND(TRIM(U587)="Pass",ISNUMBER(AF587)),IF(AF587&lt;&gt;0,"INVALID – qty variance: use Fail or Pass after CA",""),"")&amp;IF(AND(TRIM(U587)="Pass",AB587="Open"),"INVALID – corrective action still open: use Fail, then Pass after CA","")&amp;IF(AND(TRIM(U587)="Pass after CA",OR(TRIM(AA587)="",AB587&lt;&gt;"Closed")),"INVALID – corrective action not recorded/closed",""),IF(AND(AS587=1,Documents!$J$22&lt;&gt;"ON FILE"),"INVALID – GLD not on file (Documents sheet)",IF(AND(AS587=2,Documents!$O$22&lt;&gt;"ON FILE"),"INVALID – menu checklist not on file (Documents sheet)",IF(AND(AS587=3,NOT(ISNUMBER(Flights!$AX$22))),"INVALID – enter carrying flight KUL departure (Flights AX)",IF(AG587&gt;AsOfUTC,"INVALID – completion time is in the future",IF(AND(ISNUMBER(S587),AG587&lt;S587),IF(H587="Physical uplift","INVALID – before uplift window (cannot confirm loading)","INVALID – before valid window"),IF(AG587&gt;Flights!$AA$22,"INVALID – completed after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f>
        <v>OPEN</v>
      </c>
      <c r="AI587" s="61" t="n">
        <f aca="false">IF(OR(AH587="N/A – RULE",AH587="N/A – JUSTIFIED"),0,1)</f>
        <v>1</v>
      </c>
      <c r="AJ587" s="61" t="n">
        <f aca="false">IF(LEFT(AH587,8)="COMPLETE",1,0)</f>
        <v>0</v>
      </c>
      <c r="AK587" s="61" t="n">
        <f aca="false">IF(AND(AI587=1,AJ587=0,AsOfUTC&gt;Q587),1,0)</f>
        <v>0</v>
      </c>
      <c r="AL587" s="61" t="n">
        <f aca="false">IF(AND(AI587=1,OR(TRIM(U587)="Fail",AB587="Open",AND(ISNUMBER(AF587),AF587&lt;&gt;0,TRIM(U587)&lt;&gt;"Pass after CA"))),1,0)</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row>
    <row r="588" customFormat="false" ht="39.75" hidden="false" customHeight="true" outlineLevel="0" collapsed="false">
      <c r="A588" s="57" t="s">
        <v>1242</v>
      </c>
      <c r="B588" s="57" t="s">
        <v>283</v>
      </c>
      <c r="C588" s="57" t="str">
        <f aca="false">Flights!$F$22</f>
        <v>MH0052</v>
      </c>
      <c r="D588" s="58" t="n">
        <f aca="false">Flights!$D$22</f>
        <v>46322</v>
      </c>
      <c r="E588" s="57" t="str">
        <f aca="false">Flights!$G$22&amp;"-"&amp;Flights!$H$22</f>
        <v>KUL-KIX</v>
      </c>
      <c r="F588" s="57" t="str">
        <f aca="false">Flights!$K$22</f>
        <v>BC</v>
      </c>
      <c r="G588" s="57" t="s">
        <v>383</v>
      </c>
      <c r="H588" s="57" t="s">
        <v>341</v>
      </c>
      <c r="I588" s="57" t="s">
        <v>391</v>
      </c>
      <c r="J588" s="57" t="s">
        <v>396</v>
      </c>
      <c r="K588" s="67"/>
      <c r="L588" s="67" t="s">
        <v>385</v>
      </c>
      <c r="M588" s="67"/>
      <c r="N588" s="67" t="s">
        <v>346</v>
      </c>
      <c r="O588" s="67" t="s">
        <v>386</v>
      </c>
      <c r="P588" s="57" t="s">
        <v>177</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IF(N588="N/A – rule","N/A – RULE",IF(TRIM(U588)="N/A",IF(AT588=0,"INVALID – N/A not permitted for this mandatory check",IF(AND(TRIM(AC588)&lt;&gt;"",TRIM(AE588)&lt;&gt;"",TRIM(T588)&lt;&gt;""),"N/A – JUSTIFIED","INVALID – N/A needs justification, PIC and verifier")),IF(OR(TRIM(U588)="Pass",TRIM(U588)="Pass after CA"),IF(NOT(ISNUMBER(AD588)),"INVALID – completion time missing",IF(TRIM(T588)="","INVALID – PIC missing",IF(TRIM(Z588)="","INVALID – evidence missing",IF(TRIM(AE588)="","INVALID – verifier missing",IF(AND(AQ588=1,TRIM(W588)=""),"INVALID – batch ID missing",IF(AND(AR588=1,OR(NOT(ISNUMBER(X588)),NOT(ISNUMBER(Y588)))),"INVALID – expected/actual qty missing",IF(IF(AND(TRIM(U588)="Pass",ISNUMBER(AF588)),IF(AF588&lt;&gt;0,"INVALID – qty variance: use Fail or Pass after CA",""),"")&amp;IF(AND(TRIM(U588)="Pass",AB588="Open"),"INVALID – corrective action still open: use Fail, then Pass after CA","")&amp;IF(AND(TRIM(U588)="Pass after CA",OR(TRIM(AA588)="",AB588&lt;&gt;"Closed")),"INVALID – corrective action not recorded/closed","")&lt;&gt;"",IF(AND(TRIM(U588)="Pass",ISNUMBER(AF588)),IF(AF588&lt;&gt;0,"INVALID – qty variance: use Fail or Pass after CA",""),"")&amp;IF(AND(TRIM(U588)="Pass",AB588="Open"),"INVALID – corrective action still open: use Fail, then Pass after CA","")&amp;IF(AND(TRIM(U588)="Pass after CA",OR(TRIM(AA588)="",AB588&lt;&gt;"Closed")),"INVALID – corrective action not recorded/closed",""),IF(AND(AS588=1,Documents!$J$22&lt;&gt;"ON FILE"),"INVALID – GLD not on file (Documents sheet)",IF(AND(AS588=2,Documents!$O$22&lt;&gt;"ON FILE"),"INVALID – menu checklist not on file (Documents sheet)",IF(AND(AS588=3,NOT(ISNUMBER(Flights!$AX$22))),"INVALID – enter carrying flight KUL departure (Flights AX)",IF(AG588&gt;AsOfUTC,"INVALID – completion time is in the future",IF(AND(ISNUMBER(S588),AG588&lt;S588),IF(H588="Physical uplift","INVALID – before uplift window (cannot confirm loading)","INVALID – before valid window"),IF(AG588&gt;Flights!$AA$22,"INVALID – completed after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f>
        <v>OPEN</v>
      </c>
      <c r="AI588" s="61" t="n">
        <f aca="false">IF(OR(AH588="N/A – RULE",AH588="N/A – JUSTIFIED"),0,1)</f>
        <v>1</v>
      </c>
      <c r="AJ588" s="61" t="n">
        <f aca="false">IF(LEFT(AH588,8)="COMPLETE",1,0)</f>
        <v>0</v>
      </c>
      <c r="AK588" s="61" t="n">
        <f aca="false">IF(AND(AI588=1,AJ588=0,AsOfUTC&gt;Q588),1,0)</f>
        <v>0</v>
      </c>
      <c r="AL588" s="61" t="n">
        <f aca="false">IF(AND(AI588=1,OR(TRIM(U588)="Fail",AB588="Open",AND(ISNUMBER(AF588),AF588&lt;&gt;0,TRIM(U588)&lt;&gt;"Pass after CA"))),1,0)</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row>
    <row r="589" customFormat="false" ht="78.75" hidden="false" customHeight="true" outlineLevel="0" collapsed="false">
      <c r="A589" s="57" t="s">
        <v>1243</v>
      </c>
      <c r="B589" s="57" t="s">
        <v>283</v>
      </c>
      <c r="C589" s="57" t="str">
        <f aca="false">Flights!$F$22</f>
        <v>MH0052</v>
      </c>
      <c r="D589" s="58" t="n">
        <f aca="false">Flights!$D$22</f>
        <v>46322</v>
      </c>
      <c r="E589" s="57" t="str">
        <f aca="false">Flights!$G$22&amp;"-"&amp;Flights!$H$22</f>
        <v>KUL-KIX</v>
      </c>
      <c r="F589" s="57" t="str">
        <f aca="false">Flights!$K$22</f>
        <v>BC</v>
      </c>
      <c r="G589" s="57" t="s">
        <v>383</v>
      </c>
      <c r="H589" s="57" t="s">
        <v>341</v>
      </c>
      <c r="I589" s="57" t="s">
        <v>391</v>
      </c>
      <c r="J589" s="57" t="s">
        <v>398</v>
      </c>
      <c r="K589" s="67" t="s">
        <v>536</v>
      </c>
      <c r="L589" s="67" t="s">
        <v>385</v>
      </c>
      <c r="M589" s="67"/>
      <c r="N589" s="67" t="s">
        <v>346</v>
      </c>
      <c r="O589" s="67" t="s">
        <v>386</v>
      </c>
      <c r="P589" s="57" t="s">
        <v>177</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IF(N589="N/A – rule","N/A – RULE",IF(TRIM(U589)="N/A",IF(AT589=0,"INVALID – N/A not permitted for this mandatory check",IF(AND(TRIM(AC589)&lt;&gt;"",TRIM(AE589)&lt;&gt;"",TRIM(T589)&lt;&gt;""),"N/A – JUSTIFIED","INVALID – N/A needs justification, PIC and verifier")),IF(OR(TRIM(U589)="Pass",TRIM(U589)="Pass after CA"),IF(NOT(ISNUMBER(AD589)),"INVALID – completion time missing",IF(TRIM(T589)="","INVALID – PIC missing",IF(TRIM(Z589)="","INVALID – evidence missing",IF(TRIM(AE589)="","INVALID – verifier missing",IF(AND(AQ589=1,TRIM(W589)=""),"INVALID – batch ID missing",IF(AND(AR589=1,OR(NOT(ISNUMBER(X589)),NOT(ISNUMBER(Y589)))),"INVALID – expected/actual qty missing",IF(IF(AND(TRIM(U589)="Pass",ISNUMBER(AF589)),IF(AF589&lt;&gt;0,"INVALID – qty variance: use Fail or Pass after CA",""),"")&amp;IF(AND(TRIM(U589)="Pass",AB589="Open"),"INVALID – corrective action still open: use Fail, then Pass after CA","")&amp;IF(AND(TRIM(U589)="Pass after CA",OR(TRIM(AA589)="",AB589&lt;&gt;"Closed")),"INVALID – corrective action not recorded/closed","")&lt;&gt;"",IF(AND(TRIM(U589)="Pass",ISNUMBER(AF589)),IF(AF589&lt;&gt;0,"INVALID – qty variance: use Fail or Pass after CA",""),"")&amp;IF(AND(TRIM(U589)="Pass",AB589="Open"),"INVALID – corrective action still open: use Fail, then Pass after CA","")&amp;IF(AND(TRIM(U589)="Pass after CA",OR(TRIM(AA589)="",AB589&lt;&gt;"Closed")),"INVALID – corrective action not recorded/closed",""),IF(AND(AS589=1,Documents!$J$22&lt;&gt;"ON FILE"),"INVALID – GLD not on file (Documents sheet)",IF(AND(AS589=2,Documents!$O$22&lt;&gt;"ON FILE"),"INVALID – menu checklist not on file (Documents sheet)",IF(AND(AS589=3,NOT(ISNUMBER(Flights!$AX$22))),"INVALID – enter carrying flight KUL departure (Flights AX)",IF(AG589&gt;AsOfUTC,"INVALID – completion time is in the future",IF(AND(ISNUMBER(S589),AG589&lt;S589),IF(H589="Physical uplift","INVALID – before uplift window (cannot confirm loading)","INVALID – before valid window"),IF(AG589&gt;Flights!$AA$22,"INVALID – completed after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f>
        <v>OPEN</v>
      </c>
      <c r="AI589" s="61" t="n">
        <f aca="false">IF(OR(AH589="N/A – RULE",AH589="N/A – JUSTIFIED"),0,1)</f>
        <v>1</v>
      </c>
      <c r="AJ589" s="61" t="n">
        <f aca="false">IF(LEFT(AH589,8)="COMPLETE",1,0)</f>
        <v>0</v>
      </c>
      <c r="AK589" s="61" t="n">
        <f aca="false">IF(AND(AI589=1,AJ589=0,AsOfUTC&gt;Q589),1,0)</f>
        <v>0</v>
      </c>
      <c r="AL589" s="61" t="n">
        <f aca="false">IF(AND(AI589=1,OR(TRIM(U589)="Fail",AB589="Open",AND(ISNUMBER(AF589),AF589&lt;&gt;0,TRIM(U589)&lt;&gt;"Pass after CA"))),1,0)</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row>
    <row r="590" customFormat="false" ht="39.75" hidden="false" customHeight="true" outlineLevel="0" collapsed="false">
      <c r="A590" s="57" t="s">
        <v>1244</v>
      </c>
      <c r="B590" s="57" t="s">
        <v>283</v>
      </c>
      <c r="C590" s="57" t="str">
        <f aca="false">Flights!$F$22</f>
        <v>MH0052</v>
      </c>
      <c r="D590" s="58" t="n">
        <f aca="false">Flights!$D$22</f>
        <v>46322</v>
      </c>
      <c r="E590" s="57" t="str">
        <f aca="false">Flights!$G$22&amp;"-"&amp;Flights!$H$22</f>
        <v>KUL-KIX</v>
      </c>
      <c r="F590" s="57" t="str">
        <f aca="false">Flights!$K$22</f>
        <v>BC</v>
      </c>
      <c r="G590" s="57" t="s">
        <v>383</v>
      </c>
      <c r="H590" s="57" t="s">
        <v>341</v>
      </c>
      <c r="I590" s="57" t="s">
        <v>391</v>
      </c>
      <c r="J590" s="57" t="s">
        <v>401</v>
      </c>
      <c r="K590" s="67"/>
      <c r="L590" s="67" t="s">
        <v>385</v>
      </c>
      <c r="M590" s="67"/>
      <c r="N590" s="67" t="s">
        <v>346</v>
      </c>
      <c r="O590" s="67" t="s">
        <v>386</v>
      </c>
      <c r="P590" s="57" t="s">
        <v>177</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IF(N590="N/A – rule","N/A – RULE",IF(TRIM(U590)="N/A",IF(AT590=0,"INVALID – N/A not permitted for this mandatory check",IF(AND(TRIM(AC590)&lt;&gt;"",TRIM(AE590)&lt;&gt;"",TRIM(T590)&lt;&gt;""),"N/A – JUSTIFIED","INVALID – N/A needs justification, PIC and verifier")),IF(OR(TRIM(U590)="Pass",TRIM(U590)="Pass after CA"),IF(NOT(ISNUMBER(AD590)),"INVALID – completion time missing",IF(TRIM(T590)="","INVALID – PIC missing",IF(TRIM(Z590)="","INVALID – evidence missing",IF(TRIM(AE590)="","INVALID – verifier missing",IF(AND(AQ590=1,TRIM(W590)=""),"INVALID – batch ID missing",IF(AND(AR590=1,OR(NOT(ISNUMBER(X590)),NOT(ISNUMBER(Y590)))),"INVALID – expected/actual qty missing",IF(IF(AND(TRIM(U590)="Pass",ISNUMBER(AF590)),IF(AF590&lt;&gt;0,"INVALID – qty variance: use Fail or Pass after CA",""),"")&amp;IF(AND(TRIM(U590)="Pass",AB590="Open"),"INVALID – corrective action still open: use Fail, then Pass after CA","")&amp;IF(AND(TRIM(U590)="Pass after CA",OR(TRIM(AA590)="",AB590&lt;&gt;"Closed")),"INVALID – corrective action not recorded/closed","")&lt;&gt;"",IF(AND(TRIM(U590)="Pass",ISNUMBER(AF590)),IF(AF590&lt;&gt;0,"INVALID – qty variance: use Fail or Pass after CA",""),"")&amp;IF(AND(TRIM(U590)="Pass",AB590="Open"),"INVALID – corrective action still open: use Fail, then Pass after CA","")&amp;IF(AND(TRIM(U590)="Pass after CA",OR(TRIM(AA590)="",AB590&lt;&gt;"Closed")),"INVALID – corrective action not recorded/closed",""),IF(AND(AS590=1,Documents!$J$22&lt;&gt;"ON FILE"),"INVALID – GLD not on file (Documents sheet)",IF(AND(AS590=2,Documents!$O$22&lt;&gt;"ON FILE"),"INVALID – menu checklist not on file (Documents sheet)",IF(AND(AS590=3,NOT(ISNUMBER(Flights!$AX$22))),"INVALID – enter carrying flight KUL departure (Flights AX)",IF(AG590&gt;AsOfUTC,"INVALID – completion time is in the future",IF(AND(ISNUMBER(S590),AG590&lt;S590),IF(H590="Physical uplift","INVALID – before uplift window (cannot confirm loading)","INVALID – before valid window"),IF(AG590&gt;Flights!$AA$22,"INVALID – completed after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f>
        <v>OPEN</v>
      </c>
      <c r="AI590" s="61" t="n">
        <f aca="false">IF(OR(AH590="N/A – RULE",AH590="N/A – JUSTIFIED"),0,1)</f>
        <v>1</v>
      </c>
      <c r="AJ590" s="61" t="n">
        <f aca="false">IF(LEFT(AH590,8)="COMPLETE",1,0)</f>
        <v>0</v>
      </c>
      <c r="AK590" s="61" t="n">
        <f aca="false">IF(AND(AI590=1,AJ590=0,AsOfUTC&gt;Q590),1,0)</f>
        <v>0</v>
      </c>
      <c r="AL590" s="61" t="n">
        <f aca="false">IF(AND(AI590=1,OR(TRIM(U590)="Fail",AB590="Open",AND(ISNUMBER(AF590),AF590&lt;&gt;0,TRIM(U590)&lt;&gt;"Pass after CA"))),1,0)</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row>
    <row r="591" customFormat="false" ht="39.75" hidden="false" customHeight="true" outlineLevel="0" collapsed="false">
      <c r="A591" s="57" t="s">
        <v>1245</v>
      </c>
      <c r="B591" s="57" t="s">
        <v>283</v>
      </c>
      <c r="C591" s="57" t="str">
        <f aca="false">Flights!$F$22</f>
        <v>MH0052</v>
      </c>
      <c r="D591" s="58" t="n">
        <f aca="false">Flights!$D$22</f>
        <v>46322</v>
      </c>
      <c r="E591" s="57" t="str">
        <f aca="false">Flights!$G$22&amp;"-"&amp;Flights!$H$22</f>
        <v>KUL-KIX</v>
      </c>
      <c r="F591" s="57" t="str">
        <f aca="false">Flights!$K$22</f>
        <v>BC</v>
      </c>
      <c r="G591" s="57" t="s">
        <v>383</v>
      </c>
      <c r="H591" s="57" t="s">
        <v>341</v>
      </c>
      <c r="I591" s="57" t="s">
        <v>403</v>
      </c>
      <c r="J591" s="57" t="s">
        <v>566</v>
      </c>
      <c r="K591" s="67" t="s">
        <v>464</v>
      </c>
      <c r="L591" s="67" t="s">
        <v>1246</v>
      </c>
      <c r="M591" s="67" t="s">
        <v>177</v>
      </c>
      <c r="N591" s="67" t="s">
        <v>346</v>
      </c>
      <c r="O591" s="67"/>
      <c r="P591" s="57" t="s">
        <v>177</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IF(N591="N/A – rule","N/A – RULE",IF(TRIM(U591)="N/A",IF(AT591=0,"INVALID – N/A not permitted for this mandatory check",IF(AND(TRIM(AC591)&lt;&gt;"",TRIM(AE591)&lt;&gt;"",TRIM(T591)&lt;&gt;""),"N/A – JUSTIFIED","INVALID – N/A needs justification, PIC and verifier")),IF(OR(TRIM(U591)="Pass",TRIM(U591)="Pass after CA"),IF(NOT(ISNUMBER(AD591)),"INVALID – completion time missing",IF(TRIM(T591)="","INVALID – PIC missing",IF(TRIM(Z591)="","INVALID – evidence missing",IF(TRIM(AE591)="","INVALID – verifier missing",IF(AND(AQ591=1,TRIM(W591)=""),"INVALID – batch ID missing",IF(AND(AR591=1,OR(NOT(ISNUMBER(X591)),NOT(ISNUMBER(Y591)))),"INVALID – expected/actual qty missing",IF(IF(AND(TRIM(U591)="Pass",ISNUMBER(AF591)),IF(AF591&lt;&gt;0,"INVALID – qty variance: use Fail or Pass after CA",""),"")&amp;IF(AND(TRIM(U591)="Pass",AB591="Open"),"INVALID – corrective action still open: use Fail, then Pass after CA","")&amp;IF(AND(TRIM(U591)="Pass after CA",OR(TRIM(AA591)="",AB591&lt;&gt;"Closed")),"INVALID – corrective action not recorded/closed","")&lt;&gt;"",IF(AND(TRIM(U591)="Pass",ISNUMBER(AF591)),IF(AF591&lt;&gt;0,"INVALID – qty variance: use Fail or Pass after CA",""),"")&amp;IF(AND(TRIM(U591)="Pass",AB591="Open"),"INVALID – corrective action still open: use Fail, then Pass after CA","")&amp;IF(AND(TRIM(U591)="Pass after CA",OR(TRIM(AA591)="",AB591&lt;&gt;"Closed")),"INVALID – corrective action not recorded/closed",""),IF(AND(AS591=1,Documents!$J$22&lt;&gt;"ON FILE"),"INVALID – GLD not on file (Documents sheet)",IF(AND(AS591=2,Documents!$O$22&lt;&gt;"ON FILE"),"INVALID – menu checklist not on file (Documents sheet)",IF(AND(AS591=3,NOT(ISNUMBER(Flights!$AX$22))),"INVALID – enter carrying flight KUL departure (Flights AX)",IF(AG591&gt;AsOfUTC,"INVALID – completion time is in the future",IF(AND(ISNUMBER(S591),AG591&lt;S591),IF(H591="Physical uplift","INVALID – before uplift window (cannot confirm loading)","INVALID – before valid window"),IF(AG591&gt;Flights!$AA$22,"INVALID – completed after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f>
        <v>OPEN</v>
      </c>
      <c r="AI591" s="61" t="n">
        <f aca="false">IF(OR(AH591="N/A – RULE",AH591="N/A – JUSTIFIED"),0,1)</f>
        <v>1</v>
      </c>
      <c r="AJ591" s="61" t="n">
        <f aca="false">IF(LEFT(AH591,8)="COMPLETE",1,0)</f>
        <v>0</v>
      </c>
      <c r="AK591" s="61" t="n">
        <f aca="false">IF(AND(AI591=1,AJ591=0,AsOfUTC&gt;Q591),1,0)</f>
        <v>0</v>
      </c>
      <c r="AL591" s="61" t="n">
        <f aca="false">IF(AND(AI591=1,OR(TRIM(U591)="Fail",AB591="Open",AND(ISNUMBER(AF591),AF591&lt;&gt;0,TRIM(U591)&lt;&gt;"Pass after CA"))),1,0)</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1</v>
      </c>
    </row>
    <row r="592" customFormat="false" ht="41.25" hidden="false" customHeight="true" outlineLevel="0" collapsed="false">
      <c r="A592" s="57" t="s">
        <v>1247</v>
      </c>
      <c r="B592" s="57" t="s">
        <v>283</v>
      </c>
      <c r="C592" s="57" t="str">
        <f aca="false">Flights!$F$22</f>
        <v>MH0052</v>
      </c>
      <c r="D592" s="58" t="n">
        <f aca="false">Flights!$D$22</f>
        <v>46322</v>
      </c>
      <c r="E592" s="57" t="str">
        <f aca="false">Flights!$G$22&amp;"-"&amp;Flights!$H$22</f>
        <v>KUL-KIX</v>
      </c>
      <c r="F592" s="57" t="str">
        <f aca="false">Flights!$K$22</f>
        <v>BC</v>
      </c>
      <c r="G592" s="57" t="s">
        <v>383</v>
      </c>
      <c r="H592" s="57" t="s">
        <v>341</v>
      </c>
      <c r="I592" s="57" t="s">
        <v>462</v>
      </c>
      <c r="J592" s="57" t="s">
        <v>463</v>
      </c>
      <c r="K592" s="67" t="s">
        <v>464</v>
      </c>
      <c r="L592" s="67" t="s">
        <v>1248</v>
      </c>
      <c r="M592" s="67" t="s">
        <v>414</v>
      </c>
      <c r="N592" s="67" t="s">
        <v>346</v>
      </c>
      <c r="O592" s="67" t="s">
        <v>466</v>
      </c>
      <c r="P592" s="57" t="s">
        <v>177</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IF(N592="N/A – rule","N/A – RULE",IF(TRIM(U592)="N/A",IF(AT592=0,"INVALID – N/A not permitted for this mandatory check",IF(AND(TRIM(AC592)&lt;&gt;"",TRIM(AE592)&lt;&gt;"",TRIM(T592)&lt;&gt;""),"N/A – JUSTIFIED","INVALID – N/A needs justification, PIC and verifier")),IF(OR(TRIM(U592)="Pass",TRIM(U592)="Pass after CA"),IF(NOT(ISNUMBER(AD592)),"INVALID – completion time missing",IF(TRIM(T592)="","INVALID – PIC missing",IF(TRIM(Z592)="","INVALID – evidence missing",IF(TRIM(AE592)="","INVALID – verifier missing",IF(AND(AQ592=1,TRIM(W592)=""),"INVALID – batch ID missing",IF(AND(AR592=1,OR(NOT(ISNUMBER(X592)),NOT(ISNUMBER(Y592)))),"INVALID – expected/actual qty missing",IF(IF(AND(TRIM(U592)="Pass",ISNUMBER(AF592)),IF(AF592&lt;&gt;0,"INVALID – qty variance: use Fail or Pass after CA",""),"")&amp;IF(AND(TRIM(U592)="Pass",AB592="Open"),"INVALID – corrective action still open: use Fail, then Pass after CA","")&amp;IF(AND(TRIM(U592)="Pass after CA",OR(TRIM(AA592)="",AB592&lt;&gt;"Closed")),"INVALID – corrective action not recorded/closed","")&lt;&gt;"",IF(AND(TRIM(U592)="Pass",ISNUMBER(AF592)),IF(AF592&lt;&gt;0,"INVALID – qty variance: use Fail or Pass after CA",""),"")&amp;IF(AND(TRIM(U592)="Pass",AB592="Open"),"INVALID – corrective action still open: use Fail, then Pass after CA","")&amp;IF(AND(TRIM(U592)="Pass after CA",OR(TRIM(AA592)="",AB592&lt;&gt;"Closed")),"INVALID – corrective action not recorded/closed",""),IF(AND(AS592=1,Documents!$J$22&lt;&gt;"ON FILE"),"INVALID – GLD not on file (Documents sheet)",IF(AND(AS592=2,Documents!$O$22&lt;&gt;"ON FILE"),"INVALID – menu checklist not on file (Documents sheet)",IF(AND(AS592=3,NOT(ISNUMBER(Flights!$AX$22))),"INVALID – enter carrying flight KUL departure (Flights AX)",IF(AG592&gt;AsOfUTC,"INVALID – completion time is in the future",IF(AND(ISNUMBER(S592),AG592&lt;S592),IF(H592="Physical uplift","INVALID – before uplift window (cannot confirm loading)","INVALID – before valid window"),IF(AG592&gt;Flights!$AA$22,"INVALID – completed after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f>
        <v>OPEN</v>
      </c>
      <c r="AI592" s="61" t="n">
        <f aca="false">IF(OR(AH592="N/A – RULE",AH592="N/A – JUSTIFIED"),0,1)</f>
        <v>1</v>
      </c>
      <c r="AJ592" s="61" t="n">
        <f aca="false">IF(LEFT(AH592,8)="COMPLETE",1,0)</f>
        <v>0</v>
      </c>
      <c r="AK592" s="61" t="n">
        <f aca="false">IF(AND(AI592=1,AJ592=0,AsOfUTC&gt;Q592),1,0)</f>
        <v>0</v>
      </c>
      <c r="AL592" s="61" t="n">
        <f aca="false">IF(AND(AI592=1,OR(TRIM(U592)="Fail",AB592="Open",AND(ISNUMBER(AF592),AF592&lt;&gt;0,TRIM(U592)&lt;&gt;"Pass after CA"))),1,0)</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1</v>
      </c>
    </row>
    <row r="593" customFormat="false" ht="41.25" hidden="false" customHeight="true" outlineLevel="0" collapsed="false">
      <c r="A593" s="57" t="s">
        <v>1249</v>
      </c>
      <c r="B593" s="57" t="s">
        <v>283</v>
      </c>
      <c r="C593" s="57" t="str">
        <f aca="false">Flights!$F$22</f>
        <v>MH0052</v>
      </c>
      <c r="D593" s="58" t="n">
        <f aca="false">Flights!$D$22</f>
        <v>46322</v>
      </c>
      <c r="E593" s="57" t="str">
        <f aca="false">Flights!$G$22&amp;"-"&amp;Flights!$H$22</f>
        <v>KUL-KIX</v>
      </c>
      <c r="F593" s="57" t="str">
        <f aca="false">Flights!$K$22</f>
        <v>BC</v>
      </c>
      <c r="G593" s="57" t="s">
        <v>383</v>
      </c>
      <c r="H593" s="57" t="s">
        <v>341</v>
      </c>
      <c r="I593" s="57" t="s">
        <v>462</v>
      </c>
      <c r="J593" s="57" t="s">
        <v>468</v>
      </c>
      <c r="K593" s="67" t="s">
        <v>464</v>
      </c>
      <c r="L593" s="67" t="s">
        <v>1250</v>
      </c>
      <c r="M593" s="67" t="s">
        <v>414</v>
      </c>
      <c r="N593" s="67" t="s">
        <v>346</v>
      </c>
      <c r="O593" s="67" t="s">
        <v>466</v>
      </c>
      <c r="P593" s="57" t="s">
        <v>177</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IF(N593="N/A – rule","N/A – RULE",IF(TRIM(U593)="N/A",IF(AT593=0,"INVALID – N/A not permitted for this mandatory check",IF(AND(TRIM(AC593)&lt;&gt;"",TRIM(AE593)&lt;&gt;"",TRIM(T593)&lt;&gt;""),"N/A – JUSTIFIED","INVALID – N/A needs justification, PIC and verifier")),IF(OR(TRIM(U593)="Pass",TRIM(U593)="Pass after CA"),IF(NOT(ISNUMBER(AD593)),"INVALID – completion time missing",IF(TRIM(T593)="","INVALID – PIC missing",IF(TRIM(Z593)="","INVALID – evidence missing",IF(TRIM(AE593)="","INVALID – verifier missing",IF(AND(AQ593=1,TRIM(W593)=""),"INVALID – batch ID missing",IF(AND(AR593=1,OR(NOT(ISNUMBER(X593)),NOT(ISNUMBER(Y593)))),"INVALID – expected/actual qty missing",IF(IF(AND(TRIM(U593)="Pass",ISNUMBER(AF593)),IF(AF593&lt;&gt;0,"INVALID – qty variance: use Fail or Pass after CA",""),"")&amp;IF(AND(TRIM(U593)="Pass",AB593="Open"),"INVALID – corrective action still open: use Fail, then Pass after CA","")&amp;IF(AND(TRIM(U593)="Pass after CA",OR(TRIM(AA593)="",AB593&lt;&gt;"Closed")),"INVALID – corrective action not recorded/closed","")&lt;&gt;"",IF(AND(TRIM(U593)="Pass",ISNUMBER(AF593)),IF(AF593&lt;&gt;0,"INVALID – qty variance: use Fail or Pass after CA",""),"")&amp;IF(AND(TRIM(U593)="Pass",AB593="Open"),"INVALID – corrective action still open: use Fail, then Pass after CA","")&amp;IF(AND(TRIM(U593)="Pass after CA",OR(TRIM(AA593)="",AB593&lt;&gt;"Closed")),"INVALID – corrective action not recorded/closed",""),IF(AND(AS593=1,Documents!$J$22&lt;&gt;"ON FILE"),"INVALID – GLD not on file (Documents sheet)",IF(AND(AS593=2,Documents!$O$22&lt;&gt;"ON FILE"),"INVALID – menu checklist not on file (Documents sheet)",IF(AND(AS593=3,NOT(ISNUMBER(Flights!$AX$22))),"INVALID – enter carrying flight KUL departure (Flights AX)",IF(AG593&gt;AsOfUTC,"INVALID – completion time is in the future",IF(AND(ISNUMBER(S593),AG593&lt;S593),IF(H593="Physical uplift","INVALID – before uplift window (cannot confirm loading)","INVALID – before valid window"),IF(AG593&gt;Flights!$AA$22,"INVALID – completed after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f>
        <v>OPEN</v>
      </c>
      <c r="AI593" s="61" t="n">
        <f aca="false">IF(OR(AH593="N/A – RULE",AH593="N/A – JUSTIFIED"),0,1)</f>
        <v>1</v>
      </c>
      <c r="AJ593" s="61" t="n">
        <f aca="false">IF(LEFT(AH593,8)="COMPLETE",1,0)</f>
        <v>0</v>
      </c>
      <c r="AK593" s="61" t="n">
        <f aca="false">IF(AND(AI593=1,AJ593=0,AsOfUTC&gt;Q593),1,0)</f>
        <v>0</v>
      </c>
      <c r="AL593" s="61" t="n">
        <f aca="false">IF(AND(AI593=1,OR(TRIM(U593)="Fail",AB593="Open",AND(ISNUMBER(AF593),AF593&lt;&gt;0,TRIM(U593)&lt;&gt;"Pass after CA"))),1,0)</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1</v>
      </c>
    </row>
    <row r="594" customFormat="false" ht="41.25" hidden="false" customHeight="true" outlineLevel="0" collapsed="false">
      <c r="A594" s="57" t="s">
        <v>1251</v>
      </c>
      <c r="B594" s="57" t="s">
        <v>283</v>
      </c>
      <c r="C594" s="57" t="str">
        <f aca="false">Flights!$F$22</f>
        <v>MH0052</v>
      </c>
      <c r="D594" s="58" t="n">
        <f aca="false">Flights!$D$22</f>
        <v>46322</v>
      </c>
      <c r="E594" s="57" t="str">
        <f aca="false">Flights!$G$22&amp;"-"&amp;Flights!$H$22</f>
        <v>KUL-KIX</v>
      </c>
      <c r="F594" s="57" t="str">
        <f aca="false">Flights!$K$22</f>
        <v>BC</v>
      </c>
      <c r="G594" s="57" t="s">
        <v>383</v>
      </c>
      <c r="H594" s="57" t="s">
        <v>341</v>
      </c>
      <c r="I594" s="57" t="s">
        <v>462</v>
      </c>
      <c r="J594" s="57" t="s">
        <v>471</v>
      </c>
      <c r="K594" s="67" t="s">
        <v>464</v>
      </c>
      <c r="L594" s="67" t="s">
        <v>1252</v>
      </c>
      <c r="M594" s="67" t="s">
        <v>414</v>
      </c>
      <c r="N594" s="67" t="s">
        <v>346</v>
      </c>
      <c r="O594" s="67" t="s">
        <v>466</v>
      </c>
      <c r="P594" s="57" t="s">
        <v>177</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IF(N594="N/A – rule","N/A – RULE",IF(TRIM(U594)="N/A",IF(AT594=0,"INVALID – N/A not permitted for this mandatory check",IF(AND(TRIM(AC594)&lt;&gt;"",TRIM(AE594)&lt;&gt;"",TRIM(T594)&lt;&gt;""),"N/A – JUSTIFIED","INVALID – N/A needs justification, PIC and verifier")),IF(OR(TRIM(U594)="Pass",TRIM(U594)="Pass after CA"),IF(NOT(ISNUMBER(AD594)),"INVALID – completion time missing",IF(TRIM(T594)="","INVALID – PIC missing",IF(TRIM(Z594)="","INVALID – evidence missing",IF(TRIM(AE594)="","INVALID – verifier missing",IF(AND(AQ594=1,TRIM(W594)=""),"INVALID – batch ID missing",IF(AND(AR594=1,OR(NOT(ISNUMBER(X594)),NOT(ISNUMBER(Y594)))),"INVALID – expected/actual qty missing",IF(IF(AND(TRIM(U594)="Pass",ISNUMBER(AF594)),IF(AF594&lt;&gt;0,"INVALID – qty variance: use Fail or Pass after CA",""),"")&amp;IF(AND(TRIM(U594)="Pass",AB594="Open"),"INVALID – corrective action still open: use Fail, then Pass after CA","")&amp;IF(AND(TRIM(U594)="Pass after CA",OR(TRIM(AA594)="",AB594&lt;&gt;"Closed")),"INVALID – corrective action not recorded/closed","")&lt;&gt;"",IF(AND(TRIM(U594)="Pass",ISNUMBER(AF594)),IF(AF594&lt;&gt;0,"INVALID – qty variance: use Fail or Pass after CA",""),"")&amp;IF(AND(TRIM(U594)="Pass",AB594="Open"),"INVALID – corrective action still open: use Fail, then Pass after CA","")&amp;IF(AND(TRIM(U594)="Pass after CA",OR(TRIM(AA594)="",AB594&lt;&gt;"Closed")),"INVALID – corrective action not recorded/closed",""),IF(AND(AS594=1,Documents!$J$22&lt;&gt;"ON FILE"),"INVALID – GLD not on file (Documents sheet)",IF(AND(AS594=2,Documents!$O$22&lt;&gt;"ON FILE"),"INVALID – menu checklist not on file (Documents sheet)",IF(AND(AS594=3,NOT(ISNUMBER(Flights!$AX$22))),"INVALID – enter carrying flight KUL departure (Flights AX)",IF(AG594&gt;AsOfUTC,"INVALID – completion time is in the future",IF(AND(ISNUMBER(S594),AG594&lt;S594),IF(H594="Physical uplift","INVALID – before uplift window (cannot confirm loading)","INVALID – before valid window"),IF(AG594&gt;Flights!$AA$22,"INVALID – completed after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f>
        <v>OPEN</v>
      </c>
      <c r="AI594" s="61" t="n">
        <f aca="false">IF(OR(AH594="N/A – RULE",AH594="N/A – JUSTIFIED"),0,1)</f>
        <v>1</v>
      </c>
      <c r="AJ594" s="61" t="n">
        <f aca="false">IF(LEFT(AH594,8)="COMPLETE",1,0)</f>
        <v>0</v>
      </c>
      <c r="AK594" s="61" t="n">
        <f aca="false">IF(AND(AI594=1,AJ594=0,AsOfUTC&gt;Q594),1,0)</f>
        <v>0</v>
      </c>
      <c r="AL594" s="61" t="n">
        <f aca="false">IF(AND(AI594=1,OR(TRIM(U594)="Fail",AB594="Open",AND(ISNUMBER(AF594),AF594&lt;&gt;0,TRIM(U594)&lt;&gt;"Pass after CA"))),1,0)</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1</v>
      </c>
    </row>
    <row r="595" customFormat="false" ht="41.25" hidden="false" customHeight="true" outlineLevel="0" collapsed="false">
      <c r="A595" s="57" t="s">
        <v>1253</v>
      </c>
      <c r="B595" s="57" t="s">
        <v>283</v>
      </c>
      <c r="C595" s="57" t="str">
        <f aca="false">Flights!$F$22</f>
        <v>MH0052</v>
      </c>
      <c r="D595" s="58" t="n">
        <f aca="false">Flights!$D$22</f>
        <v>46322</v>
      </c>
      <c r="E595" s="57" t="str">
        <f aca="false">Flights!$G$22&amp;"-"&amp;Flights!$H$22</f>
        <v>KUL-KIX</v>
      </c>
      <c r="F595" s="57" t="str">
        <f aca="false">Flights!$K$22</f>
        <v>BC</v>
      </c>
      <c r="G595" s="57" t="s">
        <v>383</v>
      </c>
      <c r="H595" s="57" t="s">
        <v>341</v>
      </c>
      <c r="I595" s="57" t="s">
        <v>462</v>
      </c>
      <c r="J595" s="57" t="s">
        <v>474</v>
      </c>
      <c r="K595" s="67" t="s">
        <v>464</v>
      </c>
      <c r="L595" s="67" t="s">
        <v>1254</v>
      </c>
      <c r="M595" s="67" t="s">
        <v>414</v>
      </c>
      <c r="N595" s="67" t="s">
        <v>346</v>
      </c>
      <c r="O595" s="67" t="s">
        <v>466</v>
      </c>
      <c r="P595" s="57" t="s">
        <v>177</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IF(N595="N/A – rule","N/A – RULE",IF(TRIM(U595)="N/A",IF(AT595=0,"INVALID – N/A not permitted for this mandatory check",IF(AND(TRIM(AC595)&lt;&gt;"",TRIM(AE595)&lt;&gt;"",TRIM(T595)&lt;&gt;""),"N/A – JUSTIFIED","INVALID – N/A needs justification, PIC and verifier")),IF(OR(TRIM(U595)="Pass",TRIM(U595)="Pass after CA"),IF(NOT(ISNUMBER(AD595)),"INVALID – completion time missing",IF(TRIM(T595)="","INVALID – PIC missing",IF(TRIM(Z595)="","INVALID – evidence missing",IF(TRIM(AE595)="","INVALID – verifier missing",IF(AND(AQ595=1,TRIM(W595)=""),"INVALID – batch ID missing",IF(AND(AR595=1,OR(NOT(ISNUMBER(X595)),NOT(ISNUMBER(Y595)))),"INVALID – expected/actual qty missing",IF(IF(AND(TRIM(U595)="Pass",ISNUMBER(AF595)),IF(AF595&lt;&gt;0,"INVALID – qty variance: use Fail or Pass after CA",""),"")&amp;IF(AND(TRIM(U595)="Pass",AB595="Open"),"INVALID – corrective action still open: use Fail, then Pass after CA","")&amp;IF(AND(TRIM(U595)="Pass after CA",OR(TRIM(AA595)="",AB595&lt;&gt;"Closed")),"INVALID – corrective action not recorded/closed","")&lt;&gt;"",IF(AND(TRIM(U595)="Pass",ISNUMBER(AF595)),IF(AF595&lt;&gt;0,"INVALID – qty variance: use Fail or Pass after CA",""),"")&amp;IF(AND(TRIM(U595)="Pass",AB595="Open"),"INVALID – corrective action still open: use Fail, then Pass after CA","")&amp;IF(AND(TRIM(U595)="Pass after CA",OR(TRIM(AA595)="",AB595&lt;&gt;"Closed")),"INVALID – corrective action not recorded/closed",""),IF(AND(AS595=1,Documents!$J$22&lt;&gt;"ON FILE"),"INVALID – GLD not on file (Documents sheet)",IF(AND(AS595=2,Documents!$O$22&lt;&gt;"ON FILE"),"INVALID – menu checklist not on file (Documents sheet)",IF(AND(AS595=3,NOT(ISNUMBER(Flights!$AX$22))),"INVALID – enter carrying flight KUL departure (Flights AX)",IF(AG595&gt;AsOfUTC,"INVALID – completion time is in the future",IF(AND(ISNUMBER(S595),AG595&lt;S595),IF(H595="Physical uplift","INVALID – before uplift window (cannot confirm loading)","INVALID – before valid window"),IF(AG595&gt;Flights!$AA$22,"INVALID – completed after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f>
        <v>OPEN</v>
      </c>
      <c r="AI595" s="61" t="n">
        <f aca="false">IF(OR(AH595="N/A – RULE",AH595="N/A – JUSTIFIED"),0,1)</f>
        <v>1</v>
      </c>
      <c r="AJ595" s="61" t="n">
        <f aca="false">IF(LEFT(AH595,8)="COMPLETE",1,0)</f>
        <v>0</v>
      </c>
      <c r="AK595" s="61" t="n">
        <f aca="false">IF(AND(AI595=1,AJ595=0,AsOfUTC&gt;Q595),1,0)</f>
        <v>0</v>
      </c>
      <c r="AL595" s="61" t="n">
        <f aca="false">IF(AND(AI595=1,OR(TRIM(U595)="Fail",AB595="Open",AND(ISNUMBER(AF595),AF595&lt;&gt;0,TRIM(U595)&lt;&gt;"Pass after CA"))),1,0)</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1</v>
      </c>
    </row>
    <row r="596" customFormat="false" ht="41.25" hidden="false" customHeight="true" outlineLevel="0" collapsed="false">
      <c r="A596" s="57" t="s">
        <v>1255</v>
      </c>
      <c r="B596" s="57" t="s">
        <v>283</v>
      </c>
      <c r="C596" s="57" t="str">
        <f aca="false">Flights!$F$22</f>
        <v>MH0052</v>
      </c>
      <c r="D596" s="58" t="n">
        <f aca="false">Flights!$D$22</f>
        <v>46322</v>
      </c>
      <c r="E596" s="57" t="str">
        <f aca="false">Flights!$G$22&amp;"-"&amp;Flights!$H$22</f>
        <v>KUL-KIX</v>
      </c>
      <c r="F596" s="57" t="str">
        <f aca="false">Flights!$K$22</f>
        <v>BC</v>
      </c>
      <c r="G596" s="57" t="s">
        <v>383</v>
      </c>
      <c r="H596" s="57" t="s">
        <v>341</v>
      </c>
      <c r="I596" s="57" t="s">
        <v>462</v>
      </c>
      <c r="J596" s="57" t="s">
        <v>478</v>
      </c>
      <c r="K596" s="67" t="s">
        <v>464</v>
      </c>
      <c r="L596" s="67" t="s">
        <v>1256</v>
      </c>
      <c r="M596" s="67" t="s">
        <v>414</v>
      </c>
      <c r="N596" s="67" t="s">
        <v>346</v>
      </c>
      <c r="O596" s="67" t="s">
        <v>466</v>
      </c>
      <c r="P596" s="57" t="s">
        <v>177</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IF(N596="N/A – rule","N/A – RULE",IF(TRIM(U596)="N/A",IF(AT596=0,"INVALID – N/A not permitted for this mandatory check",IF(AND(TRIM(AC596)&lt;&gt;"",TRIM(AE596)&lt;&gt;"",TRIM(T596)&lt;&gt;""),"N/A – JUSTIFIED","INVALID – N/A needs justification, PIC and verifier")),IF(OR(TRIM(U596)="Pass",TRIM(U596)="Pass after CA"),IF(NOT(ISNUMBER(AD596)),"INVALID – completion time missing",IF(TRIM(T596)="","INVALID – PIC missing",IF(TRIM(Z596)="","INVALID – evidence missing",IF(TRIM(AE596)="","INVALID – verifier missing",IF(AND(AQ596=1,TRIM(W596)=""),"INVALID – batch ID missing",IF(AND(AR596=1,OR(NOT(ISNUMBER(X596)),NOT(ISNUMBER(Y596)))),"INVALID – expected/actual qty missing",IF(IF(AND(TRIM(U596)="Pass",ISNUMBER(AF596)),IF(AF596&lt;&gt;0,"INVALID – qty variance: use Fail or Pass after CA",""),"")&amp;IF(AND(TRIM(U596)="Pass",AB596="Open"),"INVALID – corrective action still open: use Fail, then Pass after CA","")&amp;IF(AND(TRIM(U596)="Pass after CA",OR(TRIM(AA596)="",AB596&lt;&gt;"Closed")),"INVALID – corrective action not recorded/closed","")&lt;&gt;"",IF(AND(TRIM(U596)="Pass",ISNUMBER(AF596)),IF(AF596&lt;&gt;0,"INVALID – qty variance: use Fail or Pass after CA",""),"")&amp;IF(AND(TRIM(U596)="Pass",AB596="Open"),"INVALID – corrective action still open: use Fail, then Pass after CA","")&amp;IF(AND(TRIM(U596)="Pass after CA",OR(TRIM(AA596)="",AB596&lt;&gt;"Closed")),"INVALID – corrective action not recorded/closed",""),IF(AND(AS596=1,Documents!$J$22&lt;&gt;"ON FILE"),"INVALID – GLD not on file (Documents sheet)",IF(AND(AS596=2,Documents!$O$22&lt;&gt;"ON FILE"),"INVALID – menu checklist not on file (Documents sheet)",IF(AND(AS596=3,NOT(ISNUMBER(Flights!$AX$22))),"INVALID – enter carrying flight KUL departure (Flights AX)",IF(AG596&gt;AsOfUTC,"INVALID – completion time is in the future",IF(AND(ISNUMBER(S596),AG596&lt;S596),IF(H596="Physical uplift","INVALID – before uplift window (cannot confirm loading)","INVALID – before valid window"),IF(AG596&gt;Flights!$AA$22,"INVALID – completed after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f>
        <v>OPEN</v>
      </c>
      <c r="AI596" s="61" t="n">
        <f aca="false">IF(OR(AH596="N/A – RULE",AH596="N/A – JUSTIFIED"),0,1)</f>
        <v>1</v>
      </c>
      <c r="AJ596" s="61" t="n">
        <f aca="false">IF(LEFT(AH596,8)="COMPLETE",1,0)</f>
        <v>0</v>
      </c>
      <c r="AK596" s="61" t="n">
        <f aca="false">IF(AND(AI596=1,AJ596=0,AsOfUTC&gt;Q596),1,0)</f>
        <v>0</v>
      </c>
      <c r="AL596" s="61" t="n">
        <f aca="false">IF(AND(AI596=1,OR(TRIM(U596)="Fail",AB596="Open",AND(ISNUMBER(AF596),AF596&lt;&gt;0,TRIM(U596)&lt;&gt;"Pass after CA"))),1,0)</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1</v>
      </c>
    </row>
    <row r="597" customFormat="false" ht="54" hidden="false" customHeight="true" outlineLevel="0" collapsed="false">
      <c r="A597" s="57" t="s">
        <v>1257</v>
      </c>
      <c r="B597" s="57" t="s">
        <v>283</v>
      </c>
      <c r="C597" s="57" t="str">
        <f aca="false">Flights!$F$22</f>
        <v>MH0052</v>
      </c>
      <c r="D597" s="58" t="n">
        <f aca="false">Flights!$D$22</f>
        <v>46322</v>
      </c>
      <c r="E597" s="57" t="str">
        <f aca="false">Flights!$G$22&amp;"-"&amp;Flights!$H$22</f>
        <v>KUL-KIX</v>
      </c>
      <c r="F597" s="57" t="str">
        <f aca="false">Flights!$K$22</f>
        <v>BC</v>
      </c>
      <c r="G597" s="57" t="s">
        <v>383</v>
      </c>
      <c r="H597" s="57" t="s">
        <v>341</v>
      </c>
      <c r="I597" s="57" t="s">
        <v>462</v>
      </c>
      <c r="J597" s="57" t="s">
        <v>481</v>
      </c>
      <c r="K597" s="67" t="s">
        <v>579</v>
      </c>
      <c r="L597" s="67" t="s">
        <v>1258</v>
      </c>
      <c r="M597" s="67" t="s">
        <v>414</v>
      </c>
      <c r="N597" s="67" t="s">
        <v>346</v>
      </c>
      <c r="O597" s="67" t="s">
        <v>484</v>
      </c>
      <c r="P597" s="57" t="s">
        <v>177</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IF(N597="N/A – rule","N/A – RULE",IF(TRIM(U597)="N/A",IF(AT597=0,"INVALID – N/A not permitted for this mandatory check",IF(AND(TRIM(AC597)&lt;&gt;"",TRIM(AE597)&lt;&gt;"",TRIM(T597)&lt;&gt;""),"N/A – JUSTIFIED","INVALID – N/A needs justification, PIC and verifier")),IF(OR(TRIM(U597)="Pass",TRIM(U597)="Pass after CA"),IF(NOT(ISNUMBER(AD597)),"INVALID – completion time missing",IF(TRIM(T597)="","INVALID – PIC missing",IF(TRIM(Z597)="","INVALID – evidence missing",IF(TRIM(AE597)="","INVALID – verifier missing",IF(AND(AQ597=1,TRIM(W597)=""),"INVALID – batch ID missing",IF(AND(AR597=1,OR(NOT(ISNUMBER(X597)),NOT(ISNUMBER(Y597)))),"INVALID – expected/actual qty missing",IF(IF(AND(TRIM(U597)="Pass",ISNUMBER(AF597)),IF(AF597&lt;&gt;0,"INVALID – qty variance: use Fail or Pass after CA",""),"")&amp;IF(AND(TRIM(U597)="Pass",AB597="Open"),"INVALID – corrective action still open: use Fail, then Pass after CA","")&amp;IF(AND(TRIM(U597)="Pass after CA",OR(TRIM(AA597)="",AB597&lt;&gt;"Closed")),"INVALID – corrective action not recorded/closed","")&lt;&gt;"",IF(AND(TRIM(U597)="Pass",ISNUMBER(AF597)),IF(AF597&lt;&gt;0,"INVALID – qty variance: use Fail or Pass after CA",""),"")&amp;IF(AND(TRIM(U597)="Pass",AB597="Open"),"INVALID – corrective action still open: use Fail, then Pass after CA","")&amp;IF(AND(TRIM(U597)="Pass after CA",OR(TRIM(AA597)="",AB597&lt;&gt;"Closed")),"INVALID – corrective action not recorded/closed",""),IF(AND(AS597=1,Documents!$J$22&lt;&gt;"ON FILE"),"INVALID – GLD not on file (Documents sheet)",IF(AND(AS597=2,Documents!$O$22&lt;&gt;"ON FILE"),"INVALID – menu checklist not on file (Documents sheet)",IF(AND(AS597=3,NOT(ISNUMBER(Flights!$AX$22))),"INVALID – enter carrying flight KUL departure (Flights AX)",IF(AG597&gt;AsOfUTC,"INVALID – completion time is in the future",IF(AND(ISNUMBER(S597),AG597&lt;S597),IF(H597="Physical uplift","INVALID – before uplift window (cannot confirm loading)","INVALID – before valid window"),IF(AG597&gt;Flights!$AA$22,"INVALID – completed after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f>
        <v>OPEN</v>
      </c>
      <c r="AI597" s="61" t="n">
        <f aca="false">IF(OR(AH597="N/A – RULE",AH597="N/A – JUSTIFIED"),0,1)</f>
        <v>1</v>
      </c>
      <c r="AJ597" s="61" t="n">
        <f aca="false">IF(LEFT(AH597,8)="COMPLETE",1,0)</f>
        <v>0</v>
      </c>
      <c r="AK597" s="61" t="n">
        <f aca="false">IF(AND(AI597=1,AJ597=0,AsOfUTC&gt;Q597),1,0)</f>
        <v>0</v>
      </c>
      <c r="AL597" s="61" t="n">
        <f aca="false">IF(AND(AI597=1,OR(TRIM(U597)="Fail",AB597="Open",AND(ISNUMBER(AF597),AF597&lt;&gt;0,TRIM(U597)&lt;&gt;"Pass after CA"))),1,0)</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1</v>
      </c>
    </row>
    <row r="598" customFormat="false" ht="41.25" hidden="false" customHeight="true" outlineLevel="0" collapsed="false">
      <c r="A598" s="57" t="s">
        <v>1259</v>
      </c>
      <c r="B598" s="57" t="s">
        <v>283</v>
      </c>
      <c r="C598" s="57" t="str">
        <f aca="false">Flights!$F$22</f>
        <v>MH0052</v>
      </c>
      <c r="D598" s="58" t="n">
        <f aca="false">Flights!$D$22</f>
        <v>46322</v>
      </c>
      <c r="E598" s="57" t="str">
        <f aca="false">Flights!$G$22&amp;"-"&amp;Flights!$H$22</f>
        <v>KUL-KIX</v>
      </c>
      <c r="F598" s="57" t="str">
        <f aca="false">Flights!$K$22</f>
        <v>BC</v>
      </c>
      <c r="G598" s="57" t="s">
        <v>383</v>
      </c>
      <c r="H598" s="57" t="s">
        <v>341</v>
      </c>
      <c r="I598" s="57" t="s">
        <v>462</v>
      </c>
      <c r="J598" s="57" t="s">
        <v>486</v>
      </c>
      <c r="K598" s="67" t="s">
        <v>464</v>
      </c>
      <c r="L598" s="67" t="s">
        <v>1260</v>
      </c>
      <c r="M598" s="67" t="s">
        <v>414</v>
      </c>
      <c r="N598" s="67" t="s">
        <v>346</v>
      </c>
      <c r="O598" s="67" t="s">
        <v>466</v>
      </c>
      <c r="P598" s="57" t="s">
        <v>177</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IF(N598="N/A – rule","N/A – RULE",IF(TRIM(U598)="N/A",IF(AT598=0,"INVALID – N/A not permitted for this mandatory check",IF(AND(TRIM(AC598)&lt;&gt;"",TRIM(AE598)&lt;&gt;"",TRIM(T598)&lt;&gt;""),"N/A – JUSTIFIED","INVALID – N/A needs justification, PIC and verifier")),IF(OR(TRIM(U598)="Pass",TRIM(U598)="Pass after CA"),IF(NOT(ISNUMBER(AD598)),"INVALID – completion time missing",IF(TRIM(T598)="","INVALID – PIC missing",IF(TRIM(Z598)="","INVALID – evidence missing",IF(TRIM(AE598)="","INVALID – verifier missing",IF(AND(AQ598=1,TRIM(W598)=""),"INVALID – batch ID missing",IF(AND(AR598=1,OR(NOT(ISNUMBER(X598)),NOT(ISNUMBER(Y598)))),"INVALID – expected/actual qty missing",IF(IF(AND(TRIM(U598)="Pass",ISNUMBER(AF598)),IF(AF598&lt;&gt;0,"INVALID – qty variance: use Fail or Pass after CA",""),"")&amp;IF(AND(TRIM(U598)="Pass",AB598="Open"),"INVALID – corrective action still open: use Fail, then Pass after CA","")&amp;IF(AND(TRIM(U598)="Pass after CA",OR(TRIM(AA598)="",AB598&lt;&gt;"Closed")),"INVALID – corrective action not recorded/closed","")&lt;&gt;"",IF(AND(TRIM(U598)="Pass",ISNUMBER(AF598)),IF(AF598&lt;&gt;0,"INVALID – qty variance: use Fail or Pass after CA",""),"")&amp;IF(AND(TRIM(U598)="Pass",AB598="Open"),"INVALID – corrective action still open: use Fail, then Pass after CA","")&amp;IF(AND(TRIM(U598)="Pass after CA",OR(TRIM(AA598)="",AB598&lt;&gt;"Closed")),"INVALID – corrective action not recorded/closed",""),IF(AND(AS598=1,Documents!$J$22&lt;&gt;"ON FILE"),"INVALID – GLD not on file (Documents sheet)",IF(AND(AS598=2,Documents!$O$22&lt;&gt;"ON FILE"),"INVALID – menu checklist not on file (Documents sheet)",IF(AND(AS598=3,NOT(ISNUMBER(Flights!$AX$22))),"INVALID – enter carrying flight KUL departure (Flights AX)",IF(AG598&gt;AsOfUTC,"INVALID – completion time is in the future",IF(AND(ISNUMBER(S598),AG598&lt;S598),IF(H598="Physical uplift","INVALID – before uplift window (cannot confirm loading)","INVALID – before valid window"),IF(AG598&gt;Flights!$AA$22,"INVALID – completed after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f>
        <v>OPEN</v>
      </c>
      <c r="AI598" s="61" t="n">
        <f aca="false">IF(OR(AH598="N/A – RULE",AH598="N/A – JUSTIFIED"),0,1)</f>
        <v>1</v>
      </c>
      <c r="AJ598" s="61" t="n">
        <f aca="false">IF(LEFT(AH598,8)="COMPLETE",1,0)</f>
        <v>0</v>
      </c>
      <c r="AK598" s="61" t="n">
        <f aca="false">IF(AND(AI598=1,AJ598=0,AsOfUTC&gt;Q598),1,0)</f>
        <v>0</v>
      </c>
      <c r="AL598" s="61" t="n">
        <f aca="false">IF(AND(AI598=1,OR(TRIM(U598)="Fail",AB598="Open",AND(ISNUMBER(AF598),AF598&lt;&gt;0,TRIM(U598)&lt;&gt;"Pass after CA"))),1,0)</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1</v>
      </c>
    </row>
    <row r="599" customFormat="false" ht="41.25" hidden="false" customHeight="true" outlineLevel="0" collapsed="false">
      <c r="A599" s="57" t="s">
        <v>1261</v>
      </c>
      <c r="B599" s="57" t="s">
        <v>283</v>
      </c>
      <c r="C599" s="57" t="str">
        <f aca="false">Flights!$F$22</f>
        <v>MH0052</v>
      </c>
      <c r="D599" s="58" t="n">
        <f aca="false">Flights!$D$22</f>
        <v>46322</v>
      </c>
      <c r="E599" s="57" t="str">
        <f aca="false">Flights!$G$22&amp;"-"&amp;Flights!$H$22</f>
        <v>KUL-KIX</v>
      </c>
      <c r="F599" s="57" t="str">
        <f aca="false">Flights!$K$22</f>
        <v>BC</v>
      </c>
      <c r="G599" s="57" t="s">
        <v>383</v>
      </c>
      <c r="H599" s="57" t="s">
        <v>341</v>
      </c>
      <c r="I599" s="57" t="s">
        <v>410</v>
      </c>
      <c r="J599" s="57" t="s">
        <v>489</v>
      </c>
      <c r="K599" s="67" t="s">
        <v>412</v>
      </c>
      <c r="L599" s="67" t="s">
        <v>1262</v>
      </c>
      <c r="M599" s="67" t="s">
        <v>414</v>
      </c>
      <c r="N599" s="67" t="s">
        <v>346</v>
      </c>
      <c r="O599" s="67" t="s">
        <v>466</v>
      </c>
      <c r="P599" s="57" t="s">
        <v>177</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IF(N599="N/A – rule","N/A – RULE",IF(TRIM(U599)="N/A",IF(AT599=0,"INVALID – N/A not permitted for this mandatory check",IF(AND(TRIM(AC599)&lt;&gt;"",TRIM(AE599)&lt;&gt;"",TRIM(T599)&lt;&gt;""),"N/A – JUSTIFIED","INVALID – N/A needs justification, PIC and verifier")),IF(OR(TRIM(U599)="Pass",TRIM(U599)="Pass after CA"),IF(NOT(ISNUMBER(AD599)),"INVALID – completion time missing",IF(TRIM(T599)="","INVALID – PIC missing",IF(TRIM(Z599)="","INVALID – evidence missing",IF(TRIM(AE599)="","INVALID – verifier missing",IF(AND(AQ599=1,TRIM(W599)=""),"INVALID – batch ID missing",IF(AND(AR599=1,OR(NOT(ISNUMBER(X599)),NOT(ISNUMBER(Y599)))),"INVALID – expected/actual qty missing",IF(IF(AND(TRIM(U599)="Pass",ISNUMBER(AF599)),IF(AF599&lt;&gt;0,"INVALID – qty variance: use Fail or Pass after CA",""),"")&amp;IF(AND(TRIM(U599)="Pass",AB599="Open"),"INVALID – corrective action still open: use Fail, then Pass after CA","")&amp;IF(AND(TRIM(U599)="Pass after CA",OR(TRIM(AA599)="",AB599&lt;&gt;"Closed")),"INVALID – corrective action not recorded/closed","")&lt;&gt;"",IF(AND(TRIM(U599)="Pass",ISNUMBER(AF599)),IF(AF599&lt;&gt;0,"INVALID – qty variance: use Fail or Pass after CA",""),"")&amp;IF(AND(TRIM(U599)="Pass",AB599="Open"),"INVALID – corrective action still open: use Fail, then Pass after CA","")&amp;IF(AND(TRIM(U599)="Pass after CA",OR(TRIM(AA599)="",AB599&lt;&gt;"Closed")),"INVALID – corrective action not recorded/closed",""),IF(AND(AS599=1,Documents!$J$22&lt;&gt;"ON FILE"),"INVALID – GLD not on file (Documents sheet)",IF(AND(AS599=2,Documents!$O$22&lt;&gt;"ON FILE"),"INVALID – menu checklist not on file (Documents sheet)",IF(AND(AS599=3,NOT(ISNUMBER(Flights!$AX$22))),"INVALID – enter carrying flight KUL departure (Flights AX)",IF(AG599&gt;AsOfUTC,"INVALID – completion time is in the future",IF(AND(ISNUMBER(S599),AG599&lt;S599),IF(H599="Physical uplift","INVALID – before uplift window (cannot confirm loading)","INVALID – before valid window"),IF(AG599&gt;Flights!$AA$22,"INVALID – completed after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f>
        <v>OPEN</v>
      </c>
      <c r="AI599" s="61" t="n">
        <f aca="false">IF(OR(AH599="N/A – RULE",AH599="N/A – JUSTIFIED"),0,1)</f>
        <v>1</v>
      </c>
      <c r="AJ599" s="61" t="n">
        <f aca="false">IF(LEFT(AH599,8)="COMPLETE",1,0)</f>
        <v>0</v>
      </c>
      <c r="AK599" s="61" t="n">
        <f aca="false">IF(AND(AI599=1,AJ599=0,AsOfUTC&gt;Q599),1,0)</f>
        <v>0</v>
      </c>
      <c r="AL599" s="61" t="n">
        <f aca="false">IF(AND(AI599=1,OR(TRIM(U599)="Fail",AB599="Open",AND(ISNUMBER(AF599),AF599&lt;&gt;0,TRIM(U599)&lt;&gt;"Pass after CA"))),1,0)</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1</v>
      </c>
    </row>
    <row r="600" customFormat="false" ht="41.25" hidden="false" customHeight="true" outlineLevel="0" collapsed="false">
      <c r="A600" s="57" t="s">
        <v>1263</v>
      </c>
      <c r="B600" s="57" t="s">
        <v>283</v>
      </c>
      <c r="C600" s="57" t="str">
        <f aca="false">Flights!$F$22</f>
        <v>MH0052</v>
      </c>
      <c r="D600" s="58" t="n">
        <f aca="false">Flights!$D$22</f>
        <v>46322</v>
      </c>
      <c r="E600" s="57" t="str">
        <f aca="false">Flights!$G$22&amp;"-"&amp;Flights!$H$22</f>
        <v>KUL-KIX</v>
      </c>
      <c r="F600" s="57" t="str">
        <f aca="false">Flights!$K$22</f>
        <v>BC</v>
      </c>
      <c r="G600" s="57" t="s">
        <v>383</v>
      </c>
      <c r="H600" s="57" t="s">
        <v>341</v>
      </c>
      <c r="I600" s="57" t="s">
        <v>410</v>
      </c>
      <c r="J600" s="57" t="s">
        <v>586</v>
      </c>
      <c r="K600" s="67" t="s">
        <v>412</v>
      </c>
      <c r="L600" s="67" t="s">
        <v>1264</v>
      </c>
      <c r="M600" s="67" t="s">
        <v>414</v>
      </c>
      <c r="N600" s="67" t="s">
        <v>346</v>
      </c>
      <c r="O600" s="67" t="s">
        <v>466</v>
      </c>
      <c r="P600" s="57" t="s">
        <v>177</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IF(N600="N/A – rule","N/A – RULE",IF(TRIM(U600)="N/A",IF(AT600=0,"INVALID – N/A not permitted for this mandatory check",IF(AND(TRIM(AC600)&lt;&gt;"",TRIM(AE600)&lt;&gt;"",TRIM(T600)&lt;&gt;""),"N/A – JUSTIFIED","INVALID – N/A needs justification, PIC and verifier")),IF(OR(TRIM(U600)="Pass",TRIM(U600)="Pass after CA"),IF(NOT(ISNUMBER(AD600)),"INVALID – completion time missing",IF(TRIM(T600)="","INVALID – PIC missing",IF(TRIM(Z600)="","INVALID – evidence missing",IF(TRIM(AE600)="","INVALID – verifier missing",IF(AND(AQ600=1,TRIM(W600)=""),"INVALID – batch ID missing",IF(AND(AR600=1,OR(NOT(ISNUMBER(X600)),NOT(ISNUMBER(Y600)))),"INVALID – expected/actual qty missing",IF(IF(AND(TRIM(U600)="Pass",ISNUMBER(AF600)),IF(AF600&lt;&gt;0,"INVALID – qty variance: use Fail or Pass after CA",""),"")&amp;IF(AND(TRIM(U600)="Pass",AB600="Open"),"INVALID – corrective action still open: use Fail, then Pass after CA","")&amp;IF(AND(TRIM(U600)="Pass after CA",OR(TRIM(AA600)="",AB600&lt;&gt;"Closed")),"INVALID – corrective action not recorded/closed","")&lt;&gt;"",IF(AND(TRIM(U600)="Pass",ISNUMBER(AF600)),IF(AF600&lt;&gt;0,"INVALID – qty variance: use Fail or Pass after CA",""),"")&amp;IF(AND(TRIM(U600)="Pass",AB600="Open"),"INVALID – corrective action still open: use Fail, then Pass after CA","")&amp;IF(AND(TRIM(U600)="Pass after CA",OR(TRIM(AA600)="",AB600&lt;&gt;"Closed")),"INVALID – corrective action not recorded/closed",""),IF(AND(AS600=1,Documents!$J$22&lt;&gt;"ON FILE"),"INVALID – GLD not on file (Documents sheet)",IF(AND(AS600=2,Documents!$O$22&lt;&gt;"ON FILE"),"INVALID – menu checklist not on file (Documents sheet)",IF(AND(AS600=3,NOT(ISNUMBER(Flights!$AX$22))),"INVALID – enter carrying flight KUL departure (Flights AX)",IF(AG600&gt;AsOfUTC,"INVALID – completion time is in the future",IF(AND(ISNUMBER(S600),AG600&lt;S600),IF(H600="Physical uplift","INVALID – before uplift window (cannot confirm loading)","INVALID – before valid window"),IF(AG600&gt;Flights!$AA$22,"INVALID – completed after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f>
        <v>OPEN</v>
      </c>
      <c r="AI600" s="61" t="n">
        <f aca="false">IF(OR(AH600="N/A – RULE",AH600="N/A – JUSTIFIED"),0,1)</f>
        <v>1</v>
      </c>
      <c r="AJ600" s="61" t="n">
        <f aca="false">IF(LEFT(AH600,8)="COMPLETE",1,0)</f>
        <v>0</v>
      </c>
      <c r="AK600" s="61" t="n">
        <f aca="false">IF(AND(AI600=1,AJ600=0,AsOfUTC&gt;Q600),1,0)</f>
        <v>0</v>
      </c>
      <c r="AL600" s="61" t="n">
        <f aca="false">IF(AND(AI600=1,OR(TRIM(U600)="Fail",AB600="Open",AND(ISNUMBER(AF600),AF600&lt;&gt;0,TRIM(U600)&lt;&gt;"Pass after CA"))),1,0)</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1</v>
      </c>
    </row>
    <row r="601" customFormat="false" ht="41.25" hidden="false" customHeight="true" outlineLevel="0" collapsed="false">
      <c r="A601" s="57" t="s">
        <v>1265</v>
      </c>
      <c r="B601" s="57" t="s">
        <v>283</v>
      </c>
      <c r="C601" s="57" t="str">
        <f aca="false">Flights!$F$22</f>
        <v>MH0052</v>
      </c>
      <c r="D601" s="58" t="n">
        <f aca="false">Flights!$D$22</f>
        <v>46322</v>
      </c>
      <c r="E601" s="57" t="str">
        <f aca="false">Flights!$G$22&amp;"-"&amp;Flights!$H$22</f>
        <v>KUL-KIX</v>
      </c>
      <c r="F601" s="57" t="str">
        <f aca="false">Flights!$K$22</f>
        <v>BC</v>
      </c>
      <c r="G601" s="57" t="s">
        <v>383</v>
      </c>
      <c r="H601" s="57" t="s">
        <v>341</v>
      </c>
      <c r="I601" s="57" t="s">
        <v>410</v>
      </c>
      <c r="J601" s="57" t="s">
        <v>589</v>
      </c>
      <c r="K601" s="67" t="s">
        <v>412</v>
      </c>
      <c r="L601" s="67" t="s">
        <v>1266</v>
      </c>
      <c r="M601" s="67" t="s">
        <v>414</v>
      </c>
      <c r="N601" s="67" t="s">
        <v>346</v>
      </c>
      <c r="O601" s="67" t="s">
        <v>466</v>
      </c>
      <c r="P601" s="57" t="s">
        <v>177</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IF(N601="N/A – rule","N/A – RULE",IF(TRIM(U601)="N/A",IF(AT601=0,"INVALID – N/A not permitted for this mandatory check",IF(AND(TRIM(AC601)&lt;&gt;"",TRIM(AE601)&lt;&gt;"",TRIM(T601)&lt;&gt;""),"N/A – JUSTIFIED","INVALID – N/A needs justification, PIC and verifier")),IF(OR(TRIM(U601)="Pass",TRIM(U601)="Pass after CA"),IF(NOT(ISNUMBER(AD601)),"INVALID – completion time missing",IF(TRIM(T601)="","INVALID – PIC missing",IF(TRIM(Z601)="","INVALID – evidence missing",IF(TRIM(AE601)="","INVALID – verifier missing",IF(AND(AQ601=1,TRIM(W601)=""),"INVALID – batch ID missing",IF(AND(AR601=1,OR(NOT(ISNUMBER(X601)),NOT(ISNUMBER(Y601)))),"INVALID – expected/actual qty missing",IF(IF(AND(TRIM(U601)="Pass",ISNUMBER(AF601)),IF(AF601&lt;&gt;0,"INVALID – qty variance: use Fail or Pass after CA",""),"")&amp;IF(AND(TRIM(U601)="Pass",AB601="Open"),"INVALID – corrective action still open: use Fail, then Pass after CA","")&amp;IF(AND(TRIM(U601)="Pass after CA",OR(TRIM(AA601)="",AB601&lt;&gt;"Closed")),"INVALID – corrective action not recorded/closed","")&lt;&gt;"",IF(AND(TRIM(U601)="Pass",ISNUMBER(AF601)),IF(AF601&lt;&gt;0,"INVALID – qty variance: use Fail or Pass after CA",""),"")&amp;IF(AND(TRIM(U601)="Pass",AB601="Open"),"INVALID – corrective action still open: use Fail, then Pass after CA","")&amp;IF(AND(TRIM(U601)="Pass after CA",OR(TRIM(AA601)="",AB601&lt;&gt;"Closed")),"INVALID – corrective action not recorded/closed",""),IF(AND(AS601=1,Documents!$J$22&lt;&gt;"ON FILE"),"INVALID – GLD not on file (Documents sheet)",IF(AND(AS601=2,Documents!$O$22&lt;&gt;"ON FILE"),"INVALID – menu checklist not on file (Documents sheet)",IF(AND(AS601=3,NOT(ISNUMBER(Flights!$AX$22))),"INVALID – enter carrying flight KUL departure (Flights AX)",IF(AG601&gt;AsOfUTC,"INVALID – completion time is in the future",IF(AND(ISNUMBER(S601),AG601&lt;S601),IF(H601="Physical uplift","INVALID – before uplift window (cannot confirm loading)","INVALID – before valid window"),IF(AG601&gt;Flights!$AA$22,"INVALID – completed after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f>
        <v>OPEN</v>
      </c>
      <c r="AI601" s="61" t="n">
        <f aca="false">IF(OR(AH601="N/A – RULE",AH601="N/A – JUSTIFIED"),0,1)</f>
        <v>1</v>
      </c>
      <c r="AJ601" s="61" t="n">
        <f aca="false">IF(LEFT(AH601,8)="COMPLETE",1,0)</f>
        <v>0</v>
      </c>
      <c r="AK601" s="61" t="n">
        <f aca="false">IF(AND(AI601=1,AJ601=0,AsOfUTC&gt;Q601),1,0)</f>
        <v>0</v>
      </c>
      <c r="AL601" s="61" t="n">
        <f aca="false">IF(AND(AI601=1,OR(TRIM(U601)="Fail",AB601="Open",AND(ISNUMBER(AF601),AF601&lt;&gt;0,TRIM(U601)&lt;&gt;"Pass after CA"))),1,0)</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1</v>
      </c>
    </row>
    <row r="602" customFormat="false" ht="39.75" hidden="false" customHeight="true" outlineLevel="0" collapsed="false">
      <c r="A602" s="57" t="s">
        <v>1267</v>
      </c>
      <c r="B602" s="57" t="s">
        <v>283</v>
      </c>
      <c r="C602" s="57" t="str">
        <f aca="false">Flights!$F$22</f>
        <v>MH0052</v>
      </c>
      <c r="D602" s="58" t="n">
        <f aca="false">Flights!$D$22</f>
        <v>46322</v>
      </c>
      <c r="E602" s="57" t="str">
        <f aca="false">Flights!$G$22&amp;"-"&amp;Flights!$H$22</f>
        <v>KUL-KIX</v>
      </c>
      <c r="F602" s="57" t="str">
        <f aca="false">Flights!$K$22</f>
        <v>BC</v>
      </c>
      <c r="G602" s="57" t="s">
        <v>383</v>
      </c>
      <c r="H602" s="57" t="s">
        <v>341</v>
      </c>
      <c r="I602" s="57" t="s">
        <v>592</v>
      </c>
      <c r="J602" s="57" t="s">
        <v>593</v>
      </c>
      <c r="K602" s="67" t="s">
        <v>464</v>
      </c>
      <c r="L602" s="67" t="s">
        <v>1268</v>
      </c>
      <c r="M602" s="67" t="s">
        <v>177</v>
      </c>
      <c r="N602" s="67" t="s">
        <v>346</v>
      </c>
      <c r="O602" s="67" t="s">
        <v>595</v>
      </c>
      <c r="P602" s="57" t="s">
        <v>177</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IF(N602="N/A – rule","N/A – RULE",IF(TRIM(U602)="N/A",IF(AT602=0,"INVALID – N/A not permitted for this mandatory check",IF(AND(TRIM(AC602)&lt;&gt;"",TRIM(AE602)&lt;&gt;"",TRIM(T602)&lt;&gt;""),"N/A – JUSTIFIED","INVALID – N/A needs justification, PIC and verifier")),IF(OR(TRIM(U602)="Pass",TRIM(U602)="Pass after CA"),IF(NOT(ISNUMBER(AD602)),"INVALID – completion time missing",IF(TRIM(T602)="","INVALID – PIC missing",IF(TRIM(Z602)="","INVALID – evidence missing",IF(TRIM(AE602)="","INVALID – verifier missing",IF(AND(AQ602=1,TRIM(W602)=""),"INVALID – batch ID missing",IF(AND(AR602=1,OR(NOT(ISNUMBER(X602)),NOT(ISNUMBER(Y602)))),"INVALID – expected/actual qty missing",IF(IF(AND(TRIM(U602)="Pass",ISNUMBER(AF602)),IF(AF602&lt;&gt;0,"INVALID – qty variance: use Fail or Pass after CA",""),"")&amp;IF(AND(TRIM(U602)="Pass",AB602="Open"),"INVALID – corrective action still open: use Fail, then Pass after CA","")&amp;IF(AND(TRIM(U602)="Pass after CA",OR(TRIM(AA602)="",AB602&lt;&gt;"Closed")),"INVALID – corrective action not recorded/closed","")&lt;&gt;"",IF(AND(TRIM(U602)="Pass",ISNUMBER(AF602)),IF(AF602&lt;&gt;0,"INVALID – qty variance: use Fail or Pass after CA",""),"")&amp;IF(AND(TRIM(U602)="Pass",AB602="Open"),"INVALID – corrective action still open: use Fail, then Pass after CA","")&amp;IF(AND(TRIM(U602)="Pass after CA",OR(TRIM(AA602)="",AB602&lt;&gt;"Closed")),"INVALID – corrective action not recorded/closed",""),IF(AND(AS602=1,Documents!$J$22&lt;&gt;"ON FILE"),"INVALID – GLD not on file (Documents sheet)",IF(AND(AS602=2,Documents!$O$22&lt;&gt;"ON FILE"),"INVALID – menu checklist not on file (Documents sheet)",IF(AND(AS602=3,NOT(ISNUMBER(Flights!$AX$22))),"INVALID – enter carrying flight KUL departure (Flights AX)",IF(AG602&gt;AsOfUTC,"INVALID – completion time is in the future",IF(AND(ISNUMBER(S602),AG602&lt;S602),IF(H602="Physical uplift","INVALID – before uplift window (cannot confirm loading)","INVALID – before valid window"),IF(AG602&gt;Flights!$AA$22,"INVALID – completed after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f>
        <v>OPEN</v>
      </c>
      <c r="AI602" s="61" t="n">
        <f aca="false">IF(OR(AH602="N/A – RULE",AH602="N/A – JUSTIFIED"),0,1)</f>
        <v>1</v>
      </c>
      <c r="AJ602" s="61" t="n">
        <f aca="false">IF(LEFT(AH602,8)="COMPLETE",1,0)</f>
        <v>0</v>
      </c>
      <c r="AK602" s="61" t="n">
        <f aca="false">IF(AND(AI602=1,AJ602=0,AsOfUTC&gt;Q602),1,0)</f>
        <v>0</v>
      </c>
      <c r="AL602" s="61" t="n">
        <f aca="false">IF(AND(AI602=1,OR(TRIM(U602)="Fail",AB602="Open",AND(ISNUMBER(AF602),AF602&lt;&gt;0,TRIM(U602)&lt;&gt;"Pass after CA"))),1,0)</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1</v>
      </c>
    </row>
    <row r="603" customFormat="false" ht="41.25" hidden="false" customHeight="true" outlineLevel="0" collapsed="false">
      <c r="A603" s="57" t="s">
        <v>1269</v>
      </c>
      <c r="B603" s="57" t="s">
        <v>283</v>
      </c>
      <c r="C603" s="57" t="str">
        <f aca="false">Flights!$F$22</f>
        <v>MH0052</v>
      </c>
      <c r="D603" s="58" t="n">
        <f aca="false">Flights!$D$22</f>
        <v>46322</v>
      </c>
      <c r="E603" s="57" t="str">
        <f aca="false">Flights!$G$22&amp;"-"&amp;Flights!$H$22</f>
        <v>KUL-KIX</v>
      </c>
      <c r="F603" s="57" t="str">
        <f aca="false">Flights!$K$22</f>
        <v>BC</v>
      </c>
      <c r="G603" s="57" t="s">
        <v>383</v>
      </c>
      <c r="H603" s="57" t="s">
        <v>341</v>
      </c>
      <c r="I603" s="57" t="s">
        <v>597</v>
      </c>
      <c r="J603" s="57" t="s">
        <v>598</v>
      </c>
      <c r="K603" s="67" t="s">
        <v>1270</v>
      </c>
      <c r="L603" s="67" t="s">
        <v>1271</v>
      </c>
      <c r="M603" s="67" t="s">
        <v>414</v>
      </c>
      <c r="N603" s="67" t="s">
        <v>346</v>
      </c>
      <c r="O603" s="67" t="s">
        <v>1272</v>
      </c>
      <c r="P603" s="57" t="s">
        <v>177</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IF(N603="N/A – rule","N/A – RULE",IF(TRIM(U603)="N/A",IF(AT603=0,"INVALID – N/A not permitted for this mandatory check",IF(AND(TRIM(AC603)&lt;&gt;"",TRIM(AE603)&lt;&gt;"",TRIM(T603)&lt;&gt;""),"N/A – JUSTIFIED","INVALID – N/A needs justification, PIC and verifier")),IF(OR(TRIM(U603)="Pass",TRIM(U603)="Pass after CA"),IF(NOT(ISNUMBER(AD603)),"INVALID – completion time missing",IF(TRIM(T603)="","INVALID – PIC missing",IF(TRIM(Z603)="","INVALID – evidence missing",IF(TRIM(AE603)="","INVALID – verifier missing",IF(AND(AQ603=1,TRIM(W603)=""),"INVALID – batch ID missing",IF(AND(AR603=1,OR(NOT(ISNUMBER(X603)),NOT(ISNUMBER(Y603)))),"INVALID – expected/actual qty missing",IF(IF(AND(TRIM(U603)="Pass",ISNUMBER(AF603)),IF(AF603&lt;&gt;0,"INVALID – qty variance: use Fail or Pass after CA",""),"")&amp;IF(AND(TRIM(U603)="Pass",AB603="Open"),"INVALID – corrective action still open: use Fail, then Pass after CA","")&amp;IF(AND(TRIM(U603)="Pass after CA",OR(TRIM(AA603)="",AB603&lt;&gt;"Closed")),"INVALID – corrective action not recorded/closed","")&lt;&gt;"",IF(AND(TRIM(U603)="Pass",ISNUMBER(AF603)),IF(AF603&lt;&gt;0,"INVALID – qty variance: use Fail or Pass after CA",""),"")&amp;IF(AND(TRIM(U603)="Pass",AB603="Open"),"INVALID – corrective action still open: use Fail, then Pass after CA","")&amp;IF(AND(TRIM(U603)="Pass after CA",OR(TRIM(AA603)="",AB603&lt;&gt;"Closed")),"INVALID – corrective action not recorded/closed",""),IF(AND(AS603=1,Documents!$J$22&lt;&gt;"ON FILE"),"INVALID – GLD not on file (Documents sheet)",IF(AND(AS603=2,Documents!$O$22&lt;&gt;"ON FILE"),"INVALID – menu checklist not on file (Documents sheet)",IF(AND(AS603=3,NOT(ISNUMBER(Flights!$AX$22))),"INVALID – enter carrying flight KUL departure (Flights AX)",IF(AG603&gt;AsOfUTC,"INVALID – completion time is in the future",IF(AND(ISNUMBER(S603),AG603&lt;S603),IF(H603="Physical uplift","INVALID – before uplift window (cannot confirm loading)","INVALID – before valid window"),IF(AG603&gt;Flights!$AA$22,"INVALID – completed after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f>
        <v>OPEN</v>
      </c>
      <c r="AI603" s="61" t="n">
        <f aca="false">IF(OR(AH603="N/A – RULE",AH603="N/A – JUSTIFIED"),0,1)</f>
        <v>1</v>
      </c>
      <c r="AJ603" s="61" t="n">
        <f aca="false">IF(LEFT(AH603,8)="COMPLETE",1,0)</f>
        <v>0</v>
      </c>
      <c r="AK603" s="61" t="n">
        <f aca="false">IF(AND(AI603=1,AJ603=0,AsOfUTC&gt;Q603),1,0)</f>
        <v>0</v>
      </c>
      <c r="AL603" s="61" t="n">
        <f aca="false">IF(AND(AI603=1,OR(TRIM(U603)="Fail",AB603="Open",AND(ISNUMBER(AF603),AF603&lt;&gt;0,TRIM(U603)&lt;&gt;"Pass after CA"))),1,0)</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1</v>
      </c>
    </row>
    <row r="604" customFormat="false" ht="39.75" hidden="false" customHeight="true" outlineLevel="0" collapsed="false">
      <c r="A604" s="57" t="s">
        <v>1273</v>
      </c>
      <c r="B604" s="57" t="s">
        <v>283</v>
      </c>
      <c r="C604" s="57" t="str">
        <f aca="false">Flights!$F$22</f>
        <v>MH0052</v>
      </c>
      <c r="D604" s="58" t="n">
        <f aca="false">Flights!$D$22</f>
        <v>46322</v>
      </c>
      <c r="E604" s="57" t="str">
        <f aca="false">Flights!$G$22&amp;"-"&amp;Flights!$H$22</f>
        <v>KUL-KIX</v>
      </c>
      <c r="F604" s="57" t="str">
        <f aca="false">Flights!$K$22</f>
        <v>BC</v>
      </c>
      <c r="G604" s="57" t="s">
        <v>422</v>
      </c>
      <c r="H604" s="57" t="s">
        <v>423</v>
      </c>
      <c r="I604" s="57" t="s">
        <v>342</v>
      </c>
      <c r="J604" s="57" t="s">
        <v>424</v>
      </c>
      <c r="K604" s="67" t="s">
        <v>389</v>
      </c>
      <c r="L604" s="67" t="s">
        <v>425</v>
      </c>
      <c r="M604" s="67"/>
      <c r="N604" s="67" t="s">
        <v>346</v>
      </c>
      <c r="O604" s="67" t="s">
        <v>426</v>
      </c>
      <c r="P604" s="57" t="s">
        <v>177</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IF(N604="N/A – rule","N/A – RULE",IF(TRIM(U604)="N/A",IF(AT604=0,"INVALID – N/A not permitted for this mandatory check",IF(AND(TRIM(AC604)&lt;&gt;"",TRIM(AE604)&lt;&gt;"",TRIM(T604)&lt;&gt;""),"N/A – JUSTIFIED","INVALID – N/A needs justification, PIC and verifier")),IF(OR(TRIM(U604)="Pass",TRIM(U604)="Pass after CA"),IF(NOT(ISNUMBER(AD604)),"INVALID – completion time missing",IF(TRIM(T604)="","INVALID – PIC missing",IF(TRIM(Z604)="","INVALID – evidence missing",IF(TRIM(AE604)="","INVALID – verifier missing",IF(AND(AQ604=1,TRIM(W604)=""),"INVALID – batch ID missing",IF(AND(AR604=1,OR(NOT(ISNUMBER(X604)),NOT(ISNUMBER(Y604)))),"INVALID – expected/actual qty missing",IF(IF(AND(TRIM(U604)="Pass",ISNUMBER(AF604)),IF(AF604&lt;&gt;0,"INVALID – qty variance: use Fail or Pass after CA",""),"")&amp;IF(AND(TRIM(U604)="Pass",AB604="Open"),"INVALID – corrective action still open: use Fail, then Pass after CA","")&amp;IF(AND(TRIM(U604)="Pass after CA",OR(TRIM(AA604)="",AB604&lt;&gt;"Closed")),"INVALID – corrective action not recorded/closed","")&lt;&gt;"",IF(AND(TRIM(U604)="Pass",ISNUMBER(AF604)),IF(AF604&lt;&gt;0,"INVALID – qty variance: use Fail or Pass after CA",""),"")&amp;IF(AND(TRIM(U604)="Pass",AB604="Open"),"INVALID – corrective action still open: use Fail, then Pass after CA","")&amp;IF(AND(TRIM(U604)="Pass after CA",OR(TRIM(AA604)="",AB604&lt;&gt;"Closed")),"INVALID – corrective action not recorded/closed",""),IF(AND(AS604=1,Documents!$J$22&lt;&gt;"ON FILE"),"INVALID – GLD not on file (Documents sheet)",IF(AND(AS604=2,Documents!$O$22&lt;&gt;"ON FILE"),"INVALID – menu checklist not on file (Documents sheet)",IF(AND(AS604=3,NOT(ISNUMBER(Flights!$AX$22))),"INVALID – enter carrying flight KUL departure (Flights AX)",IF(AG604&gt;AsOfUTC,"INVALID – completion time is in the future",IF(AND(ISNUMBER(S604),AG604&lt;S604),IF(H604="Physical uplift","INVALID – before uplift window (cannot confirm loading)","INVALID – before valid window"),IF(AG604&gt;Flights!$AA$22,"INVALID – completed after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f>
        <v>OPEN</v>
      </c>
      <c r="AI604" s="61" t="n">
        <f aca="false">IF(OR(AH604="N/A – RULE",AH604="N/A – JUSTIFIED"),0,1)</f>
        <v>1</v>
      </c>
      <c r="AJ604" s="61" t="n">
        <f aca="false">IF(LEFT(AH604,8)="COMPLETE",1,0)</f>
        <v>0</v>
      </c>
      <c r="AK604" s="61" t="n">
        <f aca="false">IF(AND(AI604=1,AJ604=0,AsOfUTC&gt;Q604),1,0)</f>
        <v>0</v>
      </c>
      <c r="AL604" s="61" t="n">
        <f aca="false">IF(AND(AI604=1,OR(TRIM(U604)="Fail",AB604="Open",AND(ISNUMBER(AF604),AF604&lt;&gt;0,TRIM(U604)&lt;&gt;"Pass after CA"))),1,0)</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row>
    <row r="605" customFormat="false" ht="39.75" hidden="false" customHeight="true" outlineLevel="0" collapsed="false">
      <c r="A605" s="57" t="s">
        <v>1274</v>
      </c>
      <c r="B605" s="57" t="s">
        <v>283</v>
      </c>
      <c r="C605" s="57" t="str">
        <f aca="false">Flights!$F$22</f>
        <v>MH0052</v>
      </c>
      <c r="D605" s="58" t="n">
        <f aca="false">Flights!$D$22</f>
        <v>46322</v>
      </c>
      <c r="E605" s="57" t="str">
        <f aca="false">Flights!$G$22&amp;"-"&amp;Flights!$H$22</f>
        <v>KUL-KIX</v>
      </c>
      <c r="F605" s="57" t="str">
        <f aca="false">Flights!$K$22</f>
        <v>BC</v>
      </c>
      <c r="G605" s="57" t="s">
        <v>422</v>
      </c>
      <c r="H605" s="57" t="s">
        <v>423</v>
      </c>
      <c r="I605" s="57" t="s">
        <v>391</v>
      </c>
      <c r="J605" s="57" t="s">
        <v>428</v>
      </c>
      <c r="K605" s="67" t="s">
        <v>389</v>
      </c>
      <c r="L605" s="67" t="s">
        <v>425</v>
      </c>
      <c r="M605" s="67"/>
      <c r="N605" s="67" t="s">
        <v>346</v>
      </c>
      <c r="O605" s="67" t="s">
        <v>426</v>
      </c>
      <c r="P605" s="57" t="s">
        <v>177</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IF(N605="N/A – rule","N/A – RULE",IF(TRIM(U605)="N/A",IF(AT605=0,"INVALID – N/A not permitted for this mandatory check",IF(AND(TRIM(AC605)&lt;&gt;"",TRIM(AE605)&lt;&gt;"",TRIM(T605)&lt;&gt;""),"N/A – JUSTIFIED","INVALID – N/A needs justification, PIC and verifier")),IF(OR(TRIM(U605)="Pass",TRIM(U605)="Pass after CA"),IF(NOT(ISNUMBER(AD605)),"INVALID – completion time missing",IF(TRIM(T605)="","INVALID – PIC missing",IF(TRIM(Z605)="","INVALID – evidence missing",IF(TRIM(AE605)="","INVALID – verifier missing",IF(AND(AQ605=1,TRIM(W605)=""),"INVALID – batch ID missing",IF(AND(AR605=1,OR(NOT(ISNUMBER(X605)),NOT(ISNUMBER(Y605)))),"INVALID – expected/actual qty missing",IF(IF(AND(TRIM(U605)="Pass",ISNUMBER(AF605)),IF(AF605&lt;&gt;0,"INVALID – qty variance: use Fail or Pass after CA",""),"")&amp;IF(AND(TRIM(U605)="Pass",AB605="Open"),"INVALID – corrective action still open: use Fail, then Pass after CA","")&amp;IF(AND(TRIM(U605)="Pass after CA",OR(TRIM(AA605)="",AB605&lt;&gt;"Closed")),"INVALID – corrective action not recorded/closed","")&lt;&gt;"",IF(AND(TRIM(U605)="Pass",ISNUMBER(AF605)),IF(AF605&lt;&gt;0,"INVALID – qty variance: use Fail or Pass after CA",""),"")&amp;IF(AND(TRIM(U605)="Pass",AB605="Open"),"INVALID – corrective action still open: use Fail, then Pass after CA","")&amp;IF(AND(TRIM(U605)="Pass after CA",OR(TRIM(AA605)="",AB605&lt;&gt;"Closed")),"INVALID – corrective action not recorded/closed",""),IF(AND(AS605=1,Documents!$J$22&lt;&gt;"ON FILE"),"INVALID – GLD not on file (Documents sheet)",IF(AND(AS605=2,Documents!$O$22&lt;&gt;"ON FILE"),"INVALID – menu checklist not on file (Documents sheet)",IF(AND(AS605=3,NOT(ISNUMBER(Flights!$AX$22))),"INVALID – enter carrying flight KUL departure (Flights AX)",IF(AG605&gt;AsOfUTC,"INVALID – completion time is in the future",IF(AND(ISNUMBER(S605),AG605&lt;S605),IF(H605="Physical uplift","INVALID – before uplift window (cannot confirm loading)","INVALID – before valid window"),IF(AG605&gt;Flights!$AA$22,"INVALID – completed after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f>
        <v>OPEN</v>
      </c>
      <c r="AI605" s="61" t="n">
        <f aca="false">IF(OR(AH605="N/A – RULE",AH605="N/A – JUSTIFIED"),0,1)</f>
        <v>1</v>
      </c>
      <c r="AJ605" s="61" t="n">
        <f aca="false">IF(LEFT(AH605,8)="COMPLETE",1,0)</f>
        <v>0</v>
      </c>
      <c r="AK605" s="61" t="n">
        <f aca="false">IF(AND(AI605=1,AJ605=0,AsOfUTC&gt;Q605),1,0)</f>
        <v>0</v>
      </c>
      <c r="AL605" s="61" t="n">
        <f aca="false">IF(AND(AI605=1,OR(TRIM(U605)="Fail",AB605="Open",AND(ISNUMBER(AF605),AF605&lt;&gt;0,TRIM(U605)&lt;&gt;"Pass after CA"))),1,0)</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row>
    <row r="606" customFormat="false" ht="39.75" hidden="false" customHeight="true" outlineLevel="0" collapsed="false">
      <c r="A606" s="57" t="s">
        <v>1275</v>
      </c>
      <c r="B606" s="57" t="s">
        <v>283</v>
      </c>
      <c r="C606" s="57" t="str">
        <f aca="false">Flights!$F$22</f>
        <v>MH0052</v>
      </c>
      <c r="D606" s="58" t="n">
        <f aca="false">Flights!$D$22</f>
        <v>46322</v>
      </c>
      <c r="E606" s="57" t="str">
        <f aca="false">Flights!$G$22&amp;"-"&amp;Flights!$H$22</f>
        <v>KUL-KIX</v>
      </c>
      <c r="F606" s="57" t="str">
        <f aca="false">Flights!$K$22</f>
        <v>BC</v>
      </c>
      <c r="G606" s="57" t="s">
        <v>422</v>
      </c>
      <c r="H606" s="57" t="s">
        <v>423</v>
      </c>
      <c r="I606" s="57" t="s">
        <v>403</v>
      </c>
      <c r="J606" s="57" t="s">
        <v>606</v>
      </c>
      <c r="K606" s="67" t="s">
        <v>464</v>
      </c>
      <c r="L606" s="67" t="s">
        <v>1246</v>
      </c>
      <c r="M606" s="67" t="s">
        <v>177</v>
      </c>
      <c r="N606" s="67" t="s">
        <v>346</v>
      </c>
      <c r="O606" s="67"/>
      <c r="P606" s="57" t="s">
        <v>177</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IF(N606="N/A – rule","N/A – RULE",IF(TRIM(U606)="N/A",IF(AT606=0,"INVALID – N/A not permitted for this mandatory check",IF(AND(TRIM(AC606)&lt;&gt;"",TRIM(AE606)&lt;&gt;"",TRIM(T606)&lt;&gt;""),"N/A – JUSTIFIED","INVALID – N/A needs justification, PIC and verifier")),IF(OR(TRIM(U606)="Pass",TRIM(U606)="Pass after CA"),IF(NOT(ISNUMBER(AD606)),"INVALID – completion time missing",IF(TRIM(T606)="","INVALID – PIC missing",IF(TRIM(Z606)="","INVALID – evidence missing",IF(TRIM(AE606)="","INVALID – verifier missing",IF(AND(AQ606=1,TRIM(W606)=""),"INVALID – batch ID missing",IF(AND(AR606=1,OR(NOT(ISNUMBER(X606)),NOT(ISNUMBER(Y606)))),"INVALID – expected/actual qty missing",IF(IF(AND(TRIM(U606)="Pass",ISNUMBER(AF606)),IF(AF606&lt;&gt;0,"INVALID – qty variance: use Fail or Pass after CA",""),"")&amp;IF(AND(TRIM(U606)="Pass",AB606="Open"),"INVALID – corrective action still open: use Fail, then Pass after CA","")&amp;IF(AND(TRIM(U606)="Pass after CA",OR(TRIM(AA606)="",AB606&lt;&gt;"Closed")),"INVALID – corrective action not recorded/closed","")&lt;&gt;"",IF(AND(TRIM(U606)="Pass",ISNUMBER(AF606)),IF(AF606&lt;&gt;0,"INVALID – qty variance: use Fail or Pass after CA",""),"")&amp;IF(AND(TRIM(U606)="Pass",AB606="Open"),"INVALID – corrective action still open: use Fail, then Pass after CA","")&amp;IF(AND(TRIM(U606)="Pass after CA",OR(TRIM(AA606)="",AB606&lt;&gt;"Closed")),"INVALID – corrective action not recorded/closed",""),IF(AND(AS606=1,Documents!$J$22&lt;&gt;"ON FILE"),"INVALID – GLD not on file (Documents sheet)",IF(AND(AS606=2,Documents!$O$22&lt;&gt;"ON FILE"),"INVALID – menu checklist not on file (Documents sheet)",IF(AND(AS606=3,NOT(ISNUMBER(Flights!$AX$22))),"INVALID – enter carrying flight KUL departure (Flights AX)",IF(AG606&gt;AsOfUTC,"INVALID – completion time is in the future",IF(AND(ISNUMBER(S606),AG606&lt;S606),IF(H606="Physical uplift","INVALID – before uplift window (cannot confirm loading)","INVALID – before valid window"),IF(AG606&gt;Flights!$AA$22,"INVALID – completed after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f>
        <v>OPEN</v>
      </c>
      <c r="AI606" s="61" t="n">
        <f aca="false">IF(OR(AH606="N/A – RULE",AH606="N/A – JUSTIFIED"),0,1)</f>
        <v>1</v>
      </c>
      <c r="AJ606" s="61" t="n">
        <f aca="false">IF(LEFT(AH606,8)="COMPLETE",1,0)</f>
        <v>0</v>
      </c>
      <c r="AK606" s="61" t="n">
        <f aca="false">IF(AND(AI606=1,AJ606=0,AsOfUTC&gt;Q606),1,0)</f>
        <v>0</v>
      </c>
      <c r="AL606" s="61" t="n">
        <f aca="false">IF(AND(AI606=1,OR(TRIM(U606)="Fail",AB606="Open",AND(ISNUMBER(AF606),AF606&lt;&gt;0,TRIM(U606)&lt;&gt;"Pass after CA"))),1,0)</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1</v>
      </c>
    </row>
    <row r="607" customFormat="false" ht="39.75" hidden="false" customHeight="true" outlineLevel="0" collapsed="false">
      <c r="A607" s="57" t="s">
        <v>1276</v>
      </c>
      <c r="B607" s="57" t="s">
        <v>283</v>
      </c>
      <c r="C607" s="57" t="str">
        <f aca="false">Flights!$F$22</f>
        <v>MH0052</v>
      </c>
      <c r="D607" s="58" t="n">
        <f aca="false">Flights!$D$22</f>
        <v>46322</v>
      </c>
      <c r="E607" s="57" t="str">
        <f aca="false">Flights!$G$22&amp;"-"&amp;Flights!$H$22</f>
        <v>KUL-KIX</v>
      </c>
      <c r="F607" s="57" t="str">
        <f aca="false">Flights!$K$22</f>
        <v>BC</v>
      </c>
      <c r="G607" s="57" t="s">
        <v>422</v>
      </c>
      <c r="H607" s="57" t="s">
        <v>423</v>
      </c>
      <c r="I607" s="57" t="s">
        <v>462</v>
      </c>
      <c r="J607" s="57" t="s">
        <v>500</v>
      </c>
      <c r="K607" s="67" t="s">
        <v>464</v>
      </c>
      <c r="L607" s="67" t="s">
        <v>1248</v>
      </c>
      <c r="M607" s="67" t="s">
        <v>414</v>
      </c>
      <c r="N607" s="67" t="s">
        <v>346</v>
      </c>
      <c r="O607" s="67"/>
      <c r="P607" s="57" t="s">
        <v>177</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IF(N607="N/A – rule","N/A – RULE",IF(TRIM(U607)="N/A",IF(AT607=0,"INVALID – N/A not permitted for this mandatory check",IF(AND(TRIM(AC607)&lt;&gt;"",TRIM(AE607)&lt;&gt;"",TRIM(T607)&lt;&gt;""),"N/A – JUSTIFIED","INVALID – N/A needs justification, PIC and verifier")),IF(OR(TRIM(U607)="Pass",TRIM(U607)="Pass after CA"),IF(NOT(ISNUMBER(AD607)),"INVALID – completion time missing",IF(TRIM(T607)="","INVALID – PIC missing",IF(TRIM(Z607)="","INVALID – evidence missing",IF(TRIM(AE607)="","INVALID – verifier missing",IF(AND(AQ607=1,TRIM(W607)=""),"INVALID – batch ID missing",IF(AND(AR607=1,OR(NOT(ISNUMBER(X607)),NOT(ISNUMBER(Y607)))),"INVALID – expected/actual qty missing",IF(IF(AND(TRIM(U607)="Pass",ISNUMBER(AF607)),IF(AF607&lt;&gt;0,"INVALID – qty variance: use Fail or Pass after CA",""),"")&amp;IF(AND(TRIM(U607)="Pass",AB607="Open"),"INVALID – corrective action still open: use Fail, then Pass after CA","")&amp;IF(AND(TRIM(U607)="Pass after CA",OR(TRIM(AA607)="",AB607&lt;&gt;"Closed")),"INVALID – corrective action not recorded/closed","")&lt;&gt;"",IF(AND(TRIM(U607)="Pass",ISNUMBER(AF607)),IF(AF607&lt;&gt;0,"INVALID – qty variance: use Fail or Pass after CA",""),"")&amp;IF(AND(TRIM(U607)="Pass",AB607="Open"),"INVALID – corrective action still open: use Fail, then Pass after CA","")&amp;IF(AND(TRIM(U607)="Pass after CA",OR(TRIM(AA607)="",AB607&lt;&gt;"Closed")),"INVALID – corrective action not recorded/closed",""),IF(AND(AS607=1,Documents!$J$22&lt;&gt;"ON FILE"),"INVALID – GLD not on file (Documents sheet)",IF(AND(AS607=2,Documents!$O$22&lt;&gt;"ON FILE"),"INVALID – menu checklist not on file (Documents sheet)",IF(AND(AS607=3,NOT(ISNUMBER(Flights!$AX$22))),"INVALID – enter carrying flight KUL departure (Flights AX)",IF(AG607&gt;AsOfUTC,"INVALID – completion time is in the future",IF(AND(ISNUMBER(S607),AG607&lt;S607),IF(H607="Physical uplift","INVALID – before uplift window (cannot confirm loading)","INVALID – before valid window"),IF(AG607&gt;Flights!$AA$22,"INVALID – completed after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f>
        <v>OPEN</v>
      </c>
      <c r="AI607" s="61" t="n">
        <f aca="false">IF(OR(AH607="N/A – RULE",AH607="N/A – JUSTIFIED"),0,1)</f>
        <v>1</v>
      </c>
      <c r="AJ607" s="61" t="n">
        <f aca="false">IF(LEFT(AH607,8)="COMPLETE",1,0)</f>
        <v>0</v>
      </c>
      <c r="AK607" s="61" t="n">
        <f aca="false">IF(AND(AI607=1,AJ607=0,AsOfUTC&gt;Q607),1,0)</f>
        <v>0</v>
      </c>
      <c r="AL607" s="61" t="n">
        <f aca="false">IF(AND(AI607=1,OR(TRIM(U607)="Fail",AB607="Open",AND(ISNUMBER(AF607),AF607&lt;&gt;0,TRIM(U607)&lt;&gt;"Pass after CA"))),1,0)</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1</v>
      </c>
    </row>
    <row r="608" customFormat="false" ht="39.75" hidden="false" customHeight="true" outlineLevel="0" collapsed="false">
      <c r="A608" s="57" t="s">
        <v>1277</v>
      </c>
      <c r="B608" s="57" t="s">
        <v>283</v>
      </c>
      <c r="C608" s="57" t="str">
        <f aca="false">Flights!$F$22</f>
        <v>MH0052</v>
      </c>
      <c r="D608" s="58" t="n">
        <f aca="false">Flights!$D$22</f>
        <v>46322</v>
      </c>
      <c r="E608" s="57" t="str">
        <f aca="false">Flights!$G$22&amp;"-"&amp;Flights!$H$22</f>
        <v>KUL-KIX</v>
      </c>
      <c r="F608" s="57" t="str">
        <f aca="false">Flights!$K$22</f>
        <v>BC</v>
      </c>
      <c r="G608" s="57" t="s">
        <v>422</v>
      </c>
      <c r="H608" s="57" t="s">
        <v>423</v>
      </c>
      <c r="I608" s="57" t="s">
        <v>462</v>
      </c>
      <c r="J608" s="57" t="s">
        <v>502</v>
      </c>
      <c r="K608" s="67" t="s">
        <v>464</v>
      </c>
      <c r="L608" s="67" t="s">
        <v>1250</v>
      </c>
      <c r="M608" s="67" t="s">
        <v>414</v>
      </c>
      <c r="N608" s="67" t="s">
        <v>346</v>
      </c>
      <c r="O608" s="67"/>
      <c r="P608" s="57" t="s">
        <v>177</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IF(N608="N/A – rule","N/A – RULE",IF(TRIM(U608)="N/A",IF(AT608=0,"INVALID – N/A not permitted for this mandatory check",IF(AND(TRIM(AC608)&lt;&gt;"",TRIM(AE608)&lt;&gt;"",TRIM(T608)&lt;&gt;""),"N/A – JUSTIFIED","INVALID – N/A needs justification, PIC and verifier")),IF(OR(TRIM(U608)="Pass",TRIM(U608)="Pass after CA"),IF(NOT(ISNUMBER(AD608)),"INVALID – completion time missing",IF(TRIM(T608)="","INVALID – PIC missing",IF(TRIM(Z608)="","INVALID – evidence missing",IF(TRIM(AE608)="","INVALID – verifier missing",IF(AND(AQ608=1,TRIM(W608)=""),"INVALID – batch ID missing",IF(AND(AR608=1,OR(NOT(ISNUMBER(X608)),NOT(ISNUMBER(Y608)))),"INVALID – expected/actual qty missing",IF(IF(AND(TRIM(U608)="Pass",ISNUMBER(AF608)),IF(AF608&lt;&gt;0,"INVALID – qty variance: use Fail or Pass after CA",""),"")&amp;IF(AND(TRIM(U608)="Pass",AB608="Open"),"INVALID – corrective action still open: use Fail, then Pass after CA","")&amp;IF(AND(TRIM(U608)="Pass after CA",OR(TRIM(AA608)="",AB608&lt;&gt;"Closed")),"INVALID – corrective action not recorded/closed","")&lt;&gt;"",IF(AND(TRIM(U608)="Pass",ISNUMBER(AF608)),IF(AF608&lt;&gt;0,"INVALID – qty variance: use Fail or Pass after CA",""),"")&amp;IF(AND(TRIM(U608)="Pass",AB608="Open"),"INVALID – corrective action still open: use Fail, then Pass after CA","")&amp;IF(AND(TRIM(U608)="Pass after CA",OR(TRIM(AA608)="",AB608&lt;&gt;"Closed")),"INVALID – corrective action not recorded/closed",""),IF(AND(AS608=1,Documents!$J$22&lt;&gt;"ON FILE"),"INVALID – GLD not on file (Documents sheet)",IF(AND(AS608=2,Documents!$O$22&lt;&gt;"ON FILE"),"INVALID – menu checklist not on file (Documents sheet)",IF(AND(AS608=3,NOT(ISNUMBER(Flights!$AX$22))),"INVALID – enter carrying flight KUL departure (Flights AX)",IF(AG608&gt;AsOfUTC,"INVALID – completion time is in the future",IF(AND(ISNUMBER(S608),AG608&lt;S608),IF(H608="Physical uplift","INVALID – before uplift window (cannot confirm loading)","INVALID – before valid window"),IF(AG608&gt;Flights!$AA$22,"INVALID – completed after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f>
        <v>OPEN</v>
      </c>
      <c r="AI608" s="61" t="n">
        <f aca="false">IF(OR(AH608="N/A – RULE",AH608="N/A – JUSTIFIED"),0,1)</f>
        <v>1</v>
      </c>
      <c r="AJ608" s="61" t="n">
        <f aca="false">IF(LEFT(AH608,8)="COMPLETE",1,0)</f>
        <v>0</v>
      </c>
      <c r="AK608" s="61" t="n">
        <f aca="false">IF(AND(AI608=1,AJ608=0,AsOfUTC&gt;Q608),1,0)</f>
        <v>0</v>
      </c>
      <c r="AL608" s="61" t="n">
        <f aca="false">IF(AND(AI608=1,OR(TRIM(U608)="Fail",AB608="Open",AND(ISNUMBER(AF608),AF608&lt;&gt;0,TRIM(U608)&lt;&gt;"Pass after CA"))),1,0)</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1</v>
      </c>
    </row>
    <row r="609" customFormat="false" ht="39.75" hidden="false" customHeight="true" outlineLevel="0" collapsed="false">
      <c r="A609" s="57" t="s">
        <v>1278</v>
      </c>
      <c r="B609" s="57" t="s">
        <v>283</v>
      </c>
      <c r="C609" s="57" t="str">
        <f aca="false">Flights!$F$22</f>
        <v>MH0052</v>
      </c>
      <c r="D609" s="58" t="n">
        <f aca="false">Flights!$D$22</f>
        <v>46322</v>
      </c>
      <c r="E609" s="57" t="str">
        <f aca="false">Flights!$G$22&amp;"-"&amp;Flights!$H$22</f>
        <v>KUL-KIX</v>
      </c>
      <c r="F609" s="57" t="str">
        <f aca="false">Flights!$K$22</f>
        <v>BC</v>
      </c>
      <c r="G609" s="57" t="s">
        <v>422</v>
      </c>
      <c r="H609" s="57" t="s">
        <v>423</v>
      </c>
      <c r="I609" s="57" t="s">
        <v>462</v>
      </c>
      <c r="J609" s="57" t="s">
        <v>504</v>
      </c>
      <c r="K609" s="67" t="s">
        <v>464</v>
      </c>
      <c r="L609" s="67" t="s">
        <v>1252</v>
      </c>
      <c r="M609" s="67" t="s">
        <v>414</v>
      </c>
      <c r="N609" s="67" t="s">
        <v>346</v>
      </c>
      <c r="O609" s="67"/>
      <c r="P609" s="57" t="s">
        <v>177</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IF(N609="N/A – rule","N/A – RULE",IF(TRIM(U609)="N/A",IF(AT609=0,"INVALID – N/A not permitted for this mandatory check",IF(AND(TRIM(AC609)&lt;&gt;"",TRIM(AE609)&lt;&gt;"",TRIM(T609)&lt;&gt;""),"N/A – JUSTIFIED","INVALID – N/A needs justification, PIC and verifier")),IF(OR(TRIM(U609)="Pass",TRIM(U609)="Pass after CA"),IF(NOT(ISNUMBER(AD609)),"INVALID – completion time missing",IF(TRIM(T609)="","INVALID – PIC missing",IF(TRIM(Z609)="","INVALID – evidence missing",IF(TRIM(AE609)="","INVALID – verifier missing",IF(AND(AQ609=1,TRIM(W609)=""),"INVALID – batch ID missing",IF(AND(AR609=1,OR(NOT(ISNUMBER(X609)),NOT(ISNUMBER(Y609)))),"INVALID – expected/actual qty missing",IF(IF(AND(TRIM(U609)="Pass",ISNUMBER(AF609)),IF(AF609&lt;&gt;0,"INVALID – qty variance: use Fail or Pass after CA",""),"")&amp;IF(AND(TRIM(U609)="Pass",AB609="Open"),"INVALID – corrective action still open: use Fail, then Pass after CA","")&amp;IF(AND(TRIM(U609)="Pass after CA",OR(TRIM(AA609)="",AB609&lt;&gt;"Closed")),"INVALID – corrective action not recorded/closed","")&lt;&gt;"",IF(AND(TRIM(U609)="Pass",ISNUMBER(AF609)),IF(AF609&lt;&gt;0,"INVALID – qty variance: use Fail or Pass after CA",""),"")&amp;IF(AND(TRIM(U609)="Pass",AB609="Open"),"INVALID – corrective action still open: use Fail, then Pass after CA","")&amp;IF(AND(TRIM(U609)="Pass after CA",OR(TRIM(AA609)="",AB609&lt;&gt;"Closed")),"INVALID – corrective action not recorded/closed",""),IF(AND(AS609=1,Documents!$J$22&lt;&gt;"ON FILE"),"INVALID – GLD not on file (Documents sheet)",IF(AND(AS609=2,Documents!$O$22&lt;&gt;"ON FILE"),"INVALID – menu checklist not on file (Documents sheet)",IF(AND(AS609=3,NOT(ISNUMBER(Flights!$AX$22))),"INVALID – enter carrying flight KUL departure (Flights AX)",IF(AG609&gt;AsOfUTC,"INVALID – completion time is in the future",IF(AND(ISNUMBER(S609),AG609&lt;S609),IF(H609="Physical uplift","INVALID – before uplift window (cannot confirm loading)","INVALID – before valid window"),IF(AG609&gt;Flights!$AA$22,"INVALID – completed after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f>
        <v>OPEN</v>
      </c>
      <c r="AI609" s="61" t="n">
        <f aca="false">IF(OR(AH609="N/A – RULE",AH609="N/A – JUSTIFIED"),0,1)</f>
        <v>1</v>
      </c>
      <c r="AJ609" s="61" t="n">
        <f aca="false">IF(LEFT(AH609,8)="COMPLETE",1,0)</f>
        <v>0</v>
      </c>
      <c r="AK609" s="61" t="n">
        <f aca="false">IF(AND(AI609=1,AJ609=0,AsOfUTC&gt;Q609),1,0)</f>
        <v>0</v>
      </c>
      <c r="AL609" s="61" t="n">
        <f aca="false">IF(AND(AI609=1,OR(TRIM(U609)="Fail",AB609="Open",AND(ISNUMBER(AF609),AF609&lt;&gt;0,TRIM(U609)&lt;&gt;"Pass after CA"))),1,0)</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1</v>
      </c>
    </row>
    <row r="610" customFormat="false" ht="39.75" hidden="false" customHeight="true" outlineLevel="0" collapsed="false">
      <c r="A610" s="57" t="s">
        <v>1279</v>
      </c>
      <c r="B610" s="57" t="s">
        <v>283</v>
      </c>
      <c r="C610" s="57" t="str">
        <f aca="false">Flights!$F$22</f>
        <v>MH0052</v>
      </c>
      <c r="D610" s="58" t="n">
        <f aca="false">Flights!$D$22</f>
        <v>46322</v>
      </c>
      <c r="E610" s="57" t="str">
        <f aca="false">Flights!$G$22&amp;"-"&amp;Flights!$H$22</f>
        <v>KUL-KIX</v>
      </c>
      <c r="F610" s="57" t="str">
        <f aca="false">Flights!$K$22</f>
        <v>BC</v>
      </c>
      <c r="G610" s="57" t="s">
        <v>422</v>
      </c>
      <c r="H610" s="57" t="s">
        <v>423</v>
      </c>
      <c r="I610" s="57" t="s">
        <v>462</v>
      </c>
      <c r="J610" s="57" t="s">
        <v>506</v>
      </c>
      <c r="K610" s="67" t="s">
        <v>464</v>
      </c>
      <c r="L610" s="67" t="s">
        <v>1254</v>
      </c>
      <c r="M610" s="67" t="s">
        <v>414</v>
      </c>
      <c r="N610" s="67" t="s">
        <v>346</v>
      </c>
      <c r="O610" s="67"/>
      <c r="P610" s="57" t="s">
        <v>177</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IF(N610="N/A – rule","N/A – RULE",IF(TRIM(U610)="N/A",IF(AT610=0,"INVALID – N/A not permitted for this mandatory check",IF(AND(TRIM(AC610)&lt;&gt;"",TRIM(AE610)&lt;&gt;"",TRIM(T610)&lt;&gt;""),"N/A – JUSTIFIED","INVALID – N/A needs justification, PIC and verifier")),IF(OR(TRIM(U610)="Pass",TRIM(U610)="Pass after CA"),IF(NOT(ISNUMBER(AD610)),"INVALID – completion time missing",IF(TRIM(T610)="","INVALID – PIC missing",IF(TRIM(Z610)="","INVALID – evidence missing",IF(TRIM(AE610)="","INVALID – verifier missing",IF(AND(AQ610=1,TRIM(W610)=""),"INVALID – batch ID missing",IF(AND(AR610=1,OR(NOT(ISNUMBER(X610)),NOT(ISNUMBER(Y610)))),"INVALID – expected/actual qty missing",IF(IF(AND(TRIM(U610)="Pass",ISNUMBER(AF610)),IF(AF610&lt;&gt;0,"INVALID – qty variance: use Fail or Pass after CA",""),"")&amp;IF(AND(TRIM(U610)="Pass",AB610="Open"),"INVALID – corrective action still open: use Fail, then Pass after CA","")&amp;IF(AND(TRIM(U610)="Pass after CA",OR(TRIM(AA610)="",AB610&lt;&gt;"Closed")),"INVALID – corrective action not recorded/closed","")&lt;&gt;"",IF(AND(TRIM(U610)="Pass",ISNUMBER(AF610)),IF(AF610&lt;&gt;0,"INVALID – qty variance: use Fail or Pass after CA",""),"")&amp;IF(AND(TRIM(U610)="Pass",AB610="Open"),"INVALID – corrective action still open: use Fail, then Pass after CA","")&amp;IF(AND(TRIM(U610)="Pass after CA",OR(TRIM(AA610)="",AB610&lt;&gt;"Closed")),"INVALID – corrective action not recorded/closed",""),IF(AND(AS610=1,Documents!$J$22&lt;&gt;"ON FILE"),"INVALID – GLD not on file (Documents sheet)",IF(AND(AS610=2,Documents!$O$22&lt;&gt;"ON FILE"),"INVALID – menu checklist not on file (Documents sheet)",IF(AND(AS610=3,NOT(ISNUMBER(Flights!$AX$22))),"INVALID – enter carrying flight KUL departure (Flights AX)",IF(AG610&gt;AsOfUTC,"INVALID – completion time is in the future",IF(AND(ISNUMBER(S610),AG610&lt;S610),IF(H610="Physical uplift","INVALID – before uplift window (cannot confirm loading)","INVALID – before valid window"),IF(AG610&gt;Flights!$AA$22,"INVALID – completed after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f>
        <v>OPEN</v>
      </c>
      <c r="AI610" s="61" t="n">
        <f aca="false">IF(OR(AH610="N/A – RULE",AH610="N/A – JUSTIFIED"),0,1)</f>
        <v>1</v>
      </c>
      <c r="AJ610" s="61" t="n">
        <f aca="false">IF(LEFT(AH610,8)="COMPLETE",1,0)</f>
        <v>0</v>
      </c>
      <c r="AK610" s="61" t="n">
        <f aca="false">IF(AND(AI610=1,AJ610=0,AsOfUTC&gt;Q610),1,0)</f>
        <v>0</v>
      </c>
      <c r="AL610" s="61" t="n">
        <f aca="false">IF(AND(AI610=1,OR(TRIM(U610)="Fail",AB610="Open",AND(ISNUMBER(AF610),AF610&lt;&gt;0,TRIM(U610)&lt;&gt;"Pass after CA"))),1,0)</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1</v>
      </c>
    </row>
    <row r="611" customFormat="false" ht="39.75" hidden="false" customHeight="true" outlineLevel="0" collapsed="false">
      <c r="A611" s="57" t="s">
        <v>1280</v>
      </c>
      <c r="B611" s="57" t="s">
        <v>283</v>
      </c>
      <c r="C611" s="57" t="str">
        <f aca="false">Flights!$F$22</f>
        <v>MH0052</v>
      </c>
      <c r="D611" s="58" t="n">
        <f aca="false">Flights!$D$22</f>
        <v>46322</v>
      </c>
      <c r="E611" s="57" t="str">
        <f aca="false">Flights!$G$22&amp;"-"&amp;Flights!$H$22</f>
        <v>KUL-KIX</v>
      </c>
      <c r="F611" s="57" t="str">
        <f aca="false">Flights!$K$22</f>
        <v>BC</v>
      </c>
      <c r="G611" s="57" t="s">
        <v>422</v>
      </c>
      <c r="H611" s="57" t="s">
        <v>423</v>
      </c>
      <c r="I611" s="57" t="s">
        <v>462</v>
      </c>
      <c r="J611" s="57" t="s">
        <v>509</v>
      </c>
      <c r="K611" s="67" t="s">
        <v>464</v>
      </c>
      <c r="L611" s="67" t="s">
        <v>1256</v>
      </c>
      <c r="M611" s="67" t="s">
        <v>414</v>
      </c>
      <c r="N611" s="67" t="s">
        <v>346</v>
      </c>
      <c r="O611" s="67"/>
      <c r="P611" s="57" t="s">
        <v>177</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IF(N611="N/A – rule","N/A – RULE",IF(TRIM(U611)="N/A",IF(AT611=0,"INVALID – N/A not permitted for this mandatory check",IF(AND(TRIM(AC611)&lt;&gt;"",TRIM(AE611)&lt;&gt;"",TRIM(T611)&lt;&gt;""),"N/A – JUSTIFIED","INVALID – N/A needs justification, PIC and verifier")),IF(OR(TRIM(U611)="Pass",TRIM(U611)="Pass after CA"),IF(NOT(ISNUMBER(AD611)),"INVALID – completion time missing",IF(TRIM(T611)="","INVALID – PIC missing",IF(TRIM(Z611)="","INVALID – evidence missing",IF(TRIM(AE611)="","INVALID – verifier missing",IF(AND(AQ611=1,TRIM(W611)=""),"INVALID – batch ID missing",IF(AND(AR611=1,OR(NOT(ISNUMBER(X611)),NOT(ISNUMBER(Y611)))),"INVALID – expected/actual qty missing",IF(IF(AND(TRIM(U611)="Pass",ISNUMBER(AF611)),IF(AF611&lt;&gt;0,"INVALID – qty variance: use Fail or Pass after CA",""),"")&amp;IF(AND(TRIM(U611)="Pass",AB611="Open"),"INVALID – corrective action still open: use Fail, then Pass after CA","")&amp;IF(AND(TRIM(U611)="Pass after CA",OR(TRIM(AA611)="",AB611&lt;&gt;"Closed")),"INVALID – corrective action not recorded/closed","")&lt;&gt;"",IF(AND(TRIM(U611)="Pass",ISNUMBER(AF611)),IF(AF611&lt;&gt;0,"INVALID – qty variance: use Fail or Pass after CA",""),"")&amp;IF(AND(TRIM(U611)="Pass",AB611="Open"),"INVALID – corrective action still open: use Fail, then Pass after CA","")&amp;IF(AND(TRIM(U611)="Pass after CA",OR(TRIM(AA611)="",AB611&lt;&gt;"Closed")),"INVALID – corrective action not recorded/closed",""),IF(AND(AS611=1,Documents!$J$22&lt;&gt;"ON FILE"),"INVALID – GLD not on file (Documents sheet)",IF(AND(AS611=2,Documents!$O$22&lt;&gt;"ON FILE"),"INVALID – menu checklist not on file (Documents sheet)",IF(AND(AS611=3,NOT(ISNUMBER(Flights!$AX$22))),"INVALID – enter carrying flight KUL departure (Flights AX)",IF(AG611&gt;AsOfUTC,"INVALID – completion time is in the future",IF(AND(ISNUMBER(S611),AG611&lt;S611),IF(H611="Physical uplift","INVALID – before uplift window (cannot confirm loading)","INVALID – before valid window"),IF(AG611&gt;Flights!$AA$22,"INVALID – completed after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f>
        <v>OPEN</v>
      </c>
      <c r="AI611" s="61" t="n">
        <f aca="false">IF(OR(AH611="N/A – RULE",AH611="N/A – JUSTIFIED"),0,1)</f>
        <v>1</v>
      </c>
      <c r="AJ611" s="61" t="n">
        <f aca="false">IF(LEFT(AH611,8)="COMPLETE",1,0)</f>
        <v>0</v>
      </c>
      <c r="AK611" s="61" t="n">
        <f aca="false">IF(AND(AI611=1,AJ611=0,AsOfUTC&gt;Q611),1,0)</f>
        <v>0</v>
      </c>
      <c r="AL611" s="61" t="n">
        <f aca="false">IF(AND(AI611=1,OR(TRIM(U611)="Fail",AB611="Open",AND(ISNUMBER(AF611),AF611&lt;&gt;0,TRIM(U611)&lt;&gt;"Pass after CA"))),1,0)</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1</v>
      </c>
    </row>
    <row r="612" customFormat="false" ht="39.75" hidden="false" customHeight="true" outlineLevel="0" collapsed="false">
      <c r="A612" s="57" t="s">
        <v>1281</v>
      </c>
      <c r="B612" s="57" t="s">
        <v>283</v>
      </c>
      <c r="C612" s="57" t="str">
        <f aca="false">Flights!$F$22</f>
        <v>MH0052</v>
      </c>
      <c r="D612" s="58" t="n">
        <f aca="false">Flights!$D$22</f>
        <v>46322</v>
      </c>
      <c r="E612" s="57" t="str">
        <f aca="false">Flights!$G$22&amp;"-"&amp;Flights!$H$22</f>
        <v>KUL-KIX</v>
      </c>
      <c r="F612" s="57" t="str">
        <f aca="false">Flights!$K$22</f>
        <v>BC</v>
      </c>
      <c r="G612" s="57" t="s">
        <v>422</v>
      </c>
      <c r="H612" s="57" t="s">
        <v>423</v>
      </c>
      <c r="I612" s="57" t="s">
        <v>462</v>
      </c>
      <c r="J612" s="57" t="s">
        <v>511</v>
      </c>
      <c r="K612" s="67" t="s">
        <v>579</v>
      </c>
      <c r="L612" s="67" t="s">
        <v>1258</v>
      </c>
      <c r="M612" s="67" t="s">
        <v>414</v>
      </c>
      <c r="N612" s="67" t="s">
        <v>346</v>
      </c>
      <c r="O612" s="67" t="s">
        <v>512</v>
      </c>
      <c r="P612" s="57" t="s">
        <v>177</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IF(N612="N/A – rule","N/A – RULE",IF(TRIM(U612)="N/A",IF(AT612=0,"INVALID – N/A not permitted for this mandatory check",IF(AND(TRIM(AC612)&lt;&gt;"",TRIM(AE612)&lt;&gt;"",TRIM(T612)&lt;&gt;""),"N/A – JUSTIFIED","INVALID – N/A needs justification, PIC and verifier")),IF(OR(TRIM(U612)="Pass",TRIM(U612)="Pass after CA"),IF(NOT(ISNUMBER(AD612)),"INVALID – completion time missing",IF(TRIM(T612)="","INVALID – PIC missing",IF(TRIM(Z612)="","INVALID – evidence missing",IF(TRIM(AE612)="","INVALID – verifier missing",IF(AND(AQ612=1,TRIM(W612)=""),"INVALID – batch ID missing",IF(AND(AR612=1,OR(NOT(ISNUMBER(X612)),NOT(ISNUMBER(Y612)))),"INVALID – expected/actual qty missing",IF(IF(AND(TRIM(U612)="Pass",ISNUMBER(AF612)),IF(AF612&lt;&gt;0,"INVALID – qty variance: use Fail or Pass after CA",""),"")&amp;IF(AND(TRIM(U612)="Pass",AB612="Open"),"INVALID – corrective action still open: use Fail, then Pass after CA","")&amp;IF(AND(TRIM(U612)="Pass after CA",OR(TRIM(AA612)="",AB612&lt;&gt;"Closed")),"INVALID – corrective action not recorded/closed","")&lt;&gt;"",IF(AND(TRIM(U612)="Pass",ISNUMBER(AF612)),IF(AF612&lt;&gt;0,"INVALID – qty variance: use Fail or Pass after CA",""),"")&amp;IF(AND(TRIM(U612)="Pass",AB612="Open"),"INVALID – corrective action still open: use Fail, then Pass after CA","")&amp;IF(AND(TRIM(U612)="Pass after CA",OR(TRIM(AA612)="",AB612&lt;&gt;"Closed")),"INVALID – corrective action not recorded/closed",""),IF(AND(AS612=1,Documents!$J$22&lt;&gt;"ON FILE"),"INVALID – GLD not on file (Documents sheet)",IF(AND(AS612=2,Documents!$O$22&lt;&gt;"ON FILE"),"INVALID – menu checklist not on file (Documents sheet)",IF(AND(AS612=3,NOT(ISNUMBER(Flights!$AX$22))),"INVALID – enter carrying flight KUL departure (Flights AX)",IF(AG612&gt;AsOfUTC,"INVALID – completion time is in the future",IF(AND(ISNUMBER(S612),AG612&lt;S612),IF(H612="Physical uplift","INVALID – before uplift window (cannot confirm loading)","INVALID – before valid window"),IF(AG612&gt;Flights!$AA$22,"INVALID – completed after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f>
        <v>OPEN</v>
      </c>
      <c r="AI612" s="61" t="n">
        <f aca="false">IF(OR(AH612="N/A – RULE",AH612="N/A – JUSTIFIED"),0,1)</f>
        <v>1</v>
      </c>
      <c r="AJ612" s="61" t="n">
        <f aca="false">IF(LEFT(AH612,8)="COMPLETE",1,0)</f>
        <v>0</v>
      </c>
      <c r="AK612" s="61" t="n">
        <f aca="false">IF(AND(AI612=1,AJ612=0,AsOfUTC&gt;Q612),1,0)</f>
        <v>0</v>
      </c>
      <c r="AL612" s="61" t="n">
        <f aca="false">IF(AND(AI612=1,OR(TRIM(U612)="Fail",AB612="Open",AND(ISNUMBER(AF612),AF612&lt;&gt;0,TRIM(U612)&lt;&gt;"Pass after CA"))),1,0)</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1</v>
      </c>
    </row>
    <row r="613" customFormat="false" ht="39.75" hidden="false" customHeight="true" outlineLevel="0" collapsed="false">
      <c r="A613" s="57" t="s">
        <v>1282</v>
      </c>
      <c r="B613" s="57" t="s">
        <v>283</v>
      </c>
      <c r="C613" s="57" t="str">
        <f aca="false">Flights!$F$22</f>
        <v>MH0052</v>
      </c>
      <c r="D613" s="58" t="n">
        <f aca="false">Flights!$D$22</f>
        <v>46322</v>
      </c>
      <c r="E613" s="57" t="str">
        <f aca="false">Flights!$G$22&amp;"-"&amp;Flights!$H$22</f>
        <v>KUL-KIX</v>
      </c>
      <c r="F613" s="57" t="str">
        <f aca="false">Flights!$K$22</f>
        <v>BC</v>
      </c>
      <c r="G613" s="57" t="s">
        <v>422</v>
      </c>
      <c r="H613" s="57" t="s">
        <v>423</v>
      </c>
      <c r="I613" s="57" t="s">
        <v>462</v>
      </c>
      <c r="J613" s="57" t="s">
        <v>514</v>
      </c>
      <c r="K613" s="67" t="s">
        <v>464</v>
      </c>
      <c r="L613" s="67" t="s">
        <v>1260</v>
      </c>
      <c r="M613" s="67" t="s">
        <v>414</v>
      </c>
      <c r="N613" s="67" t="s">
        <v>346</v>
      </c>
      <c r="O613" s="67"/>
      <c r="P613" s="57" t="s">
        <v>177</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IF(N613="N/A – rule","N/A – RULE",IF(TRIM(U613)="N/A",IF(AT613=0,"INVALID – N/A not permitted for this mandatory check",IF(AND(TRIM(AC613)&lt;&gt;"",TRIM(AE613)&lt;&gt;"",TRIM(T613)&lt;&gt;""),"N/A – JUSTIFIED","INVALID – N/A needs justification, PIC and verifier")),IF(OR(TRIM(U613)="Pass",TRIM(U613)="Pass after CA"),IF(NOT(ISNUMBER(AD613)),"INVALID – completion time missing",IF(TRIM(T613)="","INVALID – PIC missing",IF(TRIM(Z613)="","INVALID – evidence missing",IF(TRIM(AE613)="","INVALID – verifier missing",IF(AND(AQ613=1,TRIM(W613)=""),"INVALID – batch ID missing",IF(AND(AR613=1,OR(NOT(ISNUMBER(X613)),NOT(ISNUMBER(Y613)))),"INVALID – expected/actual qty missing",IF(IF(AND(TRIM(U613)="Pass",ISNUMBER(AF613)),IF(AF613&lt;&gt;0,"INVALID – qty variance: use Fail or Pass after CA",""),"")&amp;IF(AND(TRIM(U613)="Pass",AB613="Open"),"INVALID – corrective action still open: use Fail, then Pass after CA","")&amp;IF(AND(TRIM(U613)="Pass after CA",OR(TRIM(AA613)="",AB613&lt;&gt;"Closed")),"INVALID – corrective action not recorded/closed","")&lt;&gt;"",IF(AND(TRIM(U613)="Pass",ISNUMBER(AF613)),IF(AF613&lt;&gt;0,"INVALID – qty variance: use Fail or Pass after CA",""),"")&amp;IF(AND(TRIM(U613)="Pass",AB613="Open"),"INVALID – corrective action still open: use Fail, then Pass after CA","")&amp;IF(AND(TRIM(U613)="Pass after CA",OR(TRIM(AA613)="",AB613&lt;&gt;"Closed")),"INVALID – corrective action not recorded/closed",""),IF(AND(AS613=1,Documents!$J$22&lt;&gt;"ON FILE"),"INVALID – GLD not on file (Documents sheet)",IF(AND(AS613=2,Documents!$O$22&lt;&gt;"ON FILE"),"INVALID – menu checklist not on file (Documents sheet)",IF(AND(AS613=3,NOT(ISNUMBER(Flights!$AX$22))),"INVALID – enter carrying flight KUL departure (Flights AX)",IF(AG613&gt;AsOfUTC,"INVALID – completion time is in the future",IF(AND(ISNUMBER(S613),AG613&lt;S613),IF(H613="Physical uplift","INVALID – before uplift window (cannot confirm loading)","INVALID – before valid window"),IF(AG613&gt;Flights!$AA$22,"INVALID – completed after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f>
        <v>OPEN</v>
      </c>
      <c r="AI613" s="61" t="n">
        <f aca="false">IF(OR(AH613="N/A – RULE",AH613="N/A – JUSTIFIED"),0,1)</f>
        <v>1</v>
      </c>
      <c r="AJ613" s="61" t="n">
        <f aca="false">IF(LEFT(AH613,8)="COMPLETE",1,0)</f>
        <v>0</v>
      </c>
      <c r="AK613" s="61" t="n">
        <f aca="false">IF(AND(AI613=1,AJ613=0,AsOfUTC&gt;Q613),1,0)</f>
        <v>0</v>
      </c>
      <c r="AL613" s="61" t="n">
        <f aca="false">IF(AND(AI613=1,OR(TRIM(U613)="Fail",AB613="Open",AND(ISNUMBER(AF613),AF613&lt;&gt;0,TRIM(U613)&lt;&gt;"Pass after CA"))),1,0)</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1</v>
      </c>
    </row>
    <row r="614" customFormat="false" ht="39.75" hidden="false" customHeight="true" outlineLevel="0" collapsed="false">
      <c r="A614" s="57" t="s">
        <v>1283</v>
      </c>
      <c r="B614" s="57" t="s">
        <v>283</v>
      </c>
      <c r="C614" s="57" t="str">
        <f aca="false">Flights!$F$22</f>
        <v>MH0052</v>
      </c>
      <c r="D614" s="58" t="n">
        <f aca="false">Flights!$D$22</f>
        <v>46322</v>
      </c>
      <c r="E614" s="57" t="str">
        <f aca="false">Flights!$G$22&amp;"-"&amp;Flights!$H$22</f>
        <v>KUL-KIX</v>
      </c>
      <c r="F614" s="57" t="str">
        <f aca="false">Flights!$K$22</f>
        <v>BC</v>
      </c>
      <c r="G614" s="57" t="s">
        <v>422</v>
      </c>
      <c r="H614" s="57" t="s">
        <v>423</v>
      </c>
      <c r="I614" s="57" t="s">
        <v>410</v>
      </c>
      <c r="J614" s="57" t="s">
        <v>516</v>
      </c>
      <c r="K614" s="67" t="s">
        <v>412</v>
      </c>
      <c r="L614" s="67" t="s">
        <v>1262</v>
      </c>
      <c r="M614" s="67" t="s">
        <v>414</v>
      </c>
      <c r="N614" s="67" t="s">
        <v>346</v>
      </c>
      <c r="O614" s="67"/>
      <c r="P614" s="57" t="s">
        <v>177</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IF(N614="N/A – rule","N/A – RULE",IF(TRIM(U614)="N/A",IF(AT614=0,"INVALID – N/A not permitted for this mandatory check",IF(AND(TRIM(AC614)&lt;&gt;"",TRIM(AE614)&lt;&gt;"",TRIM(T614)&lt;&gt;""),"N/A – JUSTIFIED","INVALID – N/A needs justification, PIC and verifier")),IF(OR(TRIM(U614)="Pass",TRIM(U614)="Pass after CA"),IF(NOT(ISNUMBER(AD614)),"INVALID – completion time missing",IF(TRIM(T614)="","INVALID – PIC missing",IF(TRIM(Z614)="","INVALID – evidence missing",IF(TRIM(AE614)="","INVALID – verifier missing",IF(AND(AQ614=1,TRIM(W614)=""),"INVALID – batch ID missing",IF(AND(AR614=1,OR(NOT(ISNUMBER(X614)),NOT(ISNUMBER(Y614)))),"INVALID – expected/actual qty missing",IF(IF(AND(TRIM(U614)="Pass",ISNUMBER(AF614)),IF(AF614&lt;&gt;0,"INVALID – qty variance: use Fail or Pass after CA",""),"")&amp;IF(AND(TRIM(U614)="Pass",AB614="Open"),"INVALID – corrective action still open: use Fail, then Pass after CA","")&amp;IF(AND(TRIM(U614)="Pass after CA",OR(TRIM(AA614)="",AB614&lt;&gt;"Closed")),"INVALID – corrective action not recorded/closed","")&lt;&gt;"",IF(AND(TRIM(U614)="Pass",ISNUMBER(AF614)),IF(AF614&lt;&gt;0,"INVALID – qty variance: use Fail or Pass after CA",""),"")&amp;IF(AND(TRIM(U614)="Pass",AB614="Open"),"INVALID – corrective action still open: use Fail, then Pass after CA","")&amp;IF(AND(TRIM(U614)="Pass after CA",OR(TRIM(AA614)="",AB614&lt;&gt;"Closed")),"INVALID – corrective action not recorded/closed",""),IF(AND(AS614=1,Documents!$J$22&lt;&gt;"ON FILE"),"INVALID – GLD not on file (Documents sheet)",IF(AND(AS614=2,Documents!$O$22&lt;&gt;"ON FILE"),"INVALID – menu checklist not on file (Documents sheet)",IF(AND(AS614=3,NOT(ISNUMBER(Flights!$AX$22))),"INVALID – enter carrying flight KUL departure (Flights AX)",IF(AG614&gt;AsOfUTC,"INVALID – completion time is in the future",IF(AND(ISNUMBER(S614),AG614&lt;S614),IF(H614="Physical uplift","INVALID – before uplift window (cannot confirm loading)","INVALID – before valid window"),IF(AG614&gt;Flights!$AA$22,"INVALID – completed after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f>
        <v>OPEN</v>
      </c>
      <c r="AI614" s="61" t="n">
        <f aca="false">IF(OR(AH614="N/A – RULE",AH614="N/A – JUSTIFIED"),0,1)</f>
        <v>1</v>
      </c>
      <c r="AJ614" s="61" t="n">
        <f aca="false">IF(LEFT(AH614,8)="COMPLETE",1,0)</f>
        <v>0</v>
      </c>
      <c r="AK614" s="61" t="n">
        <f aca="false">IF(AND(AI614=1,AJ614=0,AsOfUTC&gt;Q614),1,0)</f>
        <v>0</v>
      </c>
      <c r="AL614" s="61" t="n">
        <f aca="false">IF(AND(AI614=1,OR(TRIM(U614)="Fail",AB614="Open",AND(ISNUMBER(AF614),AF614&lt;&gt;0,TRIM(U614)&lt;&gt;"Pass after CA"))),1,0)</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1</v>
      </c>
    </row>
    <row r="615" customFormat="false" ht="39.75" hidden="false" customHeight="true" outlineLevel="0" collapsed="false">
      <c r="A615" s="57" t="s">
        <v>1284</v>
      </c>
      <c r="B615" s="57" t="s">
        <v>283</v>
      </c>
      <c r="C615" s="57" t="str">
        <f aca="false">Flights!$F$22</f>
        <v>MH0052</v>
      </c>
      <c r="D615" s="58" t="n">
        <f aca="false">Flights!$D$22</f>
        <v>46322</v>
      </c>
      <c r="E615" s="57" t="str">
        <f aca="false">Flights!$G$22&amp;"-"&amp;Flights!$H$22</f>
        <v>KUL-KIX</v>
      </c>
      <c r="F615" s="57" t="str">
        <f aca="false">Flights!$K$22</f>
        <v>BC</v>
      </c>
      <c r="G615" s="57" t="s">
        <v>422</v>
      </c>
      <c r="H615" s="57" t="s">
        <v>423</v>
      </c>
      <c r="I615" s="57" t="s">
        <v>410</v>
      </c>
      <c r="J615" s="57" t="s">
        <v>616</v>
      </c>
      <c r="K615" s="67" t="s">
        <v>412</v>
      </c>
      <c r="L615" s="67" t="s">
        <v>1264</v>
      </c>
      <c r="M615" s="67" t="s">
        <v>414</v>
      </c>
      <c r="N615" s="67" t="s">
        <v>346</v>
      </c>
      <c r="O615" s="67"/>
      <c r="P615" s="57" t="s">
        <v>177</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IF(N615="N/A – rule","N/A – RULE",IF(TRIM(U615)="N/A",IF(AT615=0,"INVALID – N/A not permitted for this mandatory check",IF(AND(TRIM(AC615)&lt;&gt;"",TRIM(AE615)&lt;&gt;"",TRIM(T615)&lt;&gt;""),"N/A – JUSTIFIED","INVALID – N/A needs justification, PIC and verifier")),IF(OR(TRIM(U615)="Pass",TRIM(U615)="Pass after CA"),IF(NOT(ISNUMBER(AD615)),"INVALID – completion time missing",IF(TRIM(T615)="","INVALID – PIC missing",IF(TRIM(Z615)="","INVALID – evidence missing",IF(TRIM(AE615)="","INVALID – verifier missing",IF(AND(AQ615=1,TRIM(W615)=""),"INVALID – batch ID missing",IF(AND(AR615=1,OR(NOT(ISNUMBER(X615)),NOT(ISNUMBER(Y615)))),"INVALID – expected/actual qty missing",IF(IF(AND(TRIM(U615)="Pass",ISNUMBER(AF615)),IF(AF615&lt;&gt;0,"INVALID – qty variance: use Fail or Pass after CA",""),"")&amp;IF(AND(TRIM(U615)="Pass",AB615="Open"),"INVALID – corrective action still open: use Fail, then Pass after CA","")&amp;IF(AND(TRIM(U615)="Pass after CA",OR(TRIM(AA615)="",AB615&lt;&gt;"Closed")),"INVALID – corrective action not recorded/closed","")&lt;&gt;"",IF(AND(TRIM(U615)="Pass",ISNUMBER(AF615)),IF(AF615&lt;&gt;0,"INVALID – qty variance: use Fail or Pass after CA",""),"")&amp;IF(AND(TRIM(U615)="Pass",AB615="Open"),"INVALID – corrective action still open: use Fail, then Pass after CA","")&amp;IF(AND(TRIM(U615)="Pass after CA",OR(TRIM(AA615)="",AB615&lt;&gt;"Closed")),"INVALID – corrective action not recorded/closed",""),IF(AND(AS615=1,Documents!$J$22&lt;&gt;"ON FILE"),"INVALID – GLD not on file (Documents sheet)",IF(AND(AS615=2,Documents!$O$22&lt;&gt;"ON FILE"),"INVALID – menu checklist not on file (Documents sheet)",IF(AND(AS615=3,NOT(ISNUMBER(Flights!$AX$22))),"INVALID – enter carrying flight KUL departure (Flights AX)",IF(AG615&gt;AsOfUTC,"INVALID – completion time is in the future",IF(AND(ISNUMBER(S615),AG615&lt;S615),IF(H615="Physical uplift","INVALID – before uplift window (cannot confirm loading)","INVALID – before valid window"),IF(AG615&gt;Flights!$AA$22,"INVALID – completed after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f>
        <v>OPEN</v>
      </c>
      <c r="AI615" s="61" t="n">
        <f aca="false">IF(OR(AH615="N/A – RULE",AH615="N/A – JUSTIFIED"),0,1)</f>
        <v>1</v>
      </c>
      <c r="AJ615" s="61" t="n">
        <f aca="false">IF(LEFT(AH615,8)="COMPLETE",1,0)</f>
        <v>0</v>
      </c>
      <c r="AK615" s="61" t="n">
        <f aca="false">IF(AND(AI615=1,AJ615=0,AsOfUTC&gt;Q615),1,0)</f>
        <v>0</v>
      </c>
      <c r="AL615" s="61" t="n">
        <f aca="false">IF(AND(AI615=1,OR(TRIM(U615)="Fail",AB615="Open",AND(ISNUMBER(AF615),AF615&lt;&gt;0,TRIM(U615)&lt;&gt;"Pass after CA"))),1,0)</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1</v>
      </c>
    </row>
    <row r="616" customFormat="false" ht="39.75" hidden="false" customHeight="true" outlineLevel="0" collapsed="false">
      <c r="A616" s="57" t="s">
        <v>1285</v>
      </c>
      <c r="B616" s="57" t="s">
        <v>283</v>
      </c>
      <c r="C616" s="57" t="str">
        <f aca="false">Flights!$F$22</f>
        <v>MH0052</v>
      </c>
      <c r="D616" s="58" t="n">
        <f aca="false">Flights!$D$22</f>
        <v>46322</v>
      </c>
      <c r="E616" s="57" t="str">
        <f aca="false">Flights!$G$22&amp;"-"&amp;Flights!$H$22</f>
        <v>KUL-KIX</v>
      </c>
      <c r="F616" s="57" t="str">
        <f aca="false">Flights!$K$22</f>
        <v>BC</v>
      </c>
      <c r="G616" s="57" t="s">
        <v>422</v>
      </c>
      <c r="H616" s="57" t="s">
        <v>423</v>
      </c>
      <c r="I616" s="57" t="s">
        <v>410</v>
      </c>
      <c r="J616" s="57" t="s">
        <v>618</v>
      </c>
      <c r="K616" s="67" t="s">
        <v>412</v>
      </c>
      <c r="L616" s="67" t="s">
        <v>1266</v>
      </c>
      <c r="M616" s="67" t="s">
        <v>414</v>
      </c>
      <c r="N616" s="67" t="s">
        <v>346</v>
      </c>
      <c r="O616" s="67"/>
      <c r="P616" s="57" t="s">
        <v>177</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IF(N616="N/A – rule","N/A – RULE",IF(TRIM(U616)="N/A",IF(AT616=0,"INVALID – N/A not permitted for this mandatory check",IF(AND(TRIM(AC616)&lt;&gt;"",TRIM(AE616)&lt;&gt;"",TRIM(T616)&lt;&gt;""),"N/A – JUSTIFIED","INVALID – N/A needs justification, PIC and verifier")),IF(OR(TRIM(U616)="Pass",TRIM(U616)="Pass after CA"),IF(NOT(ISNUMBER(AD616)),"INVALID – completion time missing",IF(TRIM(T616)="","INVALID – PIC missing",IF(TRIM(Z616)="","INVALID – evidence missing",IF(TRIM(AE616)="","INVALID – verifier missing",IF(AND(AQ616=1,TRIM(W616)=""),"INVALID – batch ID missing",IF(AND(AR616=1,OR(NOT(ISNUMBER(X616)),NOT(ISNUMBER(Y616)))),"INVALID – expected/actual qty missing",IF(IF(AND(TRIM(U616)="Pass",ISNUMBER(AF616)),IF(AF616&lt;&gt;0,"INVALID – qty variance: use Fail or Pass after CA",""),"")&amp;IF(AND(TRIM(U616)="Pass",AB616="Open"),"INVALID – corrective action still open: use Fail, then Pass after CA","")&amp;IF(AND(TRIM(U616)="Pass after CA",OR(TRIM(AA616)="",AB616&lt;&gt;"Closed")),"INVALID – corrective action not recorded/closed","")&lt;&gt;"",IF(AND(TRIM(U616)="Pass",ISNUMBER(AF616)),IF(AF616&lt;&gt;0,"INVALID – qty variance: use Fail or Pass after CA",""),"")&amp;IF(AND(TRIM(U616)="Pass",AB616="Open"),"INVALID – corrective action still open: use Fail, then Pass after CA","")&amp;IF(AND(TRIM(U616)="Pass after CA",OR(TRIM(AA616)="",AB616&lt;&gt;"Closed")),"INVALID – corrective action not recorded/closed",""),IF(AND(AS616=1,Documents!$J$22&lt;&gt;"ON FILE"),"INVALID – GLD not on file (Documents sheet)",IF(AND(AS616=2,Documents!$O$22&lt;&gt;"ON FILE"),"INVALID – menu checklist not on file (Documents sheet)",IF(AND(AS616=3,NOT(ISNUMBER(Flights!$AX$22))),"INVALID – enter carrying flight KUL departure (Flights AX)",IF(AG616&gt;AsOfUTC,"INVALID – completion time is in the future",IF(AND(ISNUMBER(S616),AG616&lt;S616),IF(H616="Physical uplift","INVALID – before uplift window (cannot confirm loading)","INVALID – before valid window"),IF(AG616&gt;Flights!$AA$22,"INVALID – completed after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f>
        <v>OPEN</v>
      </c>
      <c r="AI616" s="61" t="n">
        <f aca="false">IF(OR(AH616="N/A – RULE",AH616="N/A – JUSTIFIED"),0,1)</f>
        <v>1</v>
      </c>
      <c r="AJ616" s="61" t="n">
        <f aca="false">IF(LEFT(AH616,8)="COMPLETE",1,0)</f>
        <v>0</v>
      </c>
      <c r="AK616" s="61" t="n">
        <f aca="false">IF(AND(AI616=1,AJ616=0,AsOfUTC&gt;Q616),1,0)</f>
        <v>0</v>
      </c>
      <c r="AL616" s="61" t="n">
        <f aca="false">IF(AND(AI616=1,OR(TRIM(U616)="Fail",AB616="Open",AND(ISNUMBER(AF616),AF616&lt;&gt;0,TRIM(U616)&lt;&gt;"Pass after CA"))),1,0)</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1</v>
      </c>
    </row>
    <row r="617" customFormat="false" ht="39.75" hidden="false" customHeight="true" outlineLevel="0" collapsed="false">
      <c r="A617" s="57" t="s">
        <v>1286</v>
      </c>
      <c r="B617" s="57" t="s">
        <v>283</v>
      </c>
      <c r="C617" s="57" t="str">
        <f aca="false">Flights!$F$22</f>
        <v>MH0052</v>
      </c>
      <c r="D617" s="58" t="n">
        <f aca="false">Flights!$D$22</f>
        <v>46322</v>
      </c>
      <c r="E617" s="57" t="str">
        <f aca="false">Flights!$G$22&amp;"-"&amp;Flights!$H$22</f>
        <v>KUL-KIX</v>
      </c>
      <c r="F617" s="57" t="str">
        <f aca="false">Flights!$K$22</f>
        <v>BC</v>
      </c>
      <c r="G617" s="57" t="s">
        <v>422</v>
      </c>
      <c r="H617" s="57" t="s">
        <v>423</v>
      </c>
      <c r="I617" s="57" t="s">
        <v>592</v>
      </c>
      <c r="J617" s="57" t="s">
        <v>620</v>
      </c>
      <c r="K617" s="67" t="s">
        <v>464</v>
      </c>
      <c r="L617" s="67" t="s">
        <v>1268</v>
      </c>
      <c r="M617" s="67" t="s">
        <v>177</v>
      </c>
      <c r="N617" s="67" t="s">
        <v>346</v>
      </c>
      <c r="O617" s="67" t="s">
        <v>595</v>
      </c>
      <c r="P617" s="57" t="s">
        <v>177</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IF(N617="N/A – rule","N/A – RULE",IF(TRIM(U617)="N/A",IF(AT617=0,"INVALID – N/A not permitted for this mandatory check",IF(AND(TRIM(AC617)&lt;&gt;"",TRIM(AE617)&lt;&gt;"",TRIM(T617)&lt;&gt;""),"N/A – JUSTIFIED","INVALID – N/A needs justification, PIC and verifier")),IF(OR(TRIM(U617)="Pass",TRIM(U617)="Pass after CA"),IF(NOT(ISNUMBER(AD617)),"INVALID – completion time missing",IF(TRIM(T617)="","INVALID – PIC missing",IF(TRIM(Z617)="","INVALID – evidence missing",IF(TRIM(AE617)="","INVALID – verifier missing",IF(AND(AQ617=1,TRIM(W617)=""),"INVALID – batch ID missing",IF(AND(AR617=1,OR(NOT(ISNUMBER(X617)),NOT(ISNUMBER(Y617)))),"INVALID – expected/actual qty missing",IF(IF(AND(TRIM(U617)="Pass",ISNUMBER(AF617)),IF(AF617&lt;&gt;0,"INVALID – qty variance: use Fail or Pass after CA",""),"")&amp;IF(AND(TRIM(U617)="Pass",AB617="Open"),"INVALID – corrective action still open: use Fail, then Pass after CA","")&amp;IF(AND(TRIM(U617)="Pass after CA",OR(TRIM(AA617)="",AB617&lt;&gt;"Closed")),"INVALID – corrective action not recorded/closed","")&lt;&gt;"",IF(AND(TRIM(U617)="Pass",ISNUMBER(AF617)),IF(AF617&lt;&gt;0,"INVALID – qty variance: use Fail or Pass after CA",""),"")&amp;IF(AND(TRIM(U617)="Pass",AB617="Open"),"INVALID – corrective action still open: use Fail, then Pass after CA","")&amp;IF(AND(TRIM(U617)="Pass after CA",OR(TRIM(AA617)="",AB617&lt;&gt;"Closed")),"INVALID – corrective action not recorded/closed",""),IF(AND(AS617=1,Documents!$J$22&lt;&gt;"ON FILE"),"INVALID – GLD not on file (Documents sheet)",IF(AND(AS617=2,Documents!$O$22&lt;&gt;"ON FILE"),"INVALID – menu checklist not on file (Documents sheet)",IF(AND(AS617=3,NOT(ISNUMBER(Flights!$AX$22))),"INVALID – enter carrying flight KUL departure (Flights AX)",IF(AG617&gt;AsOfUTC,"INVALID – completion time is in the future",IF(AND(ISNUMBER(S617),AG617&lt;S617),IF(H617="Physical uplift","INVALID – before uplift window (cannot confirm loading)","INVALID – before valid window"),IF(AG617&gt;Flights!$AA$22,"INVALID – completed after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f>
        <v>OPEN</v>
      </c>
      <c r="AI617" s="61" t="n">
        <f aca="false">IF(OR(AH617="N/A – RULE",AH617="N/A – JUSTIFIED"),0,1)</f>
        <v>1</v>
      </c>
      <c r="AJ617" s="61" t="n">
        <f aca="false">IF(LEFT(AH617,8)="COMPLETE",1,0)</f>
        <v>0</v>
      </c>
      <c r="AK617" s="61" t="n">
        <f aca="false">IF(AND(AI617=1,AJ617=0,AsOfUTC&gt;Q617),1,0)</f>
        <v>0</v>
      </c>
      <c r="AL617" s="61" t="n">
        <f aca="false">IF(AND(AI617=1,OR(TRIM(U617)="Fail",AB617="Open",AND(ISNUMBER(AF617),AF617&lt;&gt;0,TRIM(U617)&lt;&gt;"Pass after CA"))),1,0)</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1</v>
      </c>
    </row>
    <row r="618" customFormat="false" ht="39.75" hidden="false" customHeight="true" outlineLevel="0" collapsed="false">
      <c r="A618" s="57" t="s">
        <v>1287</v>
      </c>
      <c r="B618" s="57" t="s">
        <v>283</v>
      </c>
      <c r="C618" s="57" t="str">
        <f aca="false">Flights!$F$22</f>
        <v>MH0052</v>
      </c>
      <c r="D618" s="58" t="n">
        <f aca="false">Flights!$D$22</f>
        <v>46322</v>
      </c>
      <c r="E618" s="57" t="str">
        <f aca="false">Flights!$G$22&amp;"-"&amp;Flights!$H$22</f>
        <v>KUL-KIX</v>
      </c>
      <c r="F618" s="57" t="str">
        <f aca="false">Flights!$K$22</f>
        <v>BC</v>
      </c>
      <c r="G618" s="57" t="s">
        <v>422</v>
      </c>
      <c r="H618" s="57" t="s">
        <v>423</v>
      </c>
      <c r="I618" s="57" t="s">
        <v>597</v>
      </c>
      <c r="J618" s="57" t="s">
        <v>622</v>
      </c>
      <c r="K618" s="67" t="s">
        <v>1270</v>
      </c>
      <c r="L618" s="67" t="s">
        <v>1271</v>
      </c>
      <c r="M618" s="67" t="s">
        <v>414</v>
      </c>
      <c r="N618" s="67" t="s">
        <v>346</v>
      </c>
      <c r="O618" s="67" t="s">
        <v>1288</v>
      </c>
      <c r="P618" s="57" t="s">
        <v>177</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IF(N618="N/A – rule","N/A – RULE",IF(TRIM(U618)="N/A",IF(AT618=0,"INVALID – N/A not permitted for this mandatory check",IF(AND(TRIM(AC618)&lt;&gt;"",TRIM(AE618)&lt;&gt;"",TRIM(T618)&lt;&gt;""),"N/A – JUSTIFIED","INVALID – N/A needs justification, PIC and verifier")),IF(OR(TRIM(U618)="Pass",TRIM(U618)="Pass after CA"),IF(NOT(ISNUMBER(AD618)),"INVALID – completion time missing",IF(TRIM(T618)="","INVALID – PIC missing",IF(TRIM(Z618)="","INVALID – evidence missing",IF(TRIM(AE618)="","INVALID – verifier missing",IF(AND(AQ618=1,TRIM(W618)=""),"INVALID – batch ID missing",IF(AND(AR618=1,OR(NOT(ISNUMBER(X618)),NOT(ISNUMBER(Y618)))),"INVALID – expected/actual qty missing",IF(IF(AND(TRIM(U618)="Pass",ISNUMBER(AF618)),IF(AF618&lt;&gt;0,"INVALID – qty variance: use Fail or Pass after CA",""),"")&amp;IF(AND(TRIM(U618)="Pass",AB618="Open"),"INVALID – corrective action still open: use Fail, then Pass after CA","")&amp;IF(AND(TRIM(U618)="Pass after CA",OR(TRIM(AA618)="",AB618&lt;&gt;"Closed")),"INVALID – corrective action not recorded/closed","")&lt;&gt;"",IF(AND(TRIM(U618)="Pass",ISNUMBER(AF618)),IF(AF618&lt;&gt;0,"INVALID – qty variance: use Fail or Pass after CA",""),"")&amp;IF(AND(TRIM(U618)="Pass",AB618="Open"),"INVALID – corrective action still open: use Fail, then Pass after CA","")&amp;IF(AND(TRIM(U618)="Pass after CA",OR(TRIM(AA618)="",AB618&lt;&gt;"Closed")),"INVALID – corrective action not recorded/closed",""),IF(AND(AS618=1,Documents!$J$22&lt;&gt;"ON FILE"),"INVALID – GLD not on file (Documents sheet)",IF(AND(AS618=2,Documents!$O$22&lt;&gt;"ON FILE"),"INVALID – menu checklist not on file (Documents sheet)",IF(AND(AS618=3,NOT(ISNUMBER(Flights!$AX$22))),"INVALID – enter carrying flight KUL departure (Flights AX)",IF(AG618&gt;AsOfUTC,"INVALID – completion time is in the future",IF(AND(ISNUMBER(S618),AG618&lt;S618),IF(H618="Physical uplift","INVALID – before uplift window (cannot confirm loading)","INVALID – before valid window"),IF(AG618&gt;Flights!$AA$22,"INVALID – completed after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f>
        <v>OPEN</v>
      </c>
      <c r="AI618" s="61" t="n">
        <f aca="false">IF(OR(AH618="N/A – RULE",AH618="N/A – JUSTIFIED"),0,1)</f>
        <v>1</v>
      </c>
      <c r="AJ618" s="61" t="n">
        <f aca="false">IF(LEFT(AH618,8)="COMPLETE",1,0)</f>
        <v>0</v>
      </c>
      <c r="AK618" s="61" t="n">
        <f aca="false">IF(AND(AI618=1,AJ618=0,AsOfUTC&gt;Q618),1,0)</f>
        <v>0</v>
      </c>
      <c r="AL618" s="61" t="n">
        <f aca="false">IF(AND(AI618=1,OR(TRIM(U618)="Fail",AB618="Open",AND(ISNUMBER(AF618),AF618&lt;&gt;0,TRIM(U618)&lt;&gt;"Pass after CA"))),1,0)</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1</v>
      </c>
    </row>
    <row r="619" customFormat="false" ht="39.75" hidden="false" customHeight="true" outlineLevel="0" collapsed="false">
      <c r="A619" s="57" t="s">
        <v>1289</v>
      </c>
      <c r="B619" s="57" t="s">
        <v>291</v>
      </c>
      <c r="C619" s="57" t="str">
        <f aca="false">Flights!$F$23</f>
        <v>MH0053</v>
      </c>
      <c r="D619" s="58" t="n">
        <f aca="false">Flights!$D$23</f>
        <v>46324</v>
      </c>
      <c r="E619" s="57" t="str">
        <f aca="false">Flights!$G$23&amp;"-"&amp;Flights!$H$23</f>
        <v>KIX-KUL</v>
      </c>
      <c r="F619" s="57" t="str">
        <f aca="false">Flights!$K$23</f>
        <v>EY</v>
      </c>
      <c r="G619" s="57" t="s">
        <v>74</v>
      </c>
      <c r="H619" s="57" t="s">
        <v>341</v>
      </c>
      <c r="I619" s="57" t="s">
        <v>342</v>
      </c>
      <c r="J619" s="57" t="s">
        <v>343</v>
      </c>
      <c r="K619" s="67" t="s">
        <v>344</v>
      </c>
      <c r="L619" s="67" t="s">
        <v>345</v>
      </c>
      <c r="M619" s="67"/>
      <c r="N619" s="67" t="s">
        <v>346</v>
      </c>
      <c r="O619" s="67"/>
      <c r="P619" s="57" t="s">
        <v>285</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IF(N619="N/A – rule","N/A – RULE",IF(TRIM(U619)="N/A",IF(AT619=0,"INVALID – N/A not permitted for this mandatory check",IF(AND(TRIM(AC619)&lt;&gt;"",TRIM(AE619)&lt;&gt;"",TRIM(T619)&lt;&gt;""),"N/A – JUSTIFIED","INVALID – N/A needs justification, PIC and verifier")),IF(OR(TRIM(U619)="Pass",TRIM(U619)="Pass after CA"),IF(NOT(ISNUMBER(AD619)),"INVALID – completion time missing",IF(TRIM(T619)="","INVALID – PIC missing",IF(TRIM(Z619)="","INVALID – evidence missing",IF(TRIM(AE619)="","INVALID – verifier missing",IF(AND(AQ619=1,TRIM(W619)=""),"INVALID – batch ID missing",IF(AND(AR619=1,OR(NOT(ISNUMBER(X619)),NOT(ISNUMBER(Y619)))),"INVALID – expected/actual qty missing",IF(IF(AND(TRIM(U619)="Pass",ISNUMBER(AF619)),IF(AF619&lt;&gt;0,"INVALID – qty variance: use Fail or Pass after CA",""),"")&amp;IF(AND(TRIM(U619)="Pass",AB619="Open"),"INVALID – corrective action still open: use Fail, then Pass after CA","")&amp;IF(AND(TRIM(U619)="Pass after CA",OR(TRIM(AA619)="",AB619&lt;&gt;"Closed")),"INVALID – corrective action not recorded/closed","")&lt;&gt;"",IF(AND(TRIM(U619)="Pass",ISNUMBER(AF619)),IF(AF619&lt;&gt;0,"INVALID – qty variance: use Fail or Pass after CA",""),"")&amp;IF(AND(TRIM(U619)="Pass",AB619="Open"),"INVALID – corrective action still open: use Fail, then Pass after CA","")&amp;IF(AND(TRIM(U619)="Pass after CA",OR(TRIM(AA619)="",AB619&lt;&gt;"Closed")),"INVALID – corrective action not recorded/closed",""),IF(AND(AS619=1,Documents!$J$23&lt;&gt;"ON FILE"),"INVALID – GLD not on file (Documents sheet)",IF(AND(AS619=2,Documents!$O$23&lt;&gt;"ON FILE"),"INVALID – menu checklist not on file (Documents sheet)",IF(AND(AS619=3,NOT(ISNUMBER(Flights!$AX$23))),"INVALID – enter carrying flight KUL departure (Flights AX)",IF(AG619&gt;AsOfUTC,"INVALID – completion time is in the future",IF(AND(ISNUMBER(S619),AG619&lt;S619),IF(H619="Physical uplift","INVALID – before uplift window (cannot confirm loading)","INVALID – before valid window"),IF(AG619&gt;Flights!$AA$23,"INVALID – completed after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f>
        <v>OPEN</v>
      </c>
      <c r="AI619" s="61" t="n">
        <f aca="false">IF(OR(AH619="N/A – RULE",AH619="N/A – JUSTIFIED"),0,1)</f>
        <v>1</v>
      </c>
      <c r="AJ619" s="61" t="n">
        <f aca="false">IF(LEFT(AH619,8)="COMPLETE",1,0)</f>
        <v>0</v>
      </c>
      <c r="AK619" s="61" t="n">
        <f aca="false">IF(AND(AI619=1,AJ619=0,AsOfUTC&gt;Q619),1,0)</f>
        <v>0</v>
      </c>
      <c r="AL619" s="61" t="n">
        <f aca="false">IF(AND(AI619=1,OR(TRIM(U619)="Fail",AB619="Open",AND(ISNUMBER(AF619),AF619&lt;&gt;0,TRIM(U619)&lt;&gt;"Pass after CA"))),1,0)</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row>
    <row r="620" customFormat="false" ht="39.75" hidden="false" customHeight="true" outlineLevel="0" collapsed="false">
      <c r="A620" s="57" t="s">
        <v>1290</v>
      </c>
      <c r="B620" s="57" t="s">
        <v>291</v>
      </c>
      <c r="C620" s="57" t="str">
        <f aca="false">Flights!$F$23</f>
        <v>MH0053</v>
      </c>
      <c r="D620" s="58" t="n">
        <f aca="false">Flights!$D$23</f>
        <v>46324</v>
      </c>
      <c r="E620" s="57" t="str">
        <f aca="false">Flights!$G$23&amp;"-"&amp;Flights!$H$23</f>
        <v>KIX-KUL</v>
      </c>
      <c r="F620" s="57" t="str">
        <f aca="false">Flights!$K$23</f>
        <v>EY</v>
      </c>
      <c r="G620" s="57" t="s">
        <v>74</v>
      </c>
      <c r="H620" s="57" t="s">
        <v>341</v>
      </c>
      <c r="I620" s="57" t="s">
        <v>348</v>
      </c>
      <c r="J620" s="57" t="s">
        <v>349</v>
      </c>
      <c r="K620" s="67" t="s">
        <v>350</v>
      </c>
      <c r="L620" s="67" t="s">
        <v>345</v>
      </c>
      <c r="M620" s="67"/>
      <c r="N620" s="67" t="s">
        <v>346</v>
      </c>
      <c r="O620" s="67"/>
      <c r="P620" s="57" t="s">
        <v>285</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IF(N620="N/A – rule","N/A – RULE",IF(TRIM(U620)="N/A",IF(AT620=0,"INVALID – N/A not permitted for this mandatory check",IF(AND(TRIM(AC620)&lt;&gt;"",TRIM(AE620)&lt;&gt;"",TRIM(T620)&lt;&gt;""),"N/A – JUSTIFIED","INVALID – N/A needs justification, PIC and verifier")),IF(OR(TRIM(U620)="Pass",TRIM(U620)="Pass after CA"),IF(NOT(ISNUMBER(AD620)),"INVALID – completion time missing",IF(TRIM(T620)="","INVALID – PIC missing",IF(TRIM(Z620)="","INVALID – evidence missing",IF(TRIM(AE620)="","INVALID – verifier missing",IF(AND(AQ620=1,TRIM(W620)=""),"INVALID – batch ID missing",IF(AND(AR620=1,OR(NOT(ISNUMBER(X620)),NOT(ISNUMBER(Y620)))),"INVALID – expected/actual qty missing",IF(IF(AND(TRIM(U620)="Pass",ISNUMBER(AF620)),IF(AF620&lt;&gt;0,"INVALID – qty variance: use Fail or Pass after CA",""),"")&amp;IF(AND(TRIM(U620)="Pass",AB620="Open"),"INVALID – corrective action still open: use Fail, then Pass after CA","")&amp;IF(AND(TRIM(U620)="Pass after CA",OR(TRIM(AA620)="",AB620&lt;&gt;"Closed")),"INVALID – corrective action not recorded/closed","")&lt;&gt;"",IF(AND(TRIM(U620)="Pass",ISNUMBER(AF620)),IF(AF620&lt;&gt;0,"INVALID – qty variance: use Fail or Pass after CA",""),"")&amp;IF(AND(TRIM(U620)="Pass",AB620="Open"),"INVALID – corrective action still open: use Fail, then Pass after CA","")&amp;IF(AND(TRIM(U620)="Pass after CA",OR(TRIM(AA620)="",AB620&lt;&gt;"Closed")),"INVALID – corrective action not recorded/closed",""),IF(AND(AS620=1,Documents!$J$23&lt;&gt;"ON FILE"),"INVALID – GLD not on file (Documents sheet)",IF(AND(AS620=2,Documents!$O$23&lt;&gt;"ON FILE"),"INVALID – menu checklist not on file (Documents sheet)",IF(AND(AS620=3,NOT(ISNUMBER(Flights!$AX$23))),"INVALID – enter carrying flight KUL departure (Flights AX)",IF(AG620&gt;AsOfUTC,"INVALID – completion time is in the future",IF(AND(ISNUMBER(S620),AG620&lt;S620),IF(H620="Physical uplift","INVALID – before uplift window (cannot confirm loading)","INVALID – before valid window"),IF(AG620&gt;Flights!$AA$23,"INVALID – completed after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f>
        <v>OPEN</v>
      </c>
      <c r="AI620" s="61" t="n">
        <f aca="false">IF(OR(AH620="N/A – RULE",AH620="N/A – JUSTIFIED"),0,1)</f>
        <v>1</v>
      </c>
      <c r="AJ620" s="61" t="n">
        <f aca="false">IF(LEFT(AH620,8)="COMPLETE",1,0)</f>
        <v>0</v>
      </c>
      <c r="AK620" s="61" t="n">
        <f aca="false">IF(AND(AI620=1,AJ620=0,AsOfUTC&gt;Q620),1,0)</f>
        <v>0</v>
      </c>
      <c r="AL620" s="61" t="n">
        <f aca="false">IF(AND(AI620=1,OR(TRIM(U620)="Fail",AB620="Open",AND(ISNUMBER(AF620),AF620&lt;&gt;0,TRIM(U620)&lt;&gt;"Pass after CA"))),1,0)</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1</v>
      </c>
    </row>
    <row r="621" customFormat="false" ht="41.25" hidden="false" customHeight="true" outlineLevel="0" collapsed="false">
      <c r="A621" s="57" t="s">
        <v>1291</v>
      </c>
      <c r="B621" s="57" t="s">
        <v>291</v>
      </c>
      <c r="C621" s="57" t="str">
        <f aca="false">Flights!$F$23</f>
        <v>MH0053</v>
      </c>
      <c r="D621" s="58" t="n">
        <f aca="false">Flights!$D$23</f>
        <v>46324</v>
      </c>
      <c r="E621" s="57" t="str">
        <f aca="false">Flights!$G$23&amp;"-"&amp;Flights!$H$23</f>
        <v>KIX-KUL</v>
      </c>
      <c r="F621" s="57" t="str">
        <f aca="false">Flights!$K$23</f>
        <v>EY</v>
      </c>
      <c r="G621" s="57" t="s">
        <v>74</v>
      </c>
      <c r="H621" s="57" t="s">
        <v>341</v>
      </c>
      <c r="I621" s="57" t="s">
        <v>352</v>
      </c>
      <c r="J621" s="57" t="s">
        <v>353</v>
      </c>
      <c r="K621" s="67" t="s">
        <v>354</v>
      </c>
      <c r="L621" s="67" t="s">
        <v>345</v>
      </c>
      <c r="M621" s="67"/>
      <c r="N621" s="67" t="str">
        <f aca="false">IF(TRIM(Flights!$L$23)="A339","Required","N/A – rule")</f>
        <v>N/A – rule</v>
      </c>
      <c r="O621" s="67" t="s">
        <v>355</v>
      </c>
      <c r="P621" s="57" t="s">
        <v>285</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IF(N621="N/A – rule","N/A – RULE",IF(TRIM(U621)="N/A",IF(AT621=0,"INVALID – N/A not permitted for this mandatory check",IF(AND(TRIM(AC621)&lt;&gt;"",TRIM(AE621)&lt;&gt;"",TRIM(T621)&lt;&gt;""),"N/A – JUSTIFIED","INVALID – N/A needs justification, PIC and verifier")),IF(OR(TRIM(U621)="Pass",TRIM(U621)="Pass after CA"),IF(NOT(ISNUMBER(AD621)),"INVALID – completion time missing",IF(TRIM(T621)="","INVALID – PIC missing",IF(TRIM(Z621)="","INVALID – evidence missing",IF(TRIM(AE621)="","INVALID – verifier missing",IF(AND(AQ621=1,TRIM(W621)=""),"INVALID – batch ID missing",IF(AND(AR621=1,OR(NOT(ISNUMBER(X621)),NOT(ISNUMBER(Y621)))),"INVALID – expected/actual qty missing",IF(IF(AND(TRIM(U621)="Pass",ISNUMBER(AF621)),IF(AF621&lt;&gt;0,"INVALID – qty variance: use Fail or Pass after CA",""),"")&amp;IF(AND(TRIM(U621)="Pass",AB621="Open"),"INVALID – corrective action still open: use Fail, then Pass after CA","")&amp;IF(AND(TRIM(U621)="Pass after CA",OR(TRIM(AA621)="",AB621&lt;&gt;"Closed")),"INVALID – corrective action not recorded/closed","")&lt;&gt;"",IF(AND(TRIM(U621)="Pass",ISNUMBER(AF621)),IF(AF621&lt;&gt;0,"INVALID – qty variance: use Fail or Pass after CA",""),"")&amp;IF(AND(TRIM(U621)="Pass",AB621="Open"),"INVALID – corrective action still open: use Fail, then Pass after CA","")&amp;IF(AND(TRIM(U621)="Pass after CA",OR(TRIM(AA621)="",AB621&lt;&gt;"Closed")),"INVALID – corrective action not recorded/closed",""),IF(AND(AS621=1,Documents!$J$23&lt;&gt;"ON FILE"),"INVALID – GLD not on file (Documents sheet)",IF(AND(AS621=2,Documents!$O$23&lt;&gt;"ON FILE"),"INVALID – menu checklist not on file (Documents sheet)",IF(AND(AS621=3,NOT(ISNUMBER(Flights!$AX$23))),"INVALID – enter carrying flight KUL departure (Flights AX)",IF(AG621&gt;AsOfUTC,"INVALID – completion time is in the future",IF(AND(ISNUMBER(S621),AG621&lt;S621),IF(H621="Physical uplift","INVALID – before uplift window (cannot confirm loading)","INVALID – before valid window"),IF(AG621&gt;Flights!$AA$23,"INVALID – completed after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f>
        <v>N/A – RULE</v>
      </c>
      <c r="AI621" s="61" t="n">
        <f aca="false">IF(OR(AH621="N/A – RULE",AH621="N/A – JUSTIFIED"),0,1)</f>
        <v>0</v>
      </c>
      <c r="AJ621" s="61" t="n">
        <f aca="false">IF(LEFT(AH621,8)="COMPLETE",1,0)</f>
        <v>0</v>
      </c>
      <c r="AK621" s="61" t="n">
        <f aca="false">IF(AND(AI621=1,AJ621=0,AsOfUTC&gt;Q621),1,0)</f>
        <v>0</v>
      </c>
      <c r="AL621" s="61" t="n">
        <f aca="false">IF(AND(AI621=1,OR(TRIM(U621)="Fail",AB621="Open",AND(ISNUMBER(AF621),AF621&lt;&gt;0,TRIM(U621)&lt;&gt;"Pass after CA"))),1,0)</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row>
    <row r="622" customFormat="false" ht="39.75" hidden="false" customHeight="true" outlineLevel="0" collapsed="false">
      <c r="A622" s="57" t="s">
        <v>1292</v>
      </c>
      <c r="B622" s="57" t="s">
        <v>291</v>
      </c>
      <c r="C622" s="57" t="str">
        <f aca="false">Flights!$F$23</f>
        <v>MH0053</v>
      </c>
      <c r="D622" s="58" t="n">
        <f aca="false">Flights!$D$23</f>
        <v>46324</v>
      </c>
      <c r="E622" s="57" t="str">
        <f aca="false">Flights!$G$23&amp;"-"&amp;Flights!$H$23</f>
        <v>KIX-KUL</v>
      </c>
      <c r="F622" s="57" t="str">
        <f aca="false">Flights!$K$23</f>
        <v>EY</v>
      </c>
      <c r="G622" s="57" t="s">
        <v>74</v>
      </c>
      <c r="H622" s="57" t="s">
        <v>341</v>
      </c>
      <c r="I622" s="57" t="s">
        <v>357</v>
      </c>
      <c r="J622" s="57" t="s">
        <v>358</v>
      </c>
      <c r="K622" s="67" t="s">
        <v>359</v>
      </c>
      <c r="L622" s="67" t="s">
        <v>345</v>
      </c>
      <c r="M622" s="67"/>
      <c r="N622" s="67" t="s">
        <v>346</v>
      </c>
      <c r="O622" s="67"/>
      <c r="P622" s="57" t="s">
        <v>285</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IF(N622="N/A – rule","N/A – RULE",IF(TRIM(U622)="N/A",IF(AT622=0,"INVALID – N/A not permitted for this mandatory check",IF(AND(TRIM(AC622)&lt;&gt;"",TRIM(AE622)&lt;&gt;"",TRIM(T622)&lt;&gt;""),"N/A – JUSTIFIED","INVALID – N/A needs justification, PIC and verifier")),IF(OR(TRIM(U622)="Pass",TRIM(U622)="Pass after CA"),IF(NOT(ISNUMBER(AD622)),"INVALID – completion time missing",IF(TRIM(T622)="","INVALID – PIC missing",IF(TRIM(Z622)="","INVALID – evidence missing",IF(TRIM(AE622)="","INVALID – verifier missing",IF(AND(AQ622=1,TRIM(W622)=""),"INVALID – batch ID missing",IF(AND(AR622=1,OR(NOT(ISNUMBER(X622)),NOT(ISNUMBER(Y622)))),"INVALID – expected/actual qty missing",IF(IF(AND(TRIM(U622)="Pass",ISNUMBER(AF622)),IF(AF622&lt;&gt;0,"INVALID – qty variance: use Fail or Pass after CA",""),"")&amp;IF(AND(TRIM(U622)="Pass",AB622="Open"),"INVALID – corrective action still open: use Fail, then Pass after CA","")&amp;IF(AND(TRIM(U622)="Pass after CA",OR(TRIM(AA622)="",AB622&lt;&gt;"Closed")),"INVALID – corrective action not recorded/closed","")&lt;&gt;"",IF(AND(TRIM(U622)="Pass",ISNUMBER(AF622)),IF(AF622&lt;&gt;0,"INVALID – qty variance: use Fail or Pass after CA",""),"")&amp;IF(AND(TRIM(U622)="Pass",AB622="Open"),"INVALID – corrective action still open: use Fail, then Pass after CA","")&amp;IF(AND(TRIM(U622)="Pass after CA",OR(TRIM(AA622)="",AB622&lt;&gt;"Closed")),"INVALID – corrective action not recorded/closed",""),IF(AND(AS622=1,Documents!$J$23&lt;&gt;"ON FILE"),"INVALID – GLD not on file (Documents sheet)",IF(AND(AS622=2,Documents!$O$23&lt;&gt;"ON FILE"),"INVALID – menu checklist not on file (Documents sheet)",IF(AND(AS622=3,NOT(ISNUMBER(Flights!$AX$23))),"INVALID – enter carrying flight KUL departure (Flights AX)",IF(AG622&gt;AsOfUTC,"INVALID – completion time is in the future",IF(AND(ISNUMBER(S622),AG622&lt;S622),IF(H622="Physical uplift","INVALID – before uplift window (cannot confirm loading)","INVALID – before valid window"),IF(AG622&gt;Flights!$AA$23,"INVALID – completed after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f>
        <v>OPEN</v>
      </c>
      <c r="AI622" s="61" t="n">
        <f aca="false">IF(OR(AH622="N/A – RULE",AH622="N/A – JUSTIFIED"),0,1)</f>
        <v>1</v>
      </c>
      <c r="AJ622" s="61" t="n">
        <f aca="false">IF(LEFT(AH622,8)="COMPLETE",1,0)</f>
        <v>0</v>
      </c>
      <c r="AK622" s="61" t="n">
        <f aca="false">IF(AND(AI622=1,AJ622=0,AsOfUTC&gt;Q622),1,0)</f>
        <v>0</v>
      </c>
      <c r="AL622" s="61" t="n">
        <f aca="false">IF(AND(AI622=1,OR(TRIM(U622)="Fail",AB622="Open",AND(ISNUMBER(AF622),AF622&lt;&gt;0,TRIM(U622)&lt;&gt;"Pass after CA"))),1,0)</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row>
    <row r="623" customFormat="false" ht="39.75" hidden="false" customHeight="true" outlineLevel="0" collapsed="false">
      <c r="A623" s="57" t="s">
        <v>1293</v>
      </c>
      <c r="B623" s="57" t="s">
        <v>291</v>
      </c>
      <c r="C623" s="57" t="str">
        <f aca="false">Flights!$F$23</f>
        <v>MH0053</v>
      </c>
      <c r="D623" s="58" t="n">
        <f aca="false">Flights!$D$23</f>
        <v>46324</v>
      </c>
      <c r="E623" s="57" t="str">
        <f aca="false">Flights!$G$23&amp;"-"&amp;Flights!$H$23</f>
        <v>KIX-KUL</v>
      </c>
      <c r="F623" s="57" t="str">
        <f aca="false">Flights!$K$23</f>
        <v>EY</v>
      </c>
      <c r="G623" s="57" t="s">
        <v>74</v>
      </c>
      <c r="H623" s="57" t="s">
        <v>341</v>
      </c>
      <c r="I623" s="57" t="s">
        <v>361</v>
      </c>
      <c r="J623" s="57" t="s">
        <v>362</v>
      </c>
      <c r="K623" s="67" t="s">
        <v>363</v>
      </c>
      <c r="L623" s="67" t="s">
        <v>345</v>
      </c>
      <c r="M623" s="67"/>
      <c r="N623" s="67" t="s">
        <v>346</v>
      </c>
      <c r="O623" s="67"/>
      <c r="P623" s="57" t="s">
        <v>285</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IF(N623="N/A – rule","N/A – RULE",IF(TRIM(U623)="N/A",IF(AT623=0,"INVALID – N/A not permitted for this mandatory check",IF(AND(TRIM(AC623)&lt;&gt;"",TRIM(AE623)&lt;&gt;"",TRIM(T623)&lt;&gt;""),"N/A – JUSTIFIED","INVALID – N/A needs justification, PIC and verifier")),IF(OR(TRIM(U623)="Pass",TRIM(U623)="Pass after CA"),IF(NOT(ISNUMBER(AD623)),"INVALID – completion time missing",IF(TRIM(T623)="","INVALID – PIC missing",IF(TRIM(Z623)="","INVALID – evidence missing",IF(TRIM(AE623)="","INVALID – verifier missing",IF(AND(AQ623=1,TRIM(W623)=""),"INVALID – batch ID missing",IF(AND(AR623=1,OR(NOT(ISNUMBER(X623)),NOT(ISNUMBER(Y623)))),"INVALID – expected/actual qty missing",IF(IF(AND(TRIM(U623)="Pass",ISNUMBER(AF623)),IF(AF623&lt;&gt;0,"INVALID – qty variance: use Fail or Pass after CA",""),"")&amp;IF(AND(TRIM(U623)="Pass",AB623="Open"),"INVALID – corrective action still open: use Fail, then Pass after CA","")&amp;IF(AND(TRIM(U623)="Pass after CA",OR(TRIM(AA623)="",AB623&lt;&gt;"Closed")),"INVALID – corrective action not recorded/closed","")&lt;&gt;"",IF(AND(TRIM(U623)="Pass",ISNUMBER(AF623)),IF(AF623&lt;&gt;0,"INVALID – qty variance: use Fail or Pass after CA",""),"")&amp;IF(AND(TRIM(U623)="Pass",AB623="Open"),"INVALID – corrective action still open: use Fail, then Pass after CA","")&amp;IF(AND(TRIM(U623)="Pass after CA",OR(TRIM(AA623)="",AB623&lt;&gt;"Closed")),"INVALID – corrective action not recorded/closed",""),IF(AND(AS623=1,Documents!$J$23&lt;&gt;"ON FILE"),"INVALID – GLD not on file (Documents sheet)",IF(AND(AS623=2,Documents!$O$23&lt;&gt;"ON FILE"),"INVALID – menu checklist not on file (Documents sheet)",IF(AND(AS623=3,NOT(ISNUMBER(Flights!$AX$23))),"INVALID – enter carrying flight KUL departure (Flights AX)",IF(AG623&gt;AsOfUTC,"INVALID – completion time is in the future",IF(AND(ISNUMBER(S623),AG623&lt;S623),IF(H623="Physical uplift","INVALID – before uplift window (cannot confirm loading)","INVALID – before valid window"),IF(AG623&gt;Flights!$AA$23,"INVALID – completed after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f>
        <v>OPEN</v>
      </c>
      <c r="AI623" s="61" t="n">
        <f aca="false">IF(OR(AH623="N/A – RULE",AH623="N/A – JUSTIFIED"),0,1)</f>
        <v>1</v>
      </c>
      <c r="AJ623" s="61" t="n">
        <f aca="false">IF(LEFT(AH623,8)="COMPLETE",1,0)</f>
        <v>0</v>
      </c>
      <c r="AK623" s="61" t="n">
        <f aca="false">IF(AND(AI623=1,AJ623=0,AsOfUTC&gt;Q623),1,0)</f>
        <v>0</v>
      </c>
      <c r="AL623" s="61" t="n">
        <f aca="false">IF(AND(AI623=1,OR(TRIM(U623)="Fail",AB623="Open",AND(ISNUMBER(AF623),AF623&lt;&gt;0,TRIM(U623)&lt;&gt;"Pass after CA"))),1,0)</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row>
    <row r="624" customFormat="false" ht="39.75" hidden="false" customHeight="true" outlineLevel="0" collapsed="false">
      <c r="A624" s="57" t="s">
        <v>1294</v>
      </c>
      <c r="B624" s="57" t="s">
        <v>291</v>
      </c>
      <c r="C624" s="57" t="str">
        <f aca="false">Flights!$F$23</f>
        <v>MH0053</v>
      </c>
      <c r="D624" s="58" t="n">
        <f aca="false">Flights!$D$23</f>
        <v>46324</v>
      </c>
      <c r="E624" s="57" t="str">
        <f aca="false">Flights!$G$23&amp;"-"&amp;Flights!$H$23</f>
        <v>KIX-KUL</v>
      </c>
      <c r="F624" s="57" t="str">
        <f aca="false">Flights!$K$23</f>
        <v>EY</v>
      </c>
      <c r="G624" s="57" t="s">
        <v>74</v>
      </c>
      <c r="H624" s="57" t="s">
        <v>341</v>
      </c>
      <c r="I624" s="57" t="s">
        <v>361</v>
      </c>
      <c r="J624" s="57" t="s">
        <v>365</v>
      </c>
      <c r="K624" s="67" t="s">
        <v>366</v>
      </c>
      <c r="L624" s="67" t="s">
        <v>345</v>
      </c>
      <c r="M624" s="67"/>
      <c r="N624" s="67" t="s">
        <v>346</v>
      </c>
      <c r="O624" s="67"/>
      <c r="P624" s="57" t="s">
        <v>285</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IF(N624="N/A – rule","N/A – RULE",IF(TRIM(U624)="N/A",IF(AT624=0,"INVALID – N/A not permitted for this mandatory check",IF(AND(TRIM(AC624)&lt;&gt;"",TRIM(AE624)&lt;&gt;"",TRIM(T624)&lt;&gt;""),"N/A – JUSTIFIED","INVALID – N/A needs justification, PIC and verifier")),IF(OR(TRIM(U624)="Pass",TRIM(U624)="Pass after CA"),IF(NOT(ISNUMBER(AD624)),"INVALID – completion time missing",IF(TRIM(T624)="","INVALID – PIC missing",IF(TRIM(Z624)="","INVALID – evidence missing",IF(TRIM(AE624)="","INVALID – verifier missing",IF(AND(AQ624=1,TRIM(W624)=""),"INVALID – batch ID missing",IF(AND(AR624=1,OR(NOT(ISNUMBER(X624)),NOT(ISNUMBER(Y624)))),"INVALID – expected/actual qty missing",IF(IF(AND(TRIM(U624)="Pass",ISNUMBER(AF624)),IF(AF624&lt;&gt;0,"INVALID – qty variance: use Fail or Pass after CA",""),"")&amp;IF(AND(TRIM(U624)="Pass",AB624="Open"),"INVALID – corrective action still open: use Fail, then Pass after CA","")&amp;IF(AND(TRIM(U624)="Pass after CA",OR(TRIM(AA624)="",AB624&lt;&gt;"Closed")),"INVALID – corrective action not recorded/closed","")&lt;&gt;"",IF(AND(TRIM(U624)="Pass",ISNUMBER(AF624)),IF(AF624&lt;&gt;0,"INVALID – qty variance: use Fail or Pass after CA",""),"")&amp;IF(AND(TRIM(U624)="Pass",AB624="Open"),"INVALID – corrective action still open: use Fail, then Pass after CA","")&amp;IF(AND(TRIM(U624)="Pass after CA",OR(TRIM(AA624)="",AB624&lt;&gt;"Closed")),"INVALID – corrective action not recorded/closed",""),IF(AND(AS624=1,Documents!$J$23&lt;&gt;"ON FILE"),"INVALID – GLD not on file (Documents sheet)",IF(AND(AS624=2,Documents!$O$23&lt;&gt;"ON FILE"),"INVALID – menu checklist not on file (Documents sheet)",IF(AND(AS624=3,NOT(ISNUMBER(Flights!$AX$23))),"INVALID – enter carrying flight KUL departure (Flights AX)",IF(AG624&gt;AsOfUTC,"INVALID – completion time is in the future",IF(AND(ISNUMBER(S624),AG624&lt;S624),IF(H624="Physical uplift","INVALID – before uplift window (cannot confirm loading)","INVALID – before valid window"),IF(AG624&gt;Flights!$AA$23,"INVALID – completed after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f>
        <v>OPEN</v>
      </c>
      <c r="AI624" s="61" t="n">
        <f aca="false">IF(OR(AH624="N/A – RULE",AH624="N/A – JUSTIFIED"),0,1)</f>
        <v>1</v>
      </c>
      <c r="AJ624" s="61" t="n">
        <f aca="false">IF(LEFT(AH624,8)="COMPLETE",1,0)</f>
        <v>0</v>
      </c>
      <c r="AK624" s="61" t="n">
        <f aca="false">IF(AND(AI624=1,AJ624=0,AsOfUTC&gt;Q624),1,0)</f>
        <v>0</v>
      </c>
      <c r="AL624" s="61" t="n">
        <f aca="false">IF(AND(AI624=1,OR(TRIM(U624)="Fail",AB624="Open",AND(ISNUMBER(AF624),AF624&lt;&gt;0,TRIM(U624)&lt;&gt;"Pass after CA"))),1,0)</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row>
    <row r="625" customFormat="false" ht="39.75" hidden="false" customHeight="true" outlineLevel="0" collapsed="false">
      <c r="A625" s="57" t="s">
        <v>1295</v>
      </c>
      <c r="B625" s="57" t="s">
        <v>291</v>
      </c>
      <c r="C625" s="57" t="str">
        <f aca="false">Flights!$F$23</f>
        <v>MH0053</v>
      </c>
      <c r="D625" s="58" t="n">
        <f aca="false">Flights!$D$23</f>
        <v>46324</v>
      </c>
      <c r="E625" s="57" t="str">
        <f aca="false">Flights!$G$23&amp;"-"&amp;Flights!$H$23</f>
        <v>KIX-KUL</v>
      </c>
      <c r="F625" s="57" t="str">
        <f aca="false">Flights!$K$23</f>
        <v>EY</v>
      </c>
      <c r="G625" s="57" t="s">
        <v>74</v>
      </c>
      <c r="H625" s="57" t="s">
        <v>341</v>
      </c>
      <c r="I625" s="57" t="s">
        <v>368</v>
      </c>
      <c r="J625" s="57" t="s">
        <v>369</v>
      </c>
      <c r="K625" s="67" t="s">
        <v>370</v>
      </c>
      <c r="L625" s="67" t="s">
        <v>345</v>
      </c>
      <c r="M625" s="67"/>
      <c r="N625" s="67" t="s">
        <v>346</v>
      </c>
      <c r="O625" s="67"/>
      <c r="P625" s="57" t="s">
        <v>285</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IF(N625="N/A – rule","N/A – RULE",IF(TRIM(U625)="N/A",IF(AT625=0,"INVALID – N/A not permitted for this mandatory check",IF(AND(TRIM(AC625)&lt;&gt;"",TRIM(AE625)&lt;&gt;"",TRIM(T625)&lt;&gt;""),"N/A – JUSTIFIED","INVALID – N/A needs justification, PIC and verifier")),IF(OR(TRIM(U625)="Pass",TRIM(U625)="Pass after CA"),IF(NOT(ISNUMBER(AD625)),"INVALID – completion time missing",IF(TRIM(T625)="","INVALID – PIC missing",IF(TRIM(Z625)="","INVALID – evidence missing",IF(TRIM(AE625)="","INVALID – verifier missing",IF(AND(AQ625=1,TRIM(W625)=""),"INVALID – batch ID missing",IF(AND(AR625=1,OR(NOT(ISNUMBER(X625)),NOT(ISNUMBER(Y625)))),"INVALID – expected/actual qty missing",IF(IF(AND(TRIM(U625)="Pass",ISNUMBER(AF625)),IF(AF625&lt;&gt;0,"INVALID – qty variance: use Fail or Pass after CA",""),"")&amp;IF(AND(TRIM(U625)="Pass",AB625="Open"),"INVALID – corrective action still open: use Fail, then Pass after CA","")&amp;IF(AND(TRIM(U625)="Pass after CA",OR(TRIM(AA625)="",AB625&lt;&gt;"Closed")),"INVALID – corrective action not recorded/closed","")&lt;&gt;"",IF(AND(TRIM(U625)="Pass",ISNUMBER(AF625)),IF(AF625&lt;&gt;0,"INVALID – qty variance: use Fail or Pass after CA",""),"")&amp;IF(AND(TRIM(U625)="Pass",AB625="Open"),"INVALID – corrective action still open: use Fail, then Pass after CA","")&amp;IF(AND(TRIM(U625)="Pass after CA",OR(TRIM(AA625)="",AB625&lt;&gt;"Closed")),"INVALID – corrective action not recorded/closed",""),IF(AND(AS625=1,Documents!$J$23&lt;&gt;"ON FILE"),"INVALID – GLD not on file (Documents sheet)",IF(AND(AS625=2,Documents!$O$23&lt;&gt;"ON FILE"),"INVALID – menu checklist not on file (Documents sheet)",IF(AND(AS625=3,NOT(ISNUMBER(Flights!$AX$23))),"INVALID – enter carrying flight KUL departure (Flights AX)",IF(AG625&gt;AsOfUTC,"INVALID – completion time is in the future",IF(AND(ISNUMBER(S625),AG625&lt;S625),IF(H625="Physical uplift","INVALID – before uplift window (cannot confirm loading)","INVALID – before valid window"),IF(AG625&gt;Flights!$AA$23,"INVALID – completed after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f>
        <v>OPEN</v>
      </c>
      <c r="AI625" s="61" t="n">
        <f aca="false">IF(OR(AH625="N/A – RULE",AH625="N/A – JUSTIFIED"),0,1)</f>
        <v>1</v>
      </c>
      <c r="AJ625" s="61" t="n">
        <f aca="false">IF(LEFT(AH625,8)="COMPLETE",1,0)</f>
        <v>0</v>
      </c>
      <c r="AK625" s="61" t="n">
        <f aca="false">IF(AND(AI625=1,AJ625=0,AsOfUTC&gt;Q625),1,0)</f>
        <v>0</v>
      </c>
      <c r="AL625" s="61" t="n">
        <f aca="false">IF(AND(AI625=1,OR(TRIM(U625)="Fail",AB625="Open",AND(ISNUMBER(AF625),AF625&lt;&gt;0,TRIM(U625)&lt;&gt;"Pass after CA"))),1,0)</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row>
    <row r="626" customFormat="false" ht="39.75" hidden="false" customHeight="true" outlineLevel="0" collapsed="false">
      <c r="A626" s="57" t="s">
        <v>1296</v>
      </c>
      <c r="B626" s="57" t="s">
        <v>291</v>
      </c>
      <c r="C626" s="57" t="str">
        <f aca="false">Flights!$F$23</f>
        <v>MH0053</v>
      </c>
      <c r="D626" s="58" t="n">
        <f aca="false">Flights!$D$23</f>
        <v>46324</v>
      </c>
      <c r="E626" s="57" t="str">
        <f aca="false">Flights!$G$23&amp;"-"&amp;Flights!$H$23</f>
        <v>KIX-KUL</v>
      </c>
      <c r="F626" s="57" t="str">
        <f aca="false">Flights!$K$23</f>
        <v>EY</v>
      </c>
      <c r="G626" s="57" t="s">
        <v>74</v>
      </c>
      <c r="H626" s="57" t="s">
        <v>341</v>
      </c>
      <c r="I626" s="57" t="s">
        <v>368</v>
      </c>
      <c r="J626" s="57" t="s">
        <v>372</v>
      </c>
      <c r="K626" s="67" t="s">
        <v>370</v>
      </c>
      <c r="L626" s="67" t="s">
        <v>345</v>
      </c>
      <c r="M626" s="67"/>
      <c r="N626" s="67" t="s">
        <v>346</v>
      </c>
      <c r="O626" s="67"/>
      <c r="P626" s="57" t="s">
        <v>285</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IF(N626="N/A – rule","N/A – RULE",IF(TRIM(U626)="N/A",IF(AT626=0,"INVALID – N/A not permitted for this mandatory check",IF(AND(TRIM(AC626)&lt;&gt;"",TRIM(AE626)&lt;&gt;"",TRIM(T626)&lt;&gt;""),"N/A – JUSTIFIED","INVALID – N/A needs justification, PIC and verifier")),IF(OR(TRIM(U626)="Pass",TRIM(U626)="Pass after CA"),IF(NOT(ISNUMBER(AD626)),"INVALID – completion time missing",IF(TRIM(T626)="","INVALID – PIC missing",IF(TRIM(Z626)="","INVALID – evidence missing",IF(TRIM(AE626)="","INVALID – verifier missing",IF(AND(AQ626=1,TRIM(W626)=""),"INVALID – batch ID missing",IF(AND(AR626=1,OR(NOT(ISNUMBER(X626)),NOT(ISNUMBER(Y626)))),"INVALID – expected/actual qty missing",IF(IF(AND(TRIM(U626)="Pass",ISNUMBER(AF626)),IF(AF626&lt;&gt;0,"INVALID – qty variance: use Fail or Pass after CA",""),"")&amp;IF(AND(TRIM(U626)="Pass",AB626="Open"),"INVALID – corrective action still open: use Fail, then Pass after CA","")&amp;IF(AND(TRIM(U626)="Pass after CA",OR(TRIM(AA626)="",AB626&lt;&gt;"Closed")),"INVALID – corrective action not recorded/closed","")&lt;&gt;"",IF(AND(TRIM(U626)="Pass",ISNUMBER(AF626)),IF(AF626&lt;&gt;0,"INVALID – qty variance: use Fail or Pass after CA",""),"")&amp;IF(AND(TRIM(U626)="Pass",AB626="Open"),"INVALID – corrective action still open: use Fail, then Pass after CA","")&amp;IF(AND(TRIM(U626)="Pass after CA",OR(TRIM(AA626)="",AB626&lt;&gt;"Closed")),"INVALID – corrective action not recorded/closed",""),IF(AND(AS626=1,Documents!$J$23&lt;&gt;"ON FILE"),"INVALID – GLD not on file (Documents sheet)",IF(AND(AS626=2,Documents!$O$23&lt;&gt;"ON FILE"),"INVALID – menu checklist not on file (Documents sheet)",IF(AND(AS626=3,NOT(ISNUMBER(Flights!$AX$23))),"INVALID – enter carrying flight KUL departure (Flights AX)",IF(AG626&gt;AsOfUTC,"INVALID – completion time is in the future",IF(AND(ISNUMBER(S626),AG626&lt;S626),IF(H626="Physical uplift","INVALID – before uplift window (cannot confirm loading)","INVALID – before valid window"),IF(AG626&gt;Flights!$AA$23,"INVALID – completed after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f>
        <v>OPEN</v>
      </c>
      <c r="AI626" s="61" t="n">
        <f aca="false">IF(OR(AH626="N/A – RULE",AH626="N/A – JUSTIFIED"),0,1)</f>
        <v>1</v>
      </c>
      <c r="AJ626" s="61" t="n">
        <f aca="false">IF(LEFT(AH626,8)="COMPLETE",1,0)</f>
        <v>0</v>
      </c>
      <c r="AK626" s="61" t="n">
        <f aca="false">IF(AND(AI626=1,AJ626=0,AsOfUTC&gt;Q626),1,0)</f>
        <v>0</v>
      </c>
      <c r="AL626" s="61" t="n">
        <f aca="false">IF(AND(AI626=1,OR(TRIM(U626)="Fail",AB626="Open",AND(ISNUMBER(AF626),AF626&lt;&gt;0,TRIM(U626)&lt;&gt;"Pass after CA"))),1,0)</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row>
    <row r="627" customFormat="false" ht="39.75" hidden="false" customHeight="true" outlineLevel="0" collapsed="false">
      <c r="A627" s="57" t="s">
        <v>1297</v>
      </c>
      <c r="B627" s="57" t="s">
        <v>291</v>
      </c>
      <c r="C627" s="57" t="str">
        <f aca="false">Flights!$F$23</f>
        <v>MH0053</v>
      </c>
      <c r="D627" s="58" t="n">
        <f aca="false">Flights!$D$23</f>
        <v>46324</v>
      </c>
      <c r="E627" s="57" t="str">
        <f aca="false">Flights!$G$23&amp;"-"&amp;Flights!$H$23</f>
        <v>KIX-KUL</v>
      </c>
      <c r="F627" s="57" t="str">
        <f aca="false">Flights!$K$23</f>
        <v>EY</v>
      </c>
      <c r="G627" s="57" t="s">
        <v>74</v>
      </c>
      <c r="H627" s="57" t="s">
        <v>341</v>
      </c>
      <c r="I627" s="57" t="s">
        <v>374</v>
      </c>
      <c r="J627" s="57" t="s">
        <v>375</v>
      </c>
      <c r="K627" s="67" t="s">
        <v>1298</v>
      </c>
      <c r="L627" s="67" t="s">
        <v>1236</v>
      </c>
      <c r="M627" s="67"/>
      <c r="N627" s="67" t="s">
        <v>346</v>
      </c>
      <c r="O627" s="67"/>
      <c r="P627" s="57" t="s">
        <v>285</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IF(N627="N/A – rule","N/A – RULE",IF(TRIM(U627)="N/A",IF(AT627=0,"INVALID – N/A not permitted for this mandatory check",IF(AND(TRIM(AC627)&lt;&gt;"",TRIM(AE627)&lt;&gt;"",TRIM(T627)&lt;&gt;""),"N/A – JUSTIFIED","INVALID – N/A needs justification, PIC and verifier")),IF(OR(TRIM(U627)="Pass",TRIM(U627)="Pass after CA"),IF(NOT(ISNUMBER(AD627)),"INVALID – completion time missing",IF(TRIM(T627)="","INVALID – PIC missing",IF(TRIM(Z627)="","INVALID – evidence missing",IF(TRIM(AE627)="","INVALID – verifier missing",IF(AND(AQ627=1,TRIM(W627)=""),"INVALID – batch ID missing",IF(AND(AR627=1,OR(NOT(ISNUMBER(X627)),NOT(ISNUMBER(Y627)))),"INVALID – expected/actual qty missing",IF(IF(AND(TRIM(U627)="Pass",ISNUMBER(AF627)),IF(AF627&lt;&gt;0,"INVALID – qty variance: use Fail or Pass after CA",""),"")&amp;IF(AND(TRIM(U627)="Pass",AB627="Open"),"INVALID – corrective action still open: use Fail, then Pass after CA","")&amp;IF(AND(TRIM(U627)="Pass after CA",OR(TRIM(AA627)="",AB627&lt;&gt;"Closed")),"INVALID – corrective action not recorded/closed","")&lt;&gt;"",IF(AND(TRIM(U627)="Pass",ISNUMBER(AF627)),IF(AF627&lt;&gt;0,"INVALID – qty variance: use Fail or Pass after CA",""),"")&amp;IF(AND(TRIM(U627)="Pass",AB627="Open"),"INVALID – corrective action still open: use Fail, then Pass after CA","")&amp;IF(AND(TRIM(U627)="Pass after CA",OR(TRIM(AA627)="",AB627&lt;&gt;"Closed")),"INVALID – corrective action not recorded/closed",""),IF(AND(AS627=1,Documents!$J$23&lt;&gt;"ON FILE"),"INVALID – GLD not on file (Documents sheet)",IF(AND(AS627=2,Documents!$O$23&lt;&gt;"ON FILE"),"INVALID – menu checklist not on file (Documents sheet)",IF(AND(AS627=3,NOT(ISNUMBER(Flights!$AX$23))),"INVALID – enter carrying flight KUL departure (Flights AX)",IF(AG627&gt;AsOfUTC,"INVALID – completion time is in the future",IF(AND(ISNUMBER(S627),AG627&lt;S627),IF(H627="Physical uplift","INVALID – before uplift window (cannot confirm loading)","INVALID – before valid window"),IF(AG627&gt;Flights!$AA$23,"INVALID – completed after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f>
        <v>OPEN</v>
      </c>
      <c r="AI627" s="61" t="n">
        <f aca="false">IF(OR(AH627="N/A – RULE",AH627="N/A – JUSTIFIED"),0,1)</f>
        <v>1</v>
      </c>
      <c r="AJ627" s="61" t="n">
        <f aca="false">IF(LEFT(AH627,8)="COMPLETE",1,0)</f>
        <v>0</v>
      </c>
      <c r="AK627" s="61" t="n">
        <f aca="false">IF(AND(AI627=1,AJ627=0,AsOfUTC&gt;Q627),1,0)</f>
        <v>0</v>
      </c>
      <c r="AL627" s="61" t="n">
        <f aca="false">IF(AND(AI627=1,OR(TRIM(U627)="Fail",AB627="Open",AND(ISNUMBER(AF627),AF627&lt;&gt;0,TRIM(U627)&lt;&gt;"Pass after CA"))),1,0)</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row>
    <row r="628" customFormat="false" ht="39.75" hidden="false" customHeight="true" outlineLevel="0" collapsed="false">
      <c r="A628" s="57" t="s">
        <v>1299</v>
      </c>
      <c r="B628" s="57" t="s">
        <v>291</v>
      </c>
      <c r="C628" s="57" t="str">
        <f aca="false">Flights!$F$23</f>
        <v>MH0053</v>
      </c>
      <c r="D628" s="58" t="n">
        <f aca="false">Flights!$D$23</f>
        <v>46324</v>
      </c>
      <c r="E628" s="57" t="str">
        <f aca="false">Flights!$G$23&amp;"-"&amp;Flights!$H$23</f>
        <v>KIX-KUL</v>
      </c>
      <c r="F628" s="57" t="str">
        <f aca="false">Flights!$K$23</f>
        <v>EY</v>
      </c>
      <c r="G628" s="57" t="s">
        <v>76</v>
      </c>
      <c r="H628" s="57" t="s">
        <v>341</v>
      </c>
      <c r="I628" s="57" t="s">
        <v>342</v>
      </c>
      <c r="J628" s="57" t="s">
        <v>379</v>
      </c>
      <c r="K628" s="67" t="s">
        <v>380</v>
      </c>
      <c r="L628" s="67" t="s">
        <v>381</v>
      </c>
      <c r="M628" s="67"/>
      <c r="N628" s="67" t="s">
        <v>346</v>
      </c>
      <c r="O628" s="67"/>
      <c r="P628" s="57" t="s">
        <v>285</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IF(N628="N/A – rule","N/A – RULE",IF(TRIM(U628)="N/A",IF(AT628=0,"INVALID – N/A not permitted for this mandatory check",IF(AND(TRIM(AC628)&lt;&gt;"",TRIM(AE628)&lt;&gt;"",TRIM(T628)&lt;&gt;""),"N/A – JUSTIFIED","INVALID – N/A needs justification, PIC and verifier")),IF(OR(TRIM(U628)="Pass",TRIM(U628)="Pass after CA"),IF(NOT(ISNUMBER(AD628)),"INVALID – completion time missing",IF(TRIM(T628)="","INVALID – PIC missing",IF(TRIM(Z628)="","INVALID – evidence missing",IF(TRIM(AE628)="","INVALID – verifier missing",IF(AND(AQ628=1,TRIM(W628)=""),"INVALID – batch ID missing",IF(AND(AR628=1,OR(NOT(ISNUMBER(X628)),NOT(ISNUMBER(Y628)))),"INVALID – expected/actual qty missing",IF(IF(AND(TRIM(U628)="Pass",ISNUMBER(AF628)),IF(AF628&lt;&gt;0,"INVALID – qty variance: use Fail or Pass after CA",""),"")&amp;IF(AND(TRIM(U628)="Pass",AB628="Open"),"INVALID – corrective action still open: use Fail, then Pass after CA","")&amp;IF(AND(TRIM(U628)="Pass after CA",OR(TRIM(AA628)="",AB628&lt;&gt;"Closed")),"INVALID – corrective action not recorded/closed","")&lt;&gt;"",IF(AND(TRIM(U628)="Pass",ISNUMBER(AF628)),IF(AF628&lt;&gt;0,"INVALID – qty variance: use Fail or Pass after CA",""),"")&amp;IF(AND(TRIM(U628)="Pass",AB628="Open"),"INVALID – corrective action still open: use Fail, then Pass after CA","")&amp;IF(AND(TRIM(U628)="Pass after CA",OR(TRIM(AA628)="",AB628&lt;&gt;"Closed")),"INVALID – corrective action not recorded/closed",""),IF(AND(AS628=1,Documents!$J$23&lt;&gt;"ON FILE"),"INVALID – GLD not on file (Documents sheet)",IF(AND(AS628=2,Documents!$O$23&lt;&gt;"ON FILE"),"INVALID – menu checklist not on file (Documents sheet)",IF(AND(AS628=3,NOT(ISNUMBER(Flights!$AX$23))),"INVALID – enter carrying flight KUL departure (Flights AX)",IF(AG628&gt;AsOfUTC,"INVALID – completion time is in the future",IF(AND(ISNUMBER(S628),AG628&lt;S628),IF(H628="Physical uplift","INVALID – before uplift window (cannot confirm loading)","INVALID – before valid window"),IF(AG628&gt;Flights!$AA$23,"INVALID – completed after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f>
        <v>OPEN</v>
      </c>
      <c r="AI628" s="61" t="n">
        <f aca="false">IF(OR(AH628="N/A – RULE",AH628="N/A – JUSTIFIED"),0,1)</f>
        <v>1</v>
      </c>
      <c r="AJ628" s="61" t="n">
        <f aca="false">IF(LEFT(AH628,8)="COMPLETE",1,0)</f>
        <v>0</v>
      </c>
      <c r="AK628" s="61" t="n">
        <f aca="false">IF(AND(AI628=1,AJ628=0,AsOfUTC&gt;Q628),1,0)</f>
        <v>0</v>
      </c>
      <c r="AL628" s="61" t="n">
        <f aca="false">IF(AND(AI628=1,OR(TRIM(U628)="Fail",AB628="Open",AND(ISNUMBER(AF628),AF628&lt;&gt;0,TRIM(U628)&lt;&gt;"Pass after CA"))),1,0)</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row>
    <row r="629" customFormat="false" ht="39.75" hidden="false" customHeight="true" outlineLevel="0" collapsed="false">
      <c r="A629" s="57" t="s">
        <v>1300</v>
      </c>
      <c r="B629" s="57" t="s">
        <v>291</v>
      </c>
      <c r="C629" s="57" t="str">
        <f aca="false">Flights!$F$23</f>
        <v>MH0053</v>
      </c>
      <c r="D629" s="58" t="n">
        <f aca="false">Flights!$D$23</f>
        <v>46324</v>
      </c>
      <c r="E629" s="57" t="str">
        <f aca="false">Flights!$G$23&amp;"-"&amp;Flights!$H$23</f>
        <v>KIX-KUL</v>
      </c>
      <c r="F629" s="57" t="str">
        <f aca="false">Flights!$K$23</f>
        <v>EY</v>
      </c>
      <c r="G629" s="57" t="s">
        <v>383</v>
      </c>
      <c r="H629" s="57" t="s">
        <v>341</v>
      </c>
      <c r="I629" s="57" t="s">
        <v>342</v>
      </c>
      <c r="J629" s="57" t="s">
        <v>384</v>
      </c>
      <c r="K629" s="67"/>
      <c r="L629" s="67" t="s">
        <v>385</v>
      </c>
      <c r="M629" s="67"/>
      <c r="N629" s="67" t="s">
        <v>346</v>
      </c>
      <c r="O629" s="67" t="s">
        <v>386</v>
      </c>
      <c r="P629" s="57" t="s">
        <v>285</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IF(N629="N/A – rule","N/A – RULE",IF(TRIM(U629)="N/A",IF(AT629=0,"INVALID – N/A not permitted for this mandatory check",IF(AND(TRIM(AC629)&lt;&gt;"",TRIM(AE629)&lt;&gt;"",TRIM(T629)&lt;&gt;""),"N/A – JUSTIFIED","INVALID – N/A needs justification, PIC and verifier")),IF(OR(TRIM(U629)="Pass",TRIM(U629)="Pass after CA"),IF(NOT(ISNUMBER(AD629)),"INVALID – completion time missing",IF(TRIM(T629)="","INVALID – PIC missing",IF(TRIM(Z629)="","INVALID – evidence missing",IF(TRIM(AE629)="","INVALID – verifier missing",IF(AND(AQ629=1,TRIM(W629)=""),"INVALID – batch ID missing",IF(AND(AR629=1,OR(NOT(ISNUMBER(X629)),NOT(ISNUMBER(Y629)))),"INVALID – expected/actual qty missing",IF(IF(AND(TRIM(U629)="Pass",ISNUMBER(AF629)),IF(AF629&lt;&gt;0,"INVALID – qty variance: use Fail or Pass after CA",""),"")&amp;IF(AND(TRIM(U629)="Pass",AB629="Open"),"INVALID – corrective action still open: use Fail, then Pass after CA","")&amp;IF(AND(TRIM(U629)="Pass after CA",OR(TRIM(AA629)="",AB629&lt;&gt;"Closed")),"INVALID – corrective action not recorded/closed","")&lt;&gt;"",IF(AND(TRIM(U629)="Pass",ISNUMBER(AF629)),IF(AF629&lt;&gt;0,"INVALID – qty variance: use Fail or Pass after CA",""),"")&amp;IF(AND(TRIM(U629)="Pass",AB629="Open"),"INVALID – corrective action still open: use Fail, then Pass after CA","")&amp;IF(AND(TRIM(U629)="Pass after CA",OR(TRIM(AA629)="",AB629&lt;&gt;"Closed")),"INVALID – corrective action not recorded/closed",""),IF(AND(AS629=1,Documents!$J$23&lt;&gt;"ON FILE"),"INVALID – GLD not on file (Documents sheet)",IF(AND(AS629=2,Documents!$O$23&lt;&gt;"ON FILE"),"INVALID – menu checklist not on file (Documents sheet)",IF(AND(AS629=3,NOT(ISNUMBER(Flights!$AX$23))),"INVALID – enter carrying flight KUL departure (Flights AX)",IF(AG629&gt;AsOfUTC,"INVALID – completion time is in the future",IF(AND(ISNUMBER(S629),AG629&lt;S629),IF(H629="Physical uplift","INVALID – before uplift window (cannot confirm loading)","INVALID – before valid window"),IF(AG629&gt;Flights!$AA$23,"INVALID – completed after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f>
        <v>OPEN</v>
      </c>
      <c r="AI629" s="61" t="n">
        <f aca="false">IF(OR(AH629="N/A – RULE",AH629="N/A – JUSTIFIED"),0,1)</f>
        <v>1</v>
      </c>
      <c r="AJ629" s="61" t="n">
        <f aca="false">IF(LEFT(AH629,8)="COMPLETE",1,0)</f>
        <v>0</v>
      </c>
      <c r="AK629" s="61" t="n">
        <f aca="false">IF(AND(AI629=1,AJ629=0,AsOfUTC&gt;Q629),1,0)</f>
        <v>0</v>
      </c>
      <c r="AL629" s="61" t="n">
        <f aca="false">IF(AND(AI629=1,OR(TRIM(U629)="Fail",AB629="Open",AND(ISNUMBER(AF629),AF629&lt;&gt;0,TRIM(U629)&lt;&gt;"Pass after CA"))),1,0)</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row>
    <row r="630" customFormat="false" ht="39.75" hidden="false" customHeight="true" outlineLevel="0" collapsed="false">
      <c r="A630" s="57" t="s">
        <v>1301</v>
      </c>
      <c r="B630" s="57" t="s">
        <v>291</v>
      </c>
      <c r="C630" s="57" t="str">
        <f aca="false">Flights!$F$23</f>
        <v>MH0053</v>
      </c>
      <c r="D630" s="58" t="n">
        <f aca="false">Flights!$D$23</f>
        <v>46324</v>
      </c>
      <c r="E630" s="57" t="str">
        <f aca="false">Flights!$G$23&amp;"-"&amp;Flights!$H$23</f>
        <v>KIX-KUL</v>
      </c>
      <c r="F630" s="57" t="str">
        <f aca="false">Flights!$K$23</f>
        <v>EY</v>
      </c>
      <c r="G630" s="57" t="s">
        <v>383</v>
      </c>
      <c r="H630" s="57" t="s">
        <v>341</v>
      </c>
      <c r="I630" s="57" t="s">
        <v>342</v>
      </c>
      <c r="J630" s="57" t="s">
        <v>388</v>
      </c>
      <c r="K630" s="67" t="s">
        <v>389</v>
      </c>
      <c r="L630" s="67" t="s">
        <v>385</v>
      </c>
      <c r="M630" s="67"/>
      <c r="N630" s="67" t="s">
        <v>346</v>
      </c>
      <c r="O630" s="67" t="s">
        <v>386</v>
      </c>
      <c r="P630" s="57" t="s">
        <v>285</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IF(N630="N/A – rule","N/A – RULE",IF(TRIM(U630)="N/A",IF(AT630=0,"INVALID – N/A not permitted for this mandatory check",IF(AND(TRIM(AC630)&lt;&gt;"",TRIM(AE630)&lt;&gt;"",TRIM(T630)&lt;&gt;""),"N/A – JUSTIFIED","INVALID – N/A needs justification, PIC and verifier")),IF(OR(TRIM(U630)="Pass",TRIM(U630)="Pass after CA"),IF(NOT(ISNUMBER(AD630)),"INVALID – completion time missing",IF(TRIM(T630)="","INVALID – PIC missing",IF(TRIM(Z630)="","INVALID – evidence missing",IF(TRIM(AE630)="","INVALID – verifier missing",IF(AND(AQ630=1,TRIM(W630)=""),"INVALID – batch ID missing",IF(AND(AR630=1,OR(NOT(ISNUMBER(X630)),NOT(ISNUMBER(Y630)))),"INVALID – expected/actual qty missing",IF(IF(AND(TRIM(U630)="Pass",ISNUMBER(AF630)),IF(AF630&lt;&gt;0,"INVALID – qty variance: use Fail or Pass after CA",""),"")&amp;IF(AND(TRIM(U630)="Pass",AB630="Open"),"INVALID – corrective action still open: use Fail, then Pass after CA","")&amp;IF(AND(TRIM(U630)="Pass after CA",OR(TRIM(AA630)="",AB630&lt;&gt;"Closed")),"INVALID – corrective action not recorded/closed","")&lt;&gt;"",IF(AND(TRIM(U630)="Pass",ISNUMBER(AF630)),IF(AF630&lt;&gt;0,"INVALID – qty variance: use Fail or Pass after CA",""),"")&amp;IF(AND(TRIM(U630)="Pass",AB630="Open"),"INVALID – corrective action still open: use Fail, then Pass after CA","")&amp;IF(AND(TRIM(U630)="Pass after CA",OR(TRIM(AA630)="",AB630&lt;&gt;"Closed")),"INVALID – corrective action not recorded/closed",""),IF(AND(AS630=1,Documents!$J$23&lt;&gt;"ON FILE"),"INVALID – GLD not on file (Documents sheet)",IF(AND(AS630=2,Documents!$O$23&lt;&gt;"ON FILE"),"INVALID – menu checklist not on file (Documents sheet)",IF(AND(AS630=3,NOT(ISNUMBER(Flights!$AX$23))),"INVALID – enter carrying flight KUL departure (Flights AX)",IF(AG630&gt;AsOfUTC,"INVALID – completion time is in the future",IF(AND(ISNUMBER(S630),AG630&lt;S630),IF(H630="Physical uplift","INVALID – before uplift window (cannot confirm loading)","INVALID – before valid window"),IF(AG630&gt;Flights!$AA$23,"INVALID – completed after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f>
        <v>OPEN</v>
      </c>
      <c r="AI630" s="61" t="n">
        <f aca="false">IF(OR(AH630="N/A – RULE",AH630="N/A – JUSTIFIED"),0,1)</f>
        <v>1</v>
      </c>
      <c r="AJ630" s="61" t="n">
        <f aca="false">IF(LEFT(AH630,8)="COMPLETE",1,0)</f>
        <v>0</v>
      </c>
      <c r="AK630" s="61" t="n">
        <f aca="false">IF(AND(AI630=1,AJ630=0,AsOfUTC&gt;Q630),1,0)</f>
        <v>0</v>
      </c>
      <c r="AL630" s="61" t="n">
        <f aca="false">IF(AND(AI630=1,OR(TRIM(U630)="Fail",AB630="Open",AND(ISNUMBER(AF630),AF630&lt;&gt;0,TRIM(U630)&lt;&gt;"Pass after CA"))),1,0)</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row>
    <row r="631" customFormat="false" ht="39.75" hidden="false" customHeight="true" outlineLevel="0" collapsed="false">
      <c r="A631" s="57" t="s">
        <v>1302</v>
      </c>
      <c r="B631" s="57" t="s">
        <v>291</v>
      </c>
      <c r="C631" s="57" t="str">
        <f aca="false">Flights!$F$23</f>
        <v>MH0053</v>
      </c>
      <c r="D631" s="58" t="n">
        <f aca="false">Flights!$D$23</f>
        <v>46324</v>
      </c>
      <c r="E631" s="57" t="str">
        <f aca="false">Flights!$G$23&amp;"-"&amp;Flights!$H$23</f>
        <v>KIX-KUL</v>
      </c>
      <c r="F631" s="57" t="str">
        <f aca="false">Flights!$K$23</f>
        <v>EY</v>
      </c>
      <c r="G631" s="57" t="s">
        <v>383</v>
      </c>
      <c r="H631" s="57" t="s">
        <v>341</v>
      </c>
      <c r="I631" s="57" t="s">
        <v>391</v>
      </c>
      <c r="J631" s="57" t="s">
        <v>392</v>
      </c>
      <c r="K631" s="67"/>
      <c r="L631" s="67" t="s">
        <v>385</v>
      </c>
      <c r="M631" s="67"/>
      <c r="N631" s="67" t="s">
        <v>346</v>
      </c>
      <c r="O631" s="67" t="s">
        <v>386</v>
      </c>
      <c r="P631" s="57" t="s">
        <v>285</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IF(N631="N/A – rule","N/A – RULE",IF(TRIM(U631)="N/A",IF(AT631=0,"INVALID – N/A not permitted for this mandatory check",IF(AND(TRIM(AC631)&lt;&gt;"",TRIM(AE631)&lt;&gt;"",TRIM(T631)&lt;&gt;""),"N/A – JUSTIFIED","INVALID – N/A needs justification, PIC and verifier")),IF(OR(TRIM(U631)="Pass",TRIM(U631)="Pass after CA"),IF(NOT(ISNUMBER(AD631)),"INVALID – completion time missing",IF(TRIM(T631)="","INVALID – PIC missing",IF(TRIM(Z631)="","INVALID – evidence missing",IF(TRIM(AE631)="","INVALID – verifier missing",IF(AND(AQ631=1,TRIM(W631)=""),"INVALID – batch ID missing",IF(AND(AR631=1,OR(NOT(ISNUMBER(X631)),NOT(ISNUMBER(Y631)))),"INVALID – expected/actual qty missing",IF(IF(AND(TRIM(U631)="Pass",ISNUMBER(AF631)),IF(AF631&lt;&gt;0,"INVALID – qty variance: use Fail or Pass after CA",""),"")&amp;IF(AND(TRIM(U631)="Pass",AB631="Open"),"INVALID – corrective action still open: use Fail, then Pass after CA","")&amp;IF(AND(TRIM(U631)="Pass after CA",OR(TRIM(AA631)="",AB631&lt;&gt;"Closed")),"INVALID – corrective action not recorded/closed","")&lt;&gt;"",IF(AND(TRIM(U631)="Pass",ISNUMBER(AF631)),IF(AF631&lt;&gt;0,"INVALID – qty variance: use Fail or Pass after CA",""),"")&amp;IF(AND(TRIM(U631)="Pass",AB631="Open"),"INVALID – corrective action still open: use Fail, then Pass after CA","")&amp;IF(AND(TRIM(U631)="Pass after CA",OR(TRIM(AA631)="",AB631&lt;&gt;"Closed")),"INVALID – corrective action not recorded/closed",""),IF(AND(AS631=1,Documents!$J$23&lt;&gt;"ON FILE"),"INVALID – GLD not on file (Documents sheet)",IF(AND(AS631=2,Documents!$O$23&lt;&gt;"ON FILE"),"INVALID – menu checklist not on file (Documents sheet)",IF(AND(AS631=3,NOT(ISNUMBER(Flights!$AX$23))),"INVALID – enter carrying flight KUL departure (Flights AX)",IF(AG631&gt;AsOfUTC,"INVALID – completion time is in the future",IF(AND(ISNUMBER(S631),AG631&lt;S631),IF(H631="Physical uplift","INVALID – before uplift window (cannot confirm loading)","INVALID – before valid window"),IF(AG631&gt;Flights!$AA$23,"INVALID – completed after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f>
        <v>OPEN</v>
      </c>
      <c r="AI631" s="61" t="n">
        <f aca="false">IF(OR(AH631="N/A – RULE",AH631="N/A – JUSTIFIED"),0,1)</f>
        <v>1</v>
      </c>
      <c r="AJ631" s="61" t="n">
        <f aca="false">IF(LEFT(AH631,8)="COMPLETE",1,0)</f>
        <v>0</v>
      </c>
      <c r="AK631" s="61" t="n">
        <f aca="false">IF(AND(AI631=1,AJ631=0,AsOfUTC&gt;Q631),1,0)</f>
        <v>0</v>
      </c>
      <c r="AL631" s="61" t="n">
        <f aca="false">IF(AND(AI631=1,OR(TRIM(U631)="Fail",AB631="Open",AND(ISNUMBER(AF631),AF631&lt;&gt;0,TRIM(U631)&lt;&gt;"Pass after CA"))),1,0)</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row>
    <row r="632" customFormat="false" ht="39.75" hidden="false" customHeight="true" outlineLevel="0" collapsed="false">
      <c r="A632" s="57" t="s">
        <v>1303</v>
      </c>
      <c r="B632" s="57" t="s">
        <v>291</v>
      </c>
      <c r="C632" s="57" t="str">
        <f aca="false">Flights!$F$23</f>
        <v>MH0053</v>
      </c>
      <c r="D632" s="58" t="n">
        <f aca="false">Flights!$D$23</f>
        <v>46324</v>
      </c>
      <c r="E632" s="57" t="str">
        <f aca="false">Flights!$G$23&amp;"-"&amp;Flights!$H$23</f>
        <v>KIX-KUL</v>
      </c>
      <c r="F632" s="57" t="str">
        <f aca="false">Flights!$K$23</f>
        <v>EY</v>
      </c>
      <c r="G632" s="57" t="s">
        <v>383</v>
      </c>
      <c r="H632" s="57" t="s">
        <v>341</v>
      </c>
      <c r="I632" s="57" t="s">
        <v>391</v>
      </c>
      <c r="J632" s="57" t="s">
        <v>394</v>
      </c>
      <c r="K632" s="67"/>
      <c r="L632" s="67" t="s">
        <v>385</v>
      </c>
      <c r="M632" s="67"/>
      <c r="N632" s="67" t="s">
        <v>346</v>
      </c>
      <c r="O632" s="67" t="s">
        <v>386</v>
      </c>
      <c r="P632" s="57" t="s">
        <v>285</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IF(N632="N/A – rule","N/A – RULE",IF(TRIM(U632)="N/A",IF(AT632=0,"INVALID – N/A not permitted for this mandatory check",IF(AND(TRIM(AC632)&lt;&gt;"",TRIM(AE632)&lt;&gt;"",TRIM(T632)&lt;&gt;""),"N/A – JUSTIFIED","INVALID – N/A needs justification, PIC and verifier")),IF(OR(TRIM(U632)="Pass",TRIM(U632)="Pass after CA"),IF(NOT(ISNUMBER(AD632)),"INVALID – completion time missing",IF(TRIM(T632)="","INVALID – PIC missing",IF(TRIM(Z632)="","INVALID – evidence missing",IF(TRIM(AE632)="","INVALID – verifier missing",IF(AND(AQ632=1,TRIM(W632)=""),"INVALID – batch ID missing",IF(AND(AR632=1,OR(NOT(ISNUMBER(X632)),NOT(ISNUMBER(Y632)))),"INVALID – expected/actual qty missing",IF(IF(AND(TRIM(U632)="Pass",ISNUMBER(AF632)),IF(AF632&lt;&gt;0,"INVALID – qty variance: use Fail or Pass after CA",""),"")&amp;IF(AND(TRIM(U632)="Pass",AB632="Open"),"INVALID – corrective action still open: use Fail, then Pass after CA","")&amp;IF(AND(TRIM(U632)="Pass after CA",OR(TRIM(AA632)="",AB632&lt;&gt;"Closed")),"INVALID – corrective action not recorded/closed","")&lt;&gt;"",IF(AND(TRIM(U632)="Pass",ISNUMBER(AF632)),IF(AF632&lt;&gt;0,"INVALID – qty variance: use Fail or Pass after CA",""),"")&amp;IF(AND(TRIM(U632)="Pass",AB632="Open"),"INVALID – corrective action still open: use Fail, then Pass after CA","")&amp;IF(AND(TRIM(U632)="Pass after CA",OR(TRIM(AA632)="",AB632&lt;&gt;"Closed")),"INVALID – corrective action not recorded/closed",""),IF(AND(AS632=1,Documents!$J$23&lt;&gt;"ON FILE"),"INVALID – GLD not on file (Documents sheet)",IF(AND(AS632=2,Documents!$O$23&lt;&gt;"ON FILE"),"INVALID – menu checklist not on file (Documents sheet)",IF(AND(AS632=3,NOT(ISNUMBER(Flights!$AX$23))),"INVALID – enter carrying flight KUL departure (Flights AX)",IF(AG632&gt;AsOfUTC,"INVALID – completion time is in the future",IF(AND(ISNUMBER(S632),AG632&lt;S632),IF(H632="Physical uplift","INVALID – before uplift window (cannot confirm loading)","INVALID – before valid window"),IF(AG632&gt;Flights!$AA$23,"INVALID – completed after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f>
        <v>OPEN</v>
      </c>
      <c r="AI632" s="61" t="n">
        <f aca="false">IF(OR(AH632="N/A – RULE",AH632="N/A – JUSTIFIED"),0,1)</f>
        <v>1</v>
      </c>
      <c r="AJ632" s="61" t="n">
        <f aca="false">IF(LEFT(AH632,8)="COMPLETE",1,0)</f>
        <v>0</v>
      </c>
      <c r="AK632" s="61" t="n">
        <f aca="false">IF(AND(AI632=1,AJ632=0,AsOfUTC&gt;Q632),1,0)</f>
        <v>0</v>
      </c>
      <c r="AL632" s="61" t="n">
        <f aca="false">IF(AND(AI632=1,OR(TRIM(U632)="Fail",AB632="Open",AND(ISNUMBER(AF632),AF632&lt;&gt;0,TRIM(U632)&lt;&gt;"Pass after CA"))),1,0)</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row>
    <row r="633" customFormat="false" ht="39.75" hidden="false" customHeight="true" outlineLevel="0" collapsed="false">
      <c r="A633" s="57" t="s">
        <v>1304</v>
      </c>
      <c r="B633" s="57" t="s">
        <v>291</v>
      </c>
      <c r="C633" s="57" t="str">
        <f aca="false">Flights!$F$23</f>
        <v>MH0053</v>
      </c>
      <c r="D633" s="58" t="n">
        <f aca="false">Flights!$D$23</f>
        <v>46324</v>
      </c>
      <c r="E633" s="57" t="str">
        <f aca="false">Flights!$G$23&amp;"-"&amp;Flights!$H$23</f>
        <v>KIX-KUL</v>
      </c>
      <c r="F633" s="57" t="str">
        <f aca="false">Flights!$K$23</f>
        <v>EY</v>
      </c>
      <c r="G633" s="57" t="s">
        <v>383</v>
      </c>
      <c r="H633" s="57" t="s">
        <v>341</v>
      </c>
      <c r="I633" s="57" t="s">
        <v>391</v>
      </c>
      <c r="J633" s="57" t="s">
        <v>396</v>
      </c>
      <c r="K633" s="67"/>
      <c r="L633" s="67" t="s">
        <v>385</v>
      </c>
      <c r="M633" s="67"/>
      <c r="N633" s="67" t="s">
        <v>346</v>
      </c>
      <c r="O633" s="67" t="s">
        <v>386</v>
      </c>
      <c r="P633" s="57" t="s">
        <v>285</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IF(N633="N/A – rule","N/A – RULE",IF(TRIM(U633)="N/A",IF(AT633=0,"INVALID – N/A not permitted for this mandatory check",IF(AND(TRIM(AC633)&lt;&gt;"",TRIM(AE633)&lt;&gt;"",TRIM(T633)&lt;&gt;""),"N/A – JUSTIFIED","INVALID – N/A needs justification, PIC and verifier")),IF(OR(TRIM(U633)="Pass",TRIM(U633)="Pass after CA"),IF(NOT(ISNUMBER(AD633)),"INVALID – completion time missing",IF(TRIM(T633)="","INVALID – PIC missing",IF(TRIM(Z633)="","INVALID – evidence missing",IF(TRIM(AE633)="","INVALID – verifier missing",IF(AND(AQ633=1,TRIM(W633)=""),"INVALID – batch ID missing",IF(AND(AR633=1,OR(NOT(ISNUMBER(X633)),NOT(ISNUMBER(Y633)))),"INVALID – expected/actual qty missing",IF(IF(AND(TRIM(U633)="Pass",ISNUMBER(AF633)),IF(AF633&lt;&gt;0,"INVALID – qty variance: use Fail or Pass after CA",""),"")&amp;IF(AND(TRIM(U633)="Pass",AB633="Open"),"INVALID – corrective action still open: use Fail, then Pass after CA","")&amp;IF(AND(TRIM(U633)="Pass after CA",OR(TRIM(AA633)="",AB633&lt;&gt;"Closed")),"INVALID – corrective action not recorded/closed","")&lt;&gt;"",IF(AND(TRIM(U633)="Pass",ISNUMBER(AF633)),IF(AF633&lt;&gt;0,"INVALID – qty variance: use Fail or Pass after CA",""),"")&amp;IF(AND(TRIM(U633)="Pass",AB633="Open"),"INVALID – corrective action still open: use Fail, then Pass after CA","")&amp;IF(AND(TRIM(U633)="Pass after CA",OR(TRIM(AA633)="",AB633&lt;&gt;"Closed")),"INVALID – corrective action not recorded/closed",""),IF(AND(AS633=1,Documents!$J$23&lt;&gt;"ON FILE"),"INVALID – GLD not on file (Documents sheet)",IF(AND(AS633=2,Documents!$O$23&lt;&gt;"ON FILE"),"INVALID – menu checklist not on file (Documents sheet)",IF(AND(AS633=3,NOT(ISNUMBER(Flights!$AX$23))),"INVALID – enter carrying flight KUL departure (Flights AX)",IF(AG633&gt;AsOfUTC,"INVALID – completion time is in the future",IF(AND(ISNUMBER(S633),AG633&lt;S633),IF(H633="Physical uplift","INVALID – before uplift window (cannot confirm loading)","INVALID – before valid window"),IF(AG633&gt;Flights!$AA$23,"INVALID – completed after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f>
        <v>OPEN</v>
      </c>
      <c r="AI633" s="61" t="n">
        <f aca="false">IF(OR(AH633="N/A – RULE",AH633="N/A – JUSTIFIED"),0,1)</f>
        <v>1</v>
      </c>
      <c r="AJ633" s="61" t="n">
        <f aca="false">IF(LEFT(AH633,8)="COMPLETE",1,0)</f>
        <v>0</v>
      </c>
      <c r="AK633" s="61" t="n">
        <f aca="false">IF(AND(AI633=1,AJ633=0,AsOfUTC&gt;Q633),1,0)</f>
        <v>0</v>
      </c>
      <c r="AL633" s="61" t="n">
        <f aca="false">IF(AND(AI633=1,OR(TRIM(U633)="Fail",AB633="Open",AND(ISNUMBER(AF633),AF633&lt;&gt;0,TRIM(U633)&lt;&gt;"Pass after CA"))),1,0)</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row>
    <row r="634" customFormat="false" ht="78.75" hidden="false" customHeight="true" outlineLevel="0" collapsed="false">
      <c r="A634" s="57" t="s">
        <v>1305</v>
      </c>
      <c r="B634" s="57" t="s">
        <v>291</v>
      </c>
      <c r="C634" s="57" t="str">
        <f aca="false">Flights!$F$23</f>
        <v>MH0053</v>
      </c>
      <c r="D634" s="58" t="n">
        <f aca="false">Flights!$D$23</f>
        <v>46324</v>
      </c>
      <c r="E634" s="57" t="str">
        <f aca="false">Flights!$G$23&amp;"-"&amp;Flights!$H$23</f>
        <v>KIX-KUL</v>
      </c>
      <c r="F634" s="57" t="str">
        <f aca="false">Flights!$K$23</f>
        <v>EY</v>
      </c>
      <c r="G634" s="57" t="s">
        <v>383</v>
      </c>
      <c r="H634" s="57" t="s">
        <v>341</v>
      </c>
      <c r="I634" s="57" t="s">
        <v>391</v>
      </c>
      <c r="J634" s="57" t="s">
        <v>398</v>
      </c>
      <c r="K634" s="67" t="s">
        <v>536</v>
      </c>
      <c r="L634" s="67" t="s">
        <v>385</v>
      </c>
      <c r="M634" s="67"/>
      <c r="N634" s="67" t="s">
        <v>346</v>
      </c>
      <c r="O634" s="67" t="s">
        <v>386</v>
      </c>
      <c r="P634" s="57" t="s">
        <v>285</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IF(N634="N/A – rule","N/A – RULE",IF(TRIM(U634)="N/A",IF(AT634=0,"INVALID – N/A not permitted for this mandatory check",IF(AND(TRIM(AC634)&lt;&gt;"",TRIM(AE634)&lt;&gt;"",TRIM(T634)&lt;&gt;""),"N/A – JUSTIFIED","INVALID – N/A needs justification, PIC and verifier")),IF(OR(TRIM(U634)="Pass",TRIM(U634)="Pass after CA"),IF(NOT(ISNUMBER(AD634)),"INVALID – completion time missing",IF(TRIM(T634)="","INVALID – PIC missing",IF(TRIM(Z634)="","INVALID – evidence missing",IF(TRIM(AE634)="","INVALID – verifier missing",IF(AND(AQ634=1,TRIM(W634)=""),"INVALID – batch ID missing",IF(AND(AR634=1,OR(NOT(ISNUMBER(X634)),NOT(ISNUMBER(Y634)))),"INVALID – expected/actual qty missing",IF(IF(AND(TRIM(U634)="Pass",ISNUMBER(AF634)),IF(AF634&lt;&gt;0,"INVALID – qty variance: use Fail or Pass after CA",""),"")&amp;IF(AND(TRIM(U634)="Pass",AB634="Open"),"INVALID – corrective action still open: use Fail, then Pass after CA","")&amp;IF(AND(TRIM(U634)="Pass after CA",OR(TRIM(AA634)="",AB634&lt;&gt;"Closed")),"INVALID – corrective action not recorded/closed","")&lt;&gt;"",IF(AND(TRIM(U634)="Pass",ISNUMBER(AF634)),IF(AF634&lt;&gt;0,"INVALID – qty variance: use Fail or Pass after CA",""),"")&amp;IF(AND(TRIM(U634)="Pass",AB634="Open"),"INVALID – corrective action still open: use Fail, then Pass after CA","")&amp;IF(AND(TRIM(U634)="Pass after CA",OR(TRIM(AA634)="",AB634&lt;&gt;"Closed")),"INVALID – corrective action not recorded/closed",""),IF(AND(AS634=1,Documents!$J$23&lt;&gt;"ON FILE"),"INVALID – GLD not on file (Documents sheet)",IF(AND(AS634=2,Documents!$O$23&lt;&gt;"ON FILE"),"INVALID – menu checklist not on file (Documents sheet)",IF(AND(AS634=3,NOT(ISNUMBER(Flights!$AX$23))),"INVALID – enter carrying flight KUL departure (Flights AX)",IF(AG634&gt;AsOfUTC,"INVALID – completion time is in the future",IF(AND(ISNUMBER(S634),AG634&lt;S634),IF(H634="Physical uplift","INVALID – before uplift window (cannot confirm loading)","INVALID – before valid window"),IF(AG634&gt;Flights!$AA$23,"INVALID – completed after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f>
        <v>OPEN</v>
      </c>
      <c r="AI634" s="61" t="n">
        <f aca="false">IF(OR(AH634="N/A – RULE",AH634="N/A – JUSTIFIED"),0,1)</f>
        <v>1</v>
      </c>
      <c r="AJ634" s="61" t="n">
        <f aca="false">IF(LEFT(AH634,8)="COMPLETE",1,0)</f>
        <v>0</v>
      </c>
      <c r="AK634" s="61" t="n">
        <f aca="false">IF(AND(AI634=1,AJ634=0,AsOfUTC&gt;Q634),1,0)</f>
        <v>0</v>
      </c>
      <c r="AL634" s="61" t="n">
        <f aca="false">IF(AND(AI634=1,OR(TRIM(U634)="Fail",AB634="Open",AND(ISNUMBER(AF634),AF634&lt;&gt;0,TRIM(U634)&lt;&gt;"Pass after CA"))),1,0)</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row>
    <row r="635" customFormat="false" ht="39.75" hidden="false" customHeight="true" outlineLevel="0" collapsed="false">
      <c r="A635" s="57" t="s">
        <v>1306</v>
      </c>
      <c r="B635" s="57" t="s">
        <v>291</v>
      </c>
      <c r="C635" s="57" t="str">
        <f aca="false">Flights!$F$23</f>
        <v>MH0053</v>
      </c>
      <c r="D635" s="58" t="n">
        <f aca="false">Flights!$D$23</f>
        <v>46324</v>
      </c>
      <c r="E635" s="57" t="str">
        <f aca="false">Flights!$G$23&amp;"-"&amp;Flights!$H$23</f>
        <v>KIX-KUL</v>
      </c>
      <c r="F635" s="57" t="str">
        <f aca="false">Flights!$K$23</f>
        <v>EY</v>
      </c>
      <c r="G635" s="57" t="s">
        <v>383</v>
      </c>
      <c r="H635" s="57" t="s">
        <v>341</v>
      </c>
      <c r="I635" s="57" t="s">
        <v>391</v>
      </c>
      <c r="J635" s="57" t="s">
        <v>401</v>
      </c>
      <c r="K635" s="67"/>
      <c r="L635" s="67" t="s">
        <v>385</v>
      </c>
      <c r="M635" s="67"/>
      <c r="N635" s="67" t="s">
        <v>346</v>
      </c>
      <c r="O635" s="67" t="s">
        <v>386</v>
      </c>
      <c r="P635" s="57" t="s">
        <v>285</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IF(N635="N/A – rule","N/A – RULE",IF(TRIM(U635)="N/A",IF(AT635=0,"INVALID – N/A not permitted for this mandatory check",IF(AND(TRIM(AC635)&lt;&gt;"",TRIM(AE635)&lt;&gt;"",TRIM(T635)&lt;&gt;""),"N/A – JUSTIFIED","INVALID – N/A needs justification, PIC and verifier")),IF(OR(TRIM(U635)="Pass",TRIM(U635)="Pass after CA"),IF(NOT(ISNUMBER(AD635)),"INVALID – completion time missing",IF(TRIM(T635)="","INVALID – PIC missing",IF(TRIM(Z635)="","INVALID – evidence missing",IF(TRIM(AE635)="","INVALID – verifier missing",IF(AND(AQ635=1,TRIM(W635)=""),"INVALID – batch ID missing",IF(AND(AR635=1,OR(NOT(ISNUMBER(X635)),NOT(ISNUMBER(Y635)))),"INVALID – expected/actual qty missing",IF(IF(AND(TRIM(U635)="Pass",ISNUMBER(AF635)),IF(AF635&lt;&gt;0,"INVALID – qty variance: use Fail or Pass after CA",""),"")&amp;IF(AND(TRIM(U635)="Pass",AB635="Open"),"INVALID – corrective action still open: use Fail, then Pass after CA","")&amp;IF(AND(TRIM(U635)="Pass after CA",OR(TRIM(AA635)="",AB635&lt;&gt;"Closed")),"INVALID – corrective action not recorded/closed","")&lt;&gt;"",IF(AND(TRIM(U635)="Pass",ISNUMBER(AF635)),IF(AF635&lt;&gt;0,"INVALID – qty variance: use Fail or Pass after CA",""),"")&amp;IF(AND(TRIM(U635)="Pass",AB635="Open"),"INVALID – corrective action still open: use Fail, then Pass after CA","")&amp;IF(AND(TRIM(U635)="Pass after CA",OR(TRIM(AA635)="",AB635&lt;&gt;"Closed")),"INVALID – corrective action not recorded/closed",""),IF(AND(AS635=1,Documents!$J$23&lt;&gt;"ON FILE"),"INVALID – GLD not on file (Documents sheet)",IF(AND(AS635=2,Documents!$O$23&lt;&gt;"ON FILE"),"INVALID – menu checklist not on file (Documents sheet)",IF(AND(AS635=3,NOT(ISNUMBER(Flights!$AX$23))),"INVALID – enter carrying flight KUL departure (Flights AX)",IF(AG635&gt;AsOfUTC,"INVALID – completion time is in the future",IF(AND(ISNUMBER(S635),AG635&lt;S635),IF(H635="Physical uplift","INVALID – before uplift window (cannot confirm loading)","INVALID – before valid window"),IF(AG635&gt;Flights!$AA$23,"INVALID – completed after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f>
        <v>OPEN</v>
      </c>
      <c r="AI635" s="61" t="n">
        <f aca="false">IF(OR(AH635="N/A – RULE",AH635="N/A – JUSTIFIED"),0,1)</f>
        <v>1</v>
      </c>
      <c r="AJ635" s="61" t="n">
        <f aca="false">IF(LEFT(AH635,8)="COMPLETE",1,0)</f>
        <v>0</v>
      </c>
      <c r="AK635" s="61" t="n">
        <f aca="false">IF(AND(AI635=1,AJ635=0,AsOfUTC&gt;Q635),1,0)</f>
        <v>0</v>
      </c>
      <c r="AL635" s="61" t="n">
        <f aca="false">IF(AND(AI635=1,OR(TRIM(U635)="Fail",AB635="Open",AND(ISNUMBER(AF635),AF635&lt;&gt;0,TRIM(U635)&lt;&gt;"Pass after CA"))),1,0)</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row>
    <row r="636" customFormat="false" ht="41.25" hidden="false" customHeight="true" outlineLevel="0" collapsed="false">
      <c r="A636" s="57" t="s">
        <v>1307</v>
      </c>
      <c r="B636" s="57" t="s">
        <v>291</v>
      </c>
      <c r="C636" s="57" t="str">
        <f aca="false">Flights!$F$23</f>
        <v>MH0053</v>
      </c>
      <c r="D636" s="58" t="n">
        <f aca="false">Flights!$D$23</f>
        <v>46324</v>
      </c>
      <c r="E636" s="57" t="str">
        <f aca="false">Flights!$G$23&amp;"-"&amp;Flights!$H$23</f>
        <v>KIX-KUL</v>
      </c>
      <c r="F636" s="57" t="str">
        <f aca="false">Flights!$K$23</f>
        <v>EY</v>
      </c>
      <c r="G636" s="57" t="s">
        <v>383</v>
      </c>
      <c r="H636" s="57" t="s">
        <v>341</v>
      </c>
      <c r="I636" s="57" t="s">
        <v>410</v>
      </c>
      <c r="J636" s="57" t="s">
        <v>411</v>
      </c>
      <c r="K636" s="67" t="s">
        <v>412</v>
      </c>
      <c r="L636" s="67" t="s">
        <v>1308</v>
      </c>
      <c r="M636" s="67" t="s">
        <v>414</v>
      </c>
      <c r="N636" s="67" t="s">
        <v>346</v>
      </c>
      <c r="O636" s="67" t="s">
        <v>1309</v>
      </c>
      <c r="P636" s="57" t="s">
        <v>285</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IF(N636="N/A – rule","N/A – RULE",IF(TRIM(U636)="N/A",IF(AT636=0,"INVALID – N/A not permitted for this mandatory check",IF(AND(TRIM(AC636)&lt;&gt;"",TRIM(AE636)&lt;&gt;"",TRIM(T636)&lt;&gt;""),"N/A – JUSTIFIED","INVALID – N/A needs justification, PIC and verifier")),IF(OR(TRIM(U636)="Pass",TRIM(U636)="Pass after CA"),IF(NOT(ISNUMBER(AD636)),"INVALID – completion time missing",IF(TRIM(T636)="","INVALID – PIC missing",IF(TRIM(Z636)="","INVALID – evidence missing",IF(TRIM(AE636)="","INVALID – verifier missing",IF(AND(AQ636=1,TRIM(W636)=""),"INVALID – batch ID missing",IF(AND(AR636=1,OR(NOT(ISNUMBER(X636)),NOT(ISNUMBER(Y636)))),"INVALID – expected/actual qty missing",IF(IF(AND(TRIM(U636)="Pass",ISNUMBER(AF636)),IF(AF636&lt;&gt;0,"INVALID – qty variance: use Fail or Pass after CA",""),"")&amp;IF(AND(TRIM(U636)="Pass",AB636="Open"),"INVALID – corrective action still open: use Fail, then Pass after CA","")&amp;IF(AND(TRIM(U636)="Pass after CA",OR(TRIM(AA636)="",AB636&lt;&gt;"Closed")),"INVALID – corrective action not recorded/closed","")&lt;&gt;"",IF(AND(TRIM(U636)="Pass",ISNUMBER(AF636)),IF(AF636&lt;&gt;0,"INVALID – qty variance: use Fail or Pass after CA",""),"")&amp;IF(AND(TRIM(U636)="Pass",AB636="Open"),"INVALID – corrective action still open: use Fail, then Pass after CA","")&amp;IF(AND(TRIM(U636)="Pass after CA",OR(TRIM(AA636)="",AB636&lt;&gt;"Closed")),"INVALID – corrective action not recorded/closed",""),IF(AND(AS636=1,Documents!$J$23&lt;&gt;"ON FILE"),"INVALID – GLD not on file (Documents sheet)",IF(AND(AS636=2,Documents!$O$23&lt;&gt;"ON FILE"),"INVALID – menu checklist not on file (Documents sheet)",IF(AND(AS636=3,NOT(ISNUMBER(Flights!$AX$23))),"INVALID – enter carrying flight KUL departure (Flights AX)",IF(AG636&gt;AsOfUTC,"INVALID – completion time is in the future",IF(AND(ISNUMBER(S636),AG636&lt;S636),IF(H636="Physical uplift","INVALID – before uplift window (cannot confirm loading)","INVALID – before valid window"),IF(AG636&gt;Flights!$AA$23,"INVALID – completed after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f>
        <v>OPEN</v>
      </c>
      <c r="AI636" s="61" t="n">
        <f aca="false">IF(OR(AH636="N/A – RULE",AH636="N/A – JUSTIFIED"),0,1)</f>
        <v>1</v>
      </c>
      <c r="AJ636" s="61" t="n">
        <f aca="false">IF(LEFT(AH636,8)="COMPLETE",1,0)</f>
        <v>0</v>
      </c>
      <c r="AK636" s="61" t="n">
        <f aca="false">IF(AND(AI636=1,AJ636=0,AsOfUTC&gt;Q636),1,0)</f>
        <v>0</v>
      </c>
      <c r="AL636" s="61" t="n">
        <f aca="false">IF(AND(AI636=1,OR(TRIM(U636)="Fail",AB636="Open",AND(ISNUMBER(AF636),AF636&lt;&gt;0,TRIM(U636)&lt;&gt;"Pass after CA"))),1,0)</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1</v>
      </c>
    </row>
    <row r="637" customFormat="false" ht="78.75" hidden="false" customHeight="true" outlineLevel="0" collapsed="false">
      <c r="A637" s="57" t="s">
        <v>1310</v>
      </c>
      <c r="B637" s="57" t="s">
        <v>291</v>
      </c>
      <c r="C637" s="57" t="str">
        <f aca="false">Flights!$F$23</f>
        <v>MH0053</v>
      </c>
      <c r="D637" s="58" t="n">
        <f aca="false">Flights!$D$23</f>
        <v>46324</v>
      </c>
      <c r="E637" s="57" t="str">
        <f aca="false">Flights!$G$23&amp;"-"&amp;Flights!$H$23</f>
        <v>KIX-KUL</v>
      </c>
      <c r="F637" s="57" t="str">
        <f aca="false">Flights!$K$23</f>
        <v>EY</v>
      </c>
      <c r="G637" s="57" t="s">
        <v>383</v>
      </c>
      <c r="H637" s="57" t="s">
        <v>341</v>
      </c>
      <c r="I637" s="57" t="s">
        <v>410</v>
      </c>
      <c r="J637" s="57" t="s">
        <v>417</v>
      </c>
      <c r="K637" s="67" t="s">
        <v>1051</v>
      </c>
      <c r="L637" s="67" t="s">
        <v>1311</v>
      </c>
      <c r="M637" s="67" t="s">
        <v>414</v>
      </c>
      <c r="N637" s="67" t="s">
        <v>346</v>
      </c>
      <c r="O637" s="67" t="s">
        <v>1312</v>
      </c>
      <c r="P637" s="57" t="s">
        <v>285</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IF(N637="N/A – rule","N/A – RULE",IF(TRIM(U637)="N/A",IF(AT637=0,"INVALID – N/A not permitted for this mandatory check",IF(AND(TRIM(AC637)&lt;&gt;"",TRIM(AE637)&lt;&gt;"",TRIM(T637)&lt;&gt;""),"N/A – JUSTIFIED","INVALID – N/A needs justification, PIC and verifier")),IF(OR(TRIM(U637)="Pass",TRIM(U637)="Pass after CA"),IF(NOT(ISNUMBER(AD637)),"INVALID – completion time missing",IF(TRIM(T637)="","INVALID – PIC missing",IF(TRIM(Z637)="","INVALID – evidence missing",IF(TRIM(AE637)="","INVALID – verifier missing",IF(AND(AQ637=1,TRIM(W637)=""),"INVALID – batch ID missing",IF(AND(AR637=1,OR(NOT(ISNUMBER(X637)),NOT(ISNUMBER(Y637)))),"INVALID – expected/actual qty missing",IF(IF(AND(TRIM(U637)="Pass",ISNUMBER(AF637)),IF(AF637&lt;&gt;0,"INVALID – qty variance: use Fail or Pass after CA",""),"")&amp;IF(AND(TRIM(U637)="Pass",AB637="Open"),"INVALID – corrective action still open: use Fail, then Pass after CA","")&amp;IF(AND(TRIM(U637)="Pass after CA",OR(TRIM(AA637)="",AB637&lt;&gt;"Closed")),"INVALID – corrective action not recorded/closed","")&lt;&gt;"",IF(AND(TRIM(U637)="Pass",ISNUMBER(AF637)),IF(AF637&lt;&gt;0,"INVALID – qty variance: use Fail or Pass after CA",""),"")&amp;IF(AND(TRIM(U637)="Pass",AB637="Open"),"INVALID – corrective action still open: use Fail, then Pass after CA","")&amp;IF(AND(TRIM(U637)="Pass after CA",OR(TRIM(AA637)="",AB637&lt;&gt;"Closed")),"INVALID – corrective action not recorded/closed",""),IF(AND(AS637=1,Documents!$J$23&lt;&gt;"ON FILE"),"INVALID – GLD not on file (Documents sheet)",IF(AND(AS637=2,Documents!$O$23&lt;&gt;"ON FILE"),"INVALID – menu checklist not on file (Documents sheet)",IF(AND(AS637=3,NOT(ISNUMBER(Flights!$AX$23))),"INVALID – enter carrying flight KUL departure (Flights AX)",IF(AG637&gt;AsOfUTC,"INVALID – completion time is in the future",IF(AND(ISNUMBER(S637),AG637&lt;S637),IF(H637="Physical uplift","INVALID – before uplift window (cannot confirm loading)","INVALID – before valid window"),IF(AG637&gt;Flights!$AA$23,"INVALID – completed after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f>
        <v>OPEN</v>
      </c>
      <c r="AI637" s="61" t="n">
        <f aca="false">IF(OR(AH637="N/A – RULE",AH637="N/A – JUSTIFIED"),0,1)</f>
        <v>1</v>
      </c>
      <c r="AJ637" s="61" t="n">
        <f aca="false">IF(LEFT(AH637,8)="COMPLETE",1,0)</f>
        <v>0</v>
      </c>
      <c r="AK637" s="61" t="n">
        <f aca="false">IF(AND(AI637=1,AJ637=0,AsOfUTC&gt;Q637),1,0)</f>
        <v>0</v>
      </c>
      <c r="AL637" s="61" t="n">
        <f aca="false">IF(AND(AI637=1,OR(TRIM(U637)="Fail",AB637="Open",AND(ISNUMBER(AF637),AF637&lt;&gt;0,TRIM(U637)&lt;&gt;"Pass after CA"))),1,0)</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1</v>
      </c>
    </row>
    <row r="638" customFormat="false" ht="91.5" hidden="false" customHeight="true" outlineLevel="0" collapsed="false">
      <c r="A638" s="57" t="s">
        <v>1313</v>
      </c>
      <c r="B638" s="57" t="s">
        <v>291</v>
      </c>
      <c r="C638" s="57" t="str">
        <f aca="false">Flights!$F$23</f>
        <v>MH0053</v>
      </c>
      <c r="D638" s="58" t="n">
        <f aca="false">Flights!$D$23</f>
        <v>46324</v>
      </c>
      <c r="E638" s="57" t="str">
        <f aca="false">Flights!$G$23&amp;"-"&amp;Flights!$H$23</f>
        <v>KIX-KUL</v>
      </c>
      <c r="F638" s="57" t="str">
        <f aca="false">Flights!$K$23</f>
        <v>EY</v>
      </c>
      <c r="G638" s="57" t="s">
        <v>383</v>
      </c>
      <c r="H638" s="57" t="s">
        <v>341</v>
      </c>
      <c r="I638" s="57" t="s">
        <v>597</v>
      </c>
      <c r="J638" s="57" t="s">
        <v>598</v>
      </c>
      <c r="K638" s="67" t="s">
        <v>1270</v>
      </c>
      <c r="L638" s="67" t="s">
        <v>1271</v>
      </c>
      <c r="M638" s="67" t="s">
        <v>414</v>
      </c>
      <c r="N638" s="67" t="s">
        <v>407</v>
      </c>
      <c r="O638" s="67" t="s">
        <v>1314</v>
      </c>
      <c r="P638" s="57" t="s">
        <v>285</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IF(N638="N/A – rule","N/A – RULE",IF(TRIM(U638)="N/A",IF(AT638=0,"INVALID – N/A not permitted for this mandatory check",IF(AND(TRIM(AC638)&lt;&gt;"",TRIM(AE638)&lt;&gt;"",TRIM(T638)&lt;&gt;""),"N/A – JUSTIFIED","INVALID – N/A needs justification, PIC and verifier")),IF(OR(TRIM(U638)="Pass",TRIM(U638)="Pass after CA"),IF(NOT(ISNUMBER(AD638)),"INVALID – completion time missing",IF(TRIM(T638)="","INVALID – PIC missing",IF(TRIM(Z638)="","INVALID – evidence missing",IF(TRIM(AE638)="","INVALID – verifier missing",IF(AND(AQ638=1,TRIM(W638)=""),"INVALID – batch ID missing",IF(AND(AR638=1,OR(NOT(ISNUMBER(X638)),NOT(ISNUMBER(Y638)))),"INVALID – expected/actual qty missing",IF(IF(AND(TRIM(U638)="Pass",ISNUMBER(AF638)),IF(AF638&lt;&gt;0,"INVALID – qty variance: use Fail or Pass after CA",""),"")&amp;IF(AND(TRIM(U638)="Pass",AB638="Open"),"INVALID – corrective action still open: use Fail, then Pass after CA","")&amp;IF(AND(TRIM(U638)="Pass after CA",OR(TRIM(AA638)="",AB638&lt;&gt;"Closed")),"INVALID – corrective action not recorded/closed","")&lt;&gt;"",IF(AND(TRIM(U638)="Pass",ISNUMBER(AF638)),IF(AF638&lt;&gt;0,"INVALID – qty variance: use Fail or Pass after CA",""),"")&amp;IF(AND(TRIM(U638)="Pass",AB638="Open"),"INVALID – corrective action still open: use Fail, then Pass after CA","")&amp;IF(AND(TRIM(U638)="Pass after CA",OR(TRIM(AA638)="",AB638&lt;&gt;"Closed")),"INVALID – corrective action not recorded/closed",""),IF(AND(AS638=1,Documents!$J$23&lt;&gt;"ON FILE"),"INVALID – GLD not on file (Documents sheet)",IF(AND(AS638=2,Documents!$O$23&lt;&gt;"ON FILE"),"INVALID – menu checklist not on file (Documents sheet)",IF(AND(AS638=3,NOT(ISNUMBER(Flights!$AX$23))),"INVALID – enter carrying flight KUL departure (Flights AX)",IF(AG638&gt;AsOfUTC,"INVALID – completion time is in the future",IF(AND(ISNUMBER(S638),AG638&lt;S638),IF(H638="Physical uplift","INVALID – before uplift window (cannot confirm loading)","INVALID – before valid window"),IF(AG638&gt;Flights!$AA$23,"INVALID – completed after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f>
        <v>OPEN – CLARIFICATION</v>
      </c>
      <c r="AI638" s="61" t="n">
        <f aca="false">IF(OR(AH638="N/A – RULE",AH638="N/A – JUSTIFIED"),0,1)</f>
        <v>1</v>
      </c>
      <c r="AJ638" s="61" t="n">
        <f aca="false">IF(LEFT(AH638,8)="COMPLETE",1,0)</f>
        <v>0</v>
      </c>
      <c r="AK638" s="61" t="n">
        <f aca="false">IF(AND(AI638=1,AJ638=0,AsOfUTC&gt;Q638),1,0)</f>
        <v>0</v>
      </c>
      <c r="AL638" s="61" t="n">
        <f aca="false">IF(AND(AI638=1,OR(TRIM(U638)="Fail",AB638="Open",AND(ISNUMBER(AF638),AF638&lt;&gt;0,TRIM(U638)&lt;&gt;"Pass after CA"))),1,0)</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row>
    <row r="639" customFormat="false" ht="39.75" hidden="false" customHeight="true" outlineLevel="0" collapsed="false">
      <c r="A639" s="57" t="s">
        <v>1315</v>
      </c>
      <c r="B639" s="57" t="s">
        <v>291</v>
      </c>
      <c r="C639" s="57" t="str">
        <f aca="false">Flights!$F$23</f>
        <v>MH0053</v>
      </c>
      <c r="D639" s="58" t="n">
        <f aca="false">Flights!$D$23</f>
        <v>46324</v>
      </c>
      <c r="E639" s="57" t="str">
        <f aca="false">Flights!$G$23&amp;"-"&amp;Flights!$H$23</f>
        <v>KIX-KUL</v>
      </c>
      <c r="F639" s="57" t="str">
        <f aca="false">Flights!$K$23</f>
        <v>EY</v>
      </c>
      <c r="G639" s="57" t="s">
        <v>422</v>
      </c>
      <c r="H639" s="57" t="s">
        <v>423</v>
      </c>
      <c r="I639" s="57" t="s">
        <v>342</v>
      </c>
      <c r="J639" s="57" t="s">
        <v>424</v>
      </c>
      <c r="K639" s="67" t="s">
        <v>389</v>
      </c>
      <c r="L639" s="67" t="s">
        <v>425</v>
      </c>
      <c r="M639" s="67"/>
      <c r="N639" s="67" t="s">
        <v>346</v>
      </c>
      <c r="O639" s="67" t="s">
        <v>426</v>
      </c>
      <c r="P639" s="57" t="s">
        <v>285</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IF(N639="N/A – rule","N/A – RULE",IF(TRIM(U639)="N/A",IF(AT639=0,"INVALID – N/A not permitted for this mandatory check",IF(AND(TRIM(AC639)&lt;&gt;"",TRIM(AE639)&lt;&gt;"",TRIM(T639)&lt;&gt;""),"N/A – JUSTIFIED","INVALID – N/A needs justification, PIC and verifier")),IF(OR(TRIM(U639)="Pass",TRIM(U639)="Pass after CA"),IF(NOT(ISNUMBER(AD639)),"INVALID – completion time missing",IF(TRIM(T639)="","INVALID – PIC missing",IF(TRIM(Z639)="","INVALID – evidence missing",IF(TRIM(AE639)="","INVALID – verifier missing",IF(AND(AQ639=1,TRIM(W639)=""),"INVALID – batch ID missing",IF(AND(AR639=1,OR(NOT(ISNUMBER(X639)),NOT(ISNUMBER(Y639)))),"INVALID – expected/actual qty missing",IF(IF(AND(TRIM(U639)="Pass",ISNUMBER(AF639)),IF(AF639&lt;&gt;0,"INVALID – qty variance: use Fail or Pass after CA",""),"")&amp;IF(AND(TRIM(U639)="Pass",AB639="Open"),"INVALID – corrective action still open: use Fail, then Pass after CA","")&amp;IF(AND(TRIM(U639)="Pass after CA",OR(TRIM(AA639)="",AB639&lt;&gt;"Closed")),"INVALID – corrective action not recorded/closed","")&lt;&gt;"",IF(AND(TRIM(U639)="Pass",ISNUMBER(AF639)),IF(AF639&lt;&gt;0,"INVALID – qty variance: use Fail or Pass after CA",""),"")&amp;IF(AND(TRIM(U639)="Pass",AB639="Open"),"INVALID – corrective action still open: use Fail, then Pass after CA","")&amp;IF(AND(TRIM(U639)="Pass after CA",OR(TRIM(AA639)="",AB639&lt;&gt;"Closed")),"INVALID – corrective action not recorded/closed",""),IF(AND(AS639=1,Documents!$J$23&lt;&gt;"ON FILE"),"INVALID – GLD not on file (Documents sheet)",IF(AND(AS639=2,Documents!$O$23&lt;&gt;"ON FILE"),"INVALID – menu checklist not on file (Documents sheet)",IF(AND(AS639=3,NOT(ISNUMBER(Flights!$AX$23))),"INVALID – enter carrying flight KUL departure (Flights AX)",IF(AG639&gt;AsOfUTC,"INVALID – completion time is in the future",IF(AND(ISNUMBER(S639),AG639&lt;S639),IF(H639="Physical uplift","INVALID – before uplift window (cannot confirm loading)","INVALID – before valid window"),IF(AG639&gt;Flights!$AA$23,"INVALID – completed after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f>
        <v>OPEN</v>
      </c>
      <c r="AI639" s="61" t="n">
        <f aca="false">IF(OR(AH639="N/A – RULE",AH639="N/A – JUSTIFIED"),0,1)</f>
        <v>1</v>
      </c>
      <c r="AJ639" s="61" t="n">
        <f aca="false">IF(LEFT(AH639,8)="COMPLETE",1,0)</f>
        <v>0</v>
      </c>
      <c r="AK639" s="61" t="n">
        <f aca="false">IF(AND(AI639=1,AJ639=0,AsOfUTC&gt;Q639),1,0)</f>
        <v>0</v>
      </c>
      <c r="AL639" s="61" t="n">
        <f aca="false">IF(AND(AI639=1,OR(TRIM(U639)="Fail",AB639="Open",AND(ISNUMBER(AF639),AF639&lt;&gt;0,TRIM(U639)&lt;&gt;"Pass after CA"))),1,0)</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row>
    <row r="640" customFormat="false" ht="39.75" hidden="false" customHeight="true" outlineLevel="0" collapsed="false">
      <c r="A640" s="57" t="s">
        <v>1316</v>
      </c>
      <c r="B640" s="57" t="s">
        <v>291</v>
      </c>
      <c r="C640" s="57" t="str">
        <f aca="false">Flights!$F$23</f>
        <v>MH0053</v>
      </c>
      <c r="D640" s="58" t="n">
        <f aca="false">Flights!$D$23</f>
        <v>46324</v>
      </c>
      <c r="E640" s="57" t="str">
        <f aca="false">Flights!$G$23&amp;"-"&amp;Flights!$H$23</f>
        <v>KIX-KUL</v>
      </c>
      <c r="F640" s="57" t="str">
        <f aca="false">Flights!$K$23</f>
        <v>EY</v>
      </c>
      <c r="G640" s="57" t="s">
        <v>422</v>
      </c>
      <c r="H640" s="57" t="s">
        <v>423</v>
      </c>
      <c r="I640" s="57" t="s">
        <v>391</v>
      </c>
      <c r="J640" s="57" t="s">
        <v>428</v>
      </c>
      <c r="K640" s="67" t="s">
        <v>389</v>
      </c>
      <c r="L640" s="67" t="s">
        <v>425</v>
      </c>
      <c r="M640" s="67"/>
      <c r="N640" s="67" t="s">
        <v>346</v>
      </c>
      <c r="O640" s="67" t="s">
        <v>426</v>
      </c>
      <c r="P640" s="57" t="s">
        <v>285</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IF(N640="N/A – rule","N/A – RULE",IF(TRIM(U640)="N/A",IF(AT640=0,"INVALID – N/A not permitted for this mandatory check",IF(AND(TRIM(AC640)&lt;&gt;"",TRIM(AE640)&lt;&gt;"",TRIM(T640)&lt;&gt;""),"N/A – JUSTIFIED","INVALID – N/A needs justification, PIC and verifier")),IF(OR(TRIM(U640)="Pass",TRIM(U640)="Pass after CA"),IF(NOT(ISNUMBER(AD640)),"INVALID – completion time missing",IF(TRIM(T640)="","INVALID – PIC missing",IF(TRIM(Z640)="","INVALID – evidence missing",IF(TRIM(AE640)="","INVALID – verifier missing",IF(AND(AQ640=1,TRIM(W640)=""),"INVALID – batch ID missing",IF(AND(AR640=1,OR(NOT(ISNUMBER(X640)),NOT(ISNUMBER(Y640)))),"INVALID – expected/actual qty missing",IF(IF(AND(TRIM(U640)="Pass",ISNUMBER(AF640)),IF(AF640&lt;&gt;0,"INVALID – qty variance: use Fail or Pass after CA",""),"")&amp;IF(AND(TRIM(U640)="Pass",AB640="Open"),"INVALID – corrective action still open: use Fail, then Pass after CA","")&amp;IF(AND(TRIM(U640)="Pass after CA",OR(TRIM(AA640)="",AB640&lt;&gt;"Closed")),"INVALID – corrective action not recorded/closed","")&lt;&gt;"",IF(AND(TRIM(U640)="Pass",ISNUMBER(AF640)),IF(AF640&lt;&gt;0,"INVALID – qty variance: use Fail or Pass after CA",""),"")&amp;IF(AND(TRIM(U640)="Pass",AB640="Open"),"INVALID – corrective action still open: use Fail, then Pass after CA","")&amp;IF(AND(TRIM(U640)="Pass after CA",OR(TRIM(AA640)="",AB640&lt;&gt;"Closed")),"INVALID – corrective action not recorded/closed",""),IF(AND(AS640=1,Documents!$J$23&lt;&gt;"ON FILE"),"INVALID – GLD not on file (Documents sheet)",IF(AND(AS640=2,Documents!$O$23&lt;&gt;"ON FILE"),"INVALID – menu checklist not on file (Documents sheet)",IF(AND(AS640=3,NOT(ISNUMBER(Flights!$AX$23))),"INVALID – enter carrying flight KUL departure (Flights AX)",IF(AG640&gt;AsOfUTC,"INVALID – completion time is in the future",IF(AND(ISNUMBER(S640),AG640&lt;S640),IF(H640="Physical uplift","INVALID – before uplift window (cannot confirm loading)","INVALID – before valid window"),IF(AG640&gt;Flights!$AA$23,"INVALID – completed after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f>
        <v>OPEN</v>
      </c>
      <c r="AI640" s="61" t="n">
        <f aca="false">IF(OR(AH640="N/A – RULE",AH640="N/A – JUSTIFIED"),0,1)</f>
        <v>1</v>
      </c>
      <c r="AJ640" s="61" t="n">
        <f aca="false">IF(LEFT(AH640,8)="COMPLETE",1,0)</f>
        <v>0</v>
      </c>
      <c r="AK640" s="61" t="n">
        <f aca="false">IF(AND(AI640=1,AJ640=0,AsOfUTC&gt;Q640),1,0)</f>
        <v>0</v>
      </c>
      <c r="AL640" s="61" t="n">
        <f aca="false">IF(AND(AI640=1,OR(TRIM(U640)="Fail",AB640="Open",AND(ISNUMBER(AF640),AF640&lt;&gt;0,TRIM(U640)&lt;&gt;"Pass after CA"))),1,0)</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row>
    <row r="641" customFormat="false" ht="39.75" hidden="false" customHeight="true" outlineLevel="0" collapsed="false">
      <c r="A641" s="57" t="s">
        <v>1317</v>
      </c>
      <c r="B641" s="57" t="s">
        <v>291</v>
      </c>
      <c r="C641" s="57" t="str">
        <f aca="false">Flights!$F$23</f>
        <v>MH0053</v>
      </c>
      <c r="D641" s="58" t="n">
        <f aca="false">Flights!$D$23</f>
        <v>46324</v>
      </c>
      <c r="E641" s="57" t="str">
        <f aca="false">Flights!$G$23&amp;"-"&amp;Flights!$H$23</f>
        <v>KIX-KUL</v>
      </c>
      <c r="F641" s="57" t="str">
        <f aca="false">Flights!$K$23</f>
        <v>EY</v>
      </c>
      <c r="G641" s="57" t="s">
        <v>422</v>
      </c>
      <c r="H641" s="57" t="s">
        <v>423</v>
      </c>
      <c r="I641" s="57" t="s">
        <v>410</v>
      </c>
      <c r="J641" s="57" t="s">
        <v>432</v>
      </c>
      <c r="K641" s="67" t="s">
        <v>412</v>
      </c>
      <c r="L641" s="67" t="s">
        <v>1308</v>
      </c>
      <c r="M641" s="67" t="s">
        <v>414</v>
      </c>
      <c r="N641" s="67" t="s">
        <v>346</v>
      </c>
      <c r="O641" s="67"/>
      <c r="P641" s="57" t="s">
        <v>285</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IF(N641="N/A – rule","N/A – RULE",IF(TRIM(U641)="N/A",IF(AT641=0,"INVALID – N/A not permitted for this mandatory check",IF(AND(TRIM(AC641)&lt;&gt;"",TRIM(AE641)&lt;&gt;"",TRIM(T641)&lt;&gt;""),"N/A – JUSTIFIED","INVALID – N/A needs justification, PIC and verifier")),IF(OR(TRIM(U641)="Pass",TRIM(U641)="Pass after CA"),IF(NOT(ISNUMBER(AD641)),"INVALID – completion time missing",IF(TRIM(T641)="","INVALID – PIC missing",IF(TRIM(Z641)="","INVALID – evidence missing",IF(TRIM(AE641)="","INVALID – verifier missing",IF(AND(AQ641=1,TRIM(W641)=""),"INVALID – batch ID missing",IF(AND(AR641=1,OR(NOT(ISNUMBER(X641)),NOT(ISNUMBER(Y641)))),"INVALID – expected/actual qty missing",IF(IF(AND(TRIM(U641)="Pass",ISNUMBER(AF641)),IF(AF641&lt;&gt;0,"INVALID – qty variance: use Fail or Pass after CA",""),"")&amp;IF(AND(TRIM(U641)="Pass",AB641="Open"),"INVALID – corrective action still open: use Fail, then Pass after CA","")&amp;IF(AND(TRIM(U641)="Pass after CA",OR(TRIM(AA641)="",AB641&lt;&gt;"Closed")),"INVALID – corrective action not recorded/closed","")&lt;&gt;"",IF(AND(TRIM(U641)="Pass",ISNUMBER(AF641)),IF(AF641&lt;&gt;0,"INVALID – qty variance: use Fail or Pass after CA",""),"")&amp;IF(AND(TRIM(U641)="Pass",AB641="Open"),"INVALID – corrective action still open: use Fail, then Pass after CA","")&amp;IF(AND(TRIM(U641)="Pass after CA",OR(TRIM(AA641)="",AB641&lt;&gt;"Closed")),"INVALID – corrective action not recorded/closed",""),IF(AND(AS641=1,Documents!$J$23&lt;&gt;"ON FILE"),"INVALID – GLD not on file (Documents sheet)",IF(AND(AS641=2,Documents!$O$23&lt;&gt;"ON FILE"),"INVALID – menu checklist not on file (Documents sheet)",IF(AND(AS641=3,NOT(ISNUMBER(Flights!$AX$23))),"INVALID – enter carrying flight KUL departure (Flights AX)",IF(AG641&gt;AsOfUTC,"INVALID – completion time is in the future",IF(AND(ISNUMBER(S641),AG641&lt;S641),IF(H641="Physical uplift","INVALID – before uplift window (cannot confirm loading)","INVALID – before valid window"),IF(AG641&gt;Flights!$AA$23,"INVALID – completed after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f>
        <v>OPEN</v>
      </c>
      <c r="AI641" s="61" t="n">
        <f aca="false">IF(OR(AH641="N/A – RULE",AH641="N/A – JUSTIFIED"),0,1)</f>
        <v>1</v>
      </c>
      <c r="AJ641" s="61" t="n">
        <f aca="false">IF(LEFT(AH641,8)="COMPLETE",1,0)</f>
        <v>0</v>
      </c>
      <c r="AK641" s="61" t="n">
        <f aca="false">IF(AND(AI641=1,AJ641=0,AsOfUTC&gt;Q641),1,0)</f>
        <v>0</v>
      </c>
      <c r="AL641" s="61" t="n">
        <f aca="false">IF(AND(AI641=1,OR(TRIM(U641)="Fail",AB641="Open",AND(ISNUMBER(AF641),AF641&lt;&gt;0,TRIM(U641)&lt;&gt;"Pass after CA"))),1,0)</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1</v>
      </c>
    </row>
    <row r="642" customFormat="false" ht="54" hidden="false" customHeight="true" outlineLevel="0" collapsed="false">
      <c r="A642" s="57" t="s">
        <v>1318</v>
      </c>
      <c r="B642" s="57" t="s">
        <v>291</v>
      </c>
      <c r="C642" s="57" t="str">
        <f aca="false">Flights!$F$23</f>
        <v>MH0053</v>
      </c>
      <c r="D642" s="58" t="n">
        <f aca="false">Flights!$D$23</f>
        <v>46324</v>
      </c>
      <c r="E642" s="57" t="str">
        <f aca="false">Flights!$G$23&amp;"-"&amp;Flights!$H$23</f>
        <v>KIX-KUL</v>
      </c>
      <c r="F642" s="57" t="str">
        <f aca="false">Flights!$K$23</f>
        <v>EY</v>
      </c>
      <c r="G642" s="57" t="s">
        <v>422</v>
      </c>
      <c r="H642" s="57" t="s">
        <v>423</v>
      </c>
      <c r="I642" s="57" t="s">
        <v>410</v>
      </c>
      <c r="J642" s="57" t="s">
        <v>434</v>
      </c>
      <c r="K642" s="67" t="s">
        <v>1051</v>
      </c>
      <c r="L642" s="67" t="s">
        <v>1311</v>
      </c>
      <c r="M642" s="67" t="s">
        <v>414</v>
      </c>
      <c r="N642" s="67" t="s">
        <v>346</v>
      </c>
      <c r="O642" s="67" t="s">
        <v>1319</v>
      </c>
      <c r="P642" s="57" t="s">
        <v>285</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IF(N642="N/A – rule","N/A – RULE",IF(TRIM(U642)="N/A",IF(AT642=0,"INVALID – N/A not permitted for this mandatory check",IF(AND(TRIM(AC642)&lt;&gt;"",TRIM(AE642)&lt;&gt;"",TRIM(T642)&lt;&gt;""),"N/A – JUSTIFIED","INVALID – N/A needs justification, PIC and verifier")),IF(OR(TRIM(U642)="Pass",TRIM(U642)="Pass after CA"),IF(NOT(ISNUMBER(AD642)),"INVALID – completion time missing",IF(TRIM(T642)="","INVALID – PIC missing",IF(TRIM(Z642)="","INVALID – evidence missing",IF(TRIM(AE642)="","INVALID – verifier missing",IF(AND(AQ642=1,TRIM(W642)=""),"INVALID – batch ID missing",IF(AND(AR642=1,OR(NOT(ISNUMBER(X642)),NOT(ISNUMBER(Y642)))),"INVALID – expected/actual qty missing",IF(IF(AND(TRIM(U642)="Pass",ISNUMBER(AF642)),IF(AF642&lt;&gt;0,"INVALID – qty variance: use Fail or Pass after CA",""),"")&amp;IF(AND(TRIM(U642)="Pass",AB642="Open"),"INVALID – corrective action still open: use Fail, then Pass after CA","")&amp;IF(AND(TRIM(U642)="Pass after CA",OR(TRIM(AA642)="",AB642&lt;&gt;"Closed")),"INVALID – corrective action not recorded/closed","")&lt;&gt;"",IF(AND(TRIM(U642)="Pass",ISNUMBER(AF642)),IF(AF642&lt;&gt;0,"INVALID – qty variance: use Fail or Pass after CA",""),"")&amp;IF(AND(TRIM(U642)="Pass",AB642="Open"),"INVALID – corrective action still open: use Fail, then Pass after CA","")&amp;IF(AND(TRIM(U642)="Pass after CA",OR(TRIM(AA642)="",AB642&lt;&gt;"Closed")),"INVALID – corrective action not recorded/closed",""),IF(AND(AS642=1,Documents!$J$23&lt;&gt;"ON FILE"),"INVALID – GLD not on file (Documents sheet)",IF(AND(AS642=2,Documents!$O$23&lt;&gt;"ON FILE"),"INVALID – menu checklist not on file (Documents sheet)",IF(AND(AS642=3,NOT(ISNUMBER(Flights!$AX$23))),"INVALID – enter carrying flight KUL departure (Flights AX)",IF(AG642&gt;AsOfUTC,"INVALID – completion time is in the future",IF(AND(ISNUMBER(S642),AG642&lt;S642),IF(H642="Physical uplift","INVALID – before uplift window (cannot confirm loading)","INVALID – before valid window"),IF(AG642&gt;Flights!$AA$23,"INVALID – completed after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f>
        <v>OPEN</v>
      </c>
      <c r="AI642" s="61" t="n">
        <f aca="false">IF(OR(AH642="N/A – RULE",AH642="N/A – JUSTIFIED"),0,1)</f>
        <v>1</v>
      </c>
      <c r="AJ642" s="61" t="n">
        <f aca="false">IF(LEFT(AH642,8)="COMPLETE",1,0)</f>
        <v>0</v>
      </c>
      <c r="AK642" s="61" t="n">
        <f aca="false">IF(AND(AI642=1,AJ642=0,AsOfUTC&gt;Q642),1,0)</f>
        <v>0</v>
      </c>
      <c r="AL642" s="61" t="n">
        <f aca="false">IF(AND(AI642=1,OR(TRIM(U642)="Fail",AB642="Open",AND(ISNUMBER(AF642),AF642&lt;&gt;0,TRIM(U642)&lt;&gt;"Pass after CA"))),1,0)</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1</v>
      </c>
    </row>
    <row r="643" customFormat="false" ht="54" hidden="false" customHeight="true" outlineLevel="0" collapsed="false">
      <c r="A643" s="57" t="s">
        <v>1320</v>
      </c>
      <c r="B643" s="57" t="s">
        <v>291</v>
      </c>
      <c r="C643" s="57" t="str">
        <f aca="false">Flights!$F$23</f>
        <v>MH0053</v>
      </c>
      <c r="D643" s="58" t="n">
        <f aca="false">Flights!$D$23</f>
        <v>46324</v>
      </c>
      <c r="E643" s="57" t="str">
        <f aca="false">Flights!$G$23&amp;"-"&amp;Flights!$H$23</f>
        <v>KIX-KUL</v>
      </c>
      <c r="F643" s="57" t="str">
        <f aca="false">Flights!$K$23</f>
        <v>EY</v>
      </c>
      <c r="G643" s="57" t="s">
        <v>422</v>
      </c>
      <c r="H643" s="57" t="s">
        <v>423</v>
      </c>
      <c r="I643" s="57" t="s">
        <v>597</v>
      </c>
      <c r="J643" s="57" t="s">
        <v>622</v>
      </c>
      <c r="K643" s="67" t="s">
        <v>1270</v>
      </c>
      <c r="L643" s="67" t="s">
        <v>1271</v>
      </c>
      <c r="M643" s="67" t="s">
        <v>414</v>
      </c>
      <c r="N643" s="67" t="s">
        <v>407</v>
      </c>
      <c r="O643" s="67" t="s">
        <v>1321</v>
      </c>
      <c r="P643" s="57" t="s">
        <v>285</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IF(N643="N/A – rule","N/A – RULE",IF(TRIM(U643)="N/A",IF(AT643=0,"INVALID – N/A not permitted for this mandatory check",IF(AND(TRIM(AC643)&lt;&gt;"",TRIM(AE643)&lt;&gt;"",TRIM(T643)&lt;&gt;""),"N/A – JUSTIFIED","INVALID – N/A needs justification, PIC and verifier")),IF(OR(TRIM(U643)="Pass",TRIM(U643)="Pass after CA"),IF(NOT(ISNUMBER(AD643)),"INVALID – completion time missing",IF(TRIM(T643)="","INVALID – PIC missing",IF(TRIM(Z643)="","INVALID – evidence missing",IF(TRIM(AE643)="","INVALID – verifier missing",IF(AND(AQ643=1,TRIM(W643)=""),"INVALID – batch ID missing",IF(AND(AR643=1,OR(NOT(ISNUMBER(X643)),NOT(ISNUMBER(Y643)))),"INVALID – expected/actual qty missing",IF(IF(AND(TRIM(U643)="Pass",ISNUMBER(AF643)),IF(AF643&lt;&gt;0,"INVALID – qty variance: use Fail or Pass after CA",""),"")&amp;IF(AND(TRIM(U643)="Pass",AB643="Open"),"INVALID – corrective action still open: use Fail, then Pass after CA","")&amp;IF(AND(TRIM(U643)="Pass after CA",OR(TRIM(AA643)="",AB643&lt;&gt;"Closed")),"INVALID – corrective action not recorded/closed","")&lt;&gt;"",IF(AND(TRIM(U643)="Pass",ISNUMBER(AF643)),IF(AF643&lt;&gt;0,"INVALID – qty variance: use Fail or Pass after CA",""),"")&amp;IF(AND(TRIM(U643)="Pass",AB643="Open"),"INVALID – corrective action still open: use Fail, then Pass after CA","")&amp;IF(AND(TRIM(U643)="Pass after CA",OR(TRIM(AA643)="",AB643&lt;&gt;"Closed")),"INVALID – corrective action not recorded/closed",""),IF(AND(AS643=1,Documents!$J$23&lt;&gt;"ON FILE"),"INVALID – GLD not on file (Documents sheet)",IF(AND(AS643=2,Documents!$O$23&lt;&gt;"ON FILE"),"INVALID – menu checklist not on file (Documents sheet)",IF(AND(AS643=3,NOT(ISNUMBER(Flights!$AX$23))),"INVALID – enter carrying flight KUL departure (Flights AX)",IF(AG643&gt;AsOfUTC,"INVALID – completion time is in the future",IF(AND(ISNUMBER(S643),AG643&lt;S643),IF(H643="Physical uplift","INVALID – before uplift window (cannot confirm loading)","INVALID – before valid window"),IF(AG643&gt;Flights!$AA$23,"INVALID – completed after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f>
        <v>OPEN – CLARIFICATION</v>
      </c>
      <c r="AI643" s="61" t="n">
        <f aca="false">IF(OR(AH643="N/A – RULE",AH643="N/A – JUSTIFIED"),0,1)</f>
        <v>1</v>
      </c>
      <c r="AJ643" s="61" t="n">
        <f aca="false">IF(LEFT(AH643,8)="COMPLETE",1,0)</f>
        <v>0</v>
      </c>
      <c r="AK643" s="61" t="n">
        <f aca="false">IF(AND(AI643=1,AJ643=0,AsOfUTC&gt;Q643),1,0)</f>
        <v>0</v>
      </c>
      <c r="AL643" s="61" t="n">
        <f aca="false">IF(AND(AI643=1,OR(TRIM(U643)="Fail",AB643="Open",AND(ISNUMBER(AF643),AF643&lt;&gt;0,TRIM(U643)&lt;&gt;"Pass after CA"))),1,0)</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row>
    <row r="644" customFormat="false" ht="39.75" hidden="false" customHeight="true" outlineLevel="0" collapsed="false">
      <c r="A644" s="57" t="s">
        <v>1322</v>
      </c>
      <c r="B644" s="57" t="s">
        <v>294</v>
      </c>
      <c r="C644" s="57" t="str">
        <f aca="false">Flights!$F$24</f>
        <v>MH1450</v>
      </c>
      <c r="D644" s="58" t="n">
        <f aca="false">Flights!$D$24</f>
        <v>46324</v>
      </c>
      <c r="E644" s="57" t="str">
        <f aca="false">Flights!$G$24&amp;"-"&amp;Flights!$H$24</f>
        <v>KUL-LGK</v>
      </c>
      <c r="F644" s="57" t="str">
        <f aca="false">Flights!$K$24</f>
        <v>EY</v>
      </c>
      <c r="G644" s="57" t="s">
        <v>74</v>
      </c>
      <c r="H644" s="57" t="s">
        <v>341</v>
      </c>
      <c r="I644" s="57" t="s">
        <v>342</v>
      </c>
      <c r="J644" s="57" t="s">
        <v>343</v>
      </c>
      <c r="K644" s="67" t="s">
        <v>344</v>
      </c>
      <c r="L644" s="67" t="s">
        <v>345</v>
      </c>
      <c r="M644" s="67"/>
      <c r="N644" s="67" t="s">
        <v>346</v>
      </c>
      <c r="O644" s="67" t="s">
        <v>875</v>
      </c>
      <c r="P644" s="57" t="s">
        <v>177</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IF(N644="N/A – rule","N/A – RULE",IF(TRIM(U644)="N/A",IF(AT644=0,"INVALID – N/A not permitted for this mandatory check",IF(AND(TRIM(AC644)&lt;&gt;"",TRIM(AE644)&lt;&gt;"",TRIM(T644)&lt;&gt;""),"N/A – JUSTIFIED","INVALID – N/A needs justification, PIC and verifier")),IF(OR(TRIM(U644)="Pass",TRIM(U644)="Pass after CA"),IF(NOT(ISNUMBER(AD644)),"INVALID – completion time missing",IF(TRIM(T644)="","INVALID – PIC missing",IF(TRIM(Z644)="","INVALID – evidence missing",IF(TRIM(AE644)="","INVALID – verifier missing",IF(AND(AQ644=1,TRIM(W644)=""),"INVALID – batch ID missing",IF(AND(AR644=1,OR(NOT(ISNUMBER(X644)),NOT(ISNUMBER(Y644)))),"INVALID – expected/actual qty missing",IF(IF(AND(TRIM(U644)="Pass",ISNUMBER(AF644)),IF(AF644&lt;&gt;0,"INVALID – qty variance: use Fail or Pass after CA",""),"")&amp;IF(AND(TRIM(U644)="Pass",AB644="Open"),"INVALID – corrective action still open: use Fail, then Pass after CA","")&amp;IF(AND(TRIM(U644)="Pass after CA",OR(TRIM(AA644)="",AB644&lt;&gt;"Closed")),"INVALID – corrective action not recorded/closed","")&lt;&gt;"",IF(AND(TRIM(U644)="Pass",ISNUMBER(AF644)),IF(AF644&lt;&gt;0,"INVALID – qty variance: use Fail or Pass after CA",""),"")&amp;IF(AND(TRIM(U644)="Pass",AB644="Open"),"INVALID – corrective action still open: use Fail, then Pass after CA","")&amp;IF(AND(TRIM(U644)="Pass after CA",OR(TRIM(AA644)="",AB644&lt;&gt;"Closed")),"INVALID – corrective action not recorded/closed",""),IF(AND(AS644=1,Documents!$J$24&lt;&gt;"ON FILE"),"INVALID – GLD not on file (Documents sheet)",IF(AND(AS644=2,Documents!$O$24&lt;&gt;"ON FILE"),"INVALID – menu checklist not on file (Documents sheet)",IF(AND(AS644=3,NOT(ISNUMBER(Flights!$AX$24))),"INVALID – enter carrying flight KUL departure (Flights AX)",IF(AG644&gt;AsOfUTC,"INVALID – completion time is in the future",IF(AND(ISNUMBER(S644),AG644&lt;S644),IF(H644="Physical uplift","INVALID – before uplift window (cannot confirm loading)","INVALID – before valid window"),IF(AG644&gt;Flights!$AA$24,"INVALID – completed after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f>
        <v>OPEN</v>
      </c>
      <c r="AI644" s="61" t="n">
        <f aca="false">IF(OR(AH644="N/A – RULE",AH644="N/A – JUSTIFIED"),0,1)</f>
        <v>1</v>
      </c>
      <c r="AJ644" s="61" t="n">
        <f aca="false">IF(LEFT(AH644,8)="COMPLETE",1,0)</f>
        <v>0</v>
      </c>
      <c r="AK644" s="61" t="n">
        <f aca="false">IF(AND(AI644=1,AJ644=0,AsOfUTC&gt;Q644),1,0)</f>
        <v>0</v>
      </c>
      <c r="AL644" s="61" t="n">
        <f aca="false">IF(AND(AI644=1,OR(TRIM(U644)="Fail",AB644="Open",AND(ISNUMBER(AF644),AF644&lt;&gt;0,TRIM(U644)&lt;&gt;"Pass after CA"))),1,0)</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row>
    <row r="645" customFormat="false" ht="41.25" hidden="false" customHeight="true" outlineLevel="0" collapsed="false">
      <c r="A645" s="57" t="s">
        <v>1323</v>
      </c>
      <c r="B645" s="57" t="s">
        <v>294</v>
      </c>
      <c r="C645" s="57" t="str">
        <f aca="false">Flights!$F$24</f>
        <v>MH1450</v>
      </c>
      <c r="D645" s="58" t="n">
        <f aca="false">Flights!$D$24</f>
        <v>46324</v>
      </c>
      <c r="E645" s="57" t="str">
        <f aca="false">Flights!$G$24&amp;"-"&amp;Flights!$H$24</f>
        <v>KUL-LGK</v>
      </c>
      <c r="F645" s="57" t="str">
        <f aca="false">Flights!$K$24</f>
        <v>EY</v>
      </c>
      <c r="G645" s="57" t="s">
        <v>74</v>
      </c>
      <c r="H645" s="57" t="s">
        <v>341</v>
      </c>
      <c r="I645" s="57" t="s">
        <v>348</v>
      </c>
      <c r="J645" s="57" t="s">
        <v>349</v>
      </c>
      <c r="K645" s="67" t="s">
        <v>350</v>
      </c>
      <c r="L645" s="67" t="s">
        <v>345</v>
      </c>
      <c r="M645" s="67"/>
      <c r="N645" s="67" t="s">
        <v>346</v>
      </c>
      <c r="O645" s="67" t="s">
        <v>877</v>
      </c>
      <c r="P645" s="57" t="s">
        <v>177</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IF(N645="N/A – rule","N/A – RULE",IF(TRIM(U645)="N/A",IF(AT645=0,"INVALID – N/A not permitted for this mandatory check",IF(AND(TRIM(AC645)&lt;&gt;"",TRIM(AE645)&lt;&gt;"",TRIM(T645)&lt;&gt;""),"N/A – JUSTIFIED","INVALID – N/A needs justification, PIC and verifier")),IF(OR(TRIM(U645)="Pass",TRIM(U645)="Pass after CA"),IF(NOT(ISNUMBER(AD645)),"INVALID – completion time missing",IF(TRIM(T645)="","INVALID – PIC missing",IF(TRIM(Z645)="","INVALID – evidence missing",IF(TRIM(AE645)="","INVALID – verifier missing",IF(AND(AQ645=1,TRIM(W645)=""),"INVALID – batch ID missing",IF(AND(AR645=1,OR(NOT(ISNUMBER(X645)),NOT(ISNUMBER(Y645)))),"INVALID – expected/actual qty missing",IF(IF(AND(TRIM(U645)="Pass",ISNUMBER(AF645)),IF(AF645&lt;&gt;0,"INVALID – qty variance: use Fail or Pass after CA",""),"")&amp;IF(AND(TRIM(U645)="Pass",AB645="Open"),"INVALID – corrective action still open: use Fail, then Pass after CA","")&amp;IF(AND(TRIM(U645)="Pass after CA",OR(TRIM(AA645)="",AB645&lt;&gt;"Closed")),"INVALID – corrective action not recorded/closed","")&lt;&gt;"",IF(AND(TRIM(U645)="Pass",ISNUMBER(AF645)),IF(AF645&lt;&gt;0,"INVALID – qty variance: use Fail or Pass after CA",""),"")&amp;IF(AND(TRIM(U645)="Pass",AB645="Open"),"INVALID – corrective action still open: use Fail, then Pass after CA","")&amp;IF(AND(TRIM(U645)="Pass after CA",OR(TRIM(AA645)="",AB645&lt;&gt;"Closed")),"INVALID – corrective action not recorded/closed",""),IF(AND(AS645=1,Documents!$J$24&lt;&gt;"ON FILE"),"INVALID – GLD not on file (Documents sheet)",IF(AND(AS645=2,Documents!$O$24&lt;&gt;"ON FILE"),"INVALID – menu checklist not on file (Documents sheet)",IF(AND(AS645=3,NOT(ISNUMBER(Flights!$AX$24))),"INVALID – enter carrying flight KUL departure (Flights AX)",IF(AG645&gt;AsOfUTC,"INVALID – completion time is in the future",IF(AND(ISNUMBER(S645),AG645&lt;S645),IF(H645="Physical uplift","INVALID – before uplift window (cannot confirm loading)","INVALID – before valid window"),IF(AG645&gt;Flights!$AA$24,"INVALID – completed after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f>
        <v>OPEN</v>
      </c>
      <c r="AI645" s="61" t="n">
        <f aca="false">IF(OR(AH645="N/A – RULE",AH645="N/A – JUSTIFIED"),0,1)</f>
        <v>1</v>
      </c>
      <c r="AJ645" s="61" t="n">
        <f aca="false">IF(LEFT(AH645,8)="COMPLETE",1,0)</f>
        <v>0</v>
      </c>
      <c r="AK645" s="61" t="n">
        <f aca="false">IF(AND(AI645=1,AJ645=0,AsOfUTC&gt;Q645),1,0)</f>
        <v>0</v>
      </c>
      <c r="AL645" s="61" t="n">
        <f aca="false">IF(AND(AI645=1,OR(TRIM(U645)="Fail",AB645="Open",AND(ISNUMBER(AF645),AF645&lt;&gt;0,TRIM(U645)&lt;&gt;"Pass after CA"))),1,0)</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row>
    <row r="646" customFormat="false" ht="41.25" hidden="false" customHeight="true" outlineLevel="0" collapsed="false">
      <c r="A646" s="57" t="s">
        <v>1324</v>
      </c>
      <c r="B646" s="57" t="s">
        <v>294</v>
      </c>
      <c r="C646" s="57" t="str">
        <f aca="false">Flights!$F$24</f>
        <v>MH1450</v>
      </c>
      <c r="D646" s="58" t="n">
        <f aca="false">Flights!$D$24</f>
        <v>46324</v>
      </c>
      <c r="E646" s="57" t="str">
        <f aca="false">Flights!$G$24&amp;"-"&amp;Flights!$H$24</f>
        <v>KUL-LGK</v>
      </c>
      <c r="F646" s="57" t="str">
        <f aca="false">Flights!$K$24</f>
        <v>EY</v>
      </c>
      <c r="G646" s="57" t="s">
        <v>74</v>
      </c>
      <c r="H646" s="57" t="s">
        <v>341</v>
      </c>
      <c r="I646" s="57" t="s">
        <v>352</v>
      </c>
      <c r="J646" s="57" t="s">
        <v>353</v>
      </c>
      <c r="K646" s="67" t="s">
        <v>354</v>
      </c>
      <c r="L646" s="67" t="s">
        <v>345</v>
      </c>
      <c r="M646" s="67"/>
      <c r="N646" s="67" t="str">
        <f aca="false">IF(TRIM(Flights!$L$24)="A339","Required","N/A – rule")</f>
        <v>N/A – rule</v>
      </c>
      <c r="O646" s="67" t="s">
        <v>355</v>
      </c>
      <c r="P646" s="57" t="s">
        <v>177</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IF(N646="N/A – rule","N/A – RULE",IF(TRIM(U646)="N/A",IF(AT646=0,"INVALID – N/A not permitted for this mandatory check",IF(AND(TRIM(AC646)&lt;&gt;"",TRIM(AE646)&lt;&gt;"",TRIM(T646)&lt;&gt;""),"N/A – JUSTIFIED","INVALID – N/A needs justification, PIC and verifier")),IF(OR(TRIM(U646)="Pass",TRIM(U646)="Pass after CA"),IF(NOT(ISNUMBER(AD646)),"INVALID – completion time missing",IF(TRIM(T646)="","INVALID – PIC missing",IF(TRIM(Z646)="","INVALID – evidence missing",IF(TRIM(AE646)="","INVALID – verifier missing",IF(AND(AQ646=1,TRIM(W646)=""),"INVALID – batch ID missing",IF(AND(AR646=1,OR(NOT(ISNUMBER(X646)),NOT(ISNUMBER(Y646)))),"INVALID – expected/actual qty missing",IF(IF(AND(TRIM(U646)="Pass",ISNUMBER(AF646)),IF(AF646&lt;&gt;0,"INVALID – qty variance: use Fail or Pass after CA",""),"")&amp;IF(AND(TRIM(U646)="Pass",AB646="Open"),"INVALID – corrective action still open: use Fail, then Pass after CA","")&amp;IF(AND(TRIM(U646)="Pass after CA",OR(TRIM(AA646)="",AB646&lt;&gt;"Closed")),"INVALID – corrective action not recorded/closed","")&lt;&gt;"",IF(AND(TRIM(U646)="Pass",ISNUMBER(AF646)),IF(AF646&lt;&gt;0,"INVALID – qty variance: use Fail or Pass after CA",""),"")&amp;IF(AND(TRIM(U646)="Pass",AB646="Open"),"INVALID – corrective action still open: use Fail, then Pass after CA","")&amp;IF(AND(TRIM(U646)="Pass after CA",OR(TRIM(AA646)="",AB646&lt;&gt;"Closed")),"INVALID – corrective action not recorded/closed",""),IF(AND(AS646=1,Documents!$J$24&lt;&gt;"ON FILE"),"INVALID – GLD not on file (Documents sheet)",IF(AND(AS646=2,Documents!$O$24&lt;&gt;"ON FILE"),"INVALID – menu checklist not on file (Documents sheet)",IF(AND(AS646=3,NOT(ISNUMBER(Flights!$AX$24))),"INVALID – enter carrying flight KUL departure (Flights AX)",IF(AG646&gt;AsOfUTC,"INVALID – completion time is in the future",IF(AND(ISNUMBER(S646),AG646&lt;S646),IF(H646="Physical uplift","INVALID – before uplift window (cannot confirm loading)","INVALID – before valid window"),IF(AG646&gt;Flights!$AA$24,"INVALID – completed after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f>
        <v>N/A – RULE</v>
      </c>
      <c r="AI646" s="61" t="n">
        <f aca="false">IF(OR(AH646="N/A – RULE",AH646="N/A – JUSTIFIED"),0,1)</f>
        <v>0</v>
      </c>
      <c r="AJ646" s="61" t="n">
        <f aca="false">IF(LEFT(AH646,8)="COMPLETE",1,0)</f>
        <v>0</v>
      </c>
      <c r="AK646" s="61" t="n">
        <f aca="false">IF(AND(AI646=1,AJ646=0,AsOfUTC&gt;Q646),1,0)</f>
        <v>0</v>
      </c>
      <c r="AL646" s="61" t="n">
        <f aca="false">IF(AND(AI646=1,OR(TRIM(U646)="Fail",AB646="Open",AND(ISNUMBER(AF646),AF646&lt;&gt;0,TRIM(U646)&lt;&gt;"Pass after CA"))),1,0)</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row>
    <row r="647" customFormat="false" ht="39.75" hidden="false" customHeight="true" outlineLevel="0" collapsed="false">
      <c r="A647" s="57" t="s">
        <v>1325</v>
      </c>
      <c r="B647" s="57" t="s">
        <v>294</v>
      </c>
      <c r="C647" s="57" t="str">
        <f aca="false">Flights!$F$24</f>
        <v>MH1450</v>
      </c>
      <c r="D647" s="58" t="n">
        <f aca="false">Flights!$D$24</f>
        <v>46324</v>
      </c>
      <c r="E647" s="57" t="str">
        <f aca="false">Flights!$G$24&amp;"-"&amp;Flights!$H$24</f>
        <v>KUL-LGK</v>
      </c>
      <c r="F647" s="57" t="str">
        <f aca="false">Flights!$K$24</f>
        <v>EY</v>
      </c>
      <c r="G647" s="57" t="s">
        <v>74</v>
      </c>
      <c r="H647" s="57" t="s">
        <v>341</v>
      </c>
      <c r="I647" s="57" t="s">
        <v>357</v>
      </c>
      <c r="J647" s="57" t="s">
        <v>358</v>
      </c>
      <c r="K647" s="67" t="s">
        <v>359</v>
      </c>
      <c r="L647" s="67" t="s">
        <v>345</v>
      </c>
      <c r="M647" s="67"/>
      <c r="N647" s="67" t="s">
        <v>346</v>
      </c>
      <c r="O647" s="67"/>
      <c r="P647" s="57" t="s">
        <v>177</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IF(N647="N/A – rule","N/A – RULE",IF(TRIM(U647)="N/A",IF(AT647=0,"INVALID – N/A not permitted for this mandatory check",IF(AND(TRIM(AC647)&lt;&gt;"",TRIM(AE647)&lt;&gt;"",TRIM(T647)&lt;&gt;""),"N/A – JUSTIFIED","INVALID – N/A needs justification, PIC and verifier")),IF(OR(TRIM(U647)="Pass",TRIM(U647)="Pass after CA"),IF(NOT(ISNUMBER(AD647)),"INVALID – completion time missing",IF(TRIM(T647)="","INVALID – PIC missing",IF(TRIM(Z647)="","INVALID – evidence missing",IF(TRIM(AE647)="","INVALID – verifier missing",IF(AND(AQ647=1,TRIM(W647)=""),"INVALID – batch ID missing",IF(AND(AR647=1,OR(NOT(ISNUMBER(X647)),NOT(ISNUMBER(Y647)))),"INVALID – expected/actual qty missing",IF(IF(AND(TRIM(U647)="Pass",ISNUMBER(AF647)),IF(AF647&lt;&gt;0,"INVALID – qty variance: use Fail or Pass after CA",""),"")&amp;IF(AND(TRIM(U647)="Pass",AB647="Open"),"INVALID – corrective action still open: use Fail, then Pass after CA","")&amp;IF(AND(TRIM(U647)="Pass after CA",OR(TRIM(AA647)="",AB647&lt;&gt;"Closed")),"INVALID – corrective action not recorded/closed","")&lt;&gt;"",IF(AND(TRIM(U647)="Pass",ISNUMBER(AF647)),IF(AF647&lt;&gt;0,"INVALID – qty variance: use Fail or Pass after CA",""),"")&amp;IF(AND(TRIM(U647)="Pass",AB647="Open"),"INVALID – corrective action still open: use Fail, then Pass after CA","")&amp;IF(AND(TRIM(U647)="Pass after CA",OR(TRIM(AA647)="",AB647&lt;&gt;"Closed")),"INVALID – corrective action not recorded/closed",""),IF(AND(AS647=1,Documents!$J$24&lt;&gt;"ON FILE"),"INVALID – GLD not on file (Documents sheet)",IF(AND(AS647=2,Documents!$O$24&lt;&gt;"ON FILE"),"INVALID – menu checklist not on file (Documents sheet)",IF(AND(AS647=3,NOT(ISNUMBER(Flights!$AX$24))),"INVALID – enter carrying flight KUL departure (Flights AX)",IF(AG647&gt;AsOfUTC,"INVALID – completion time is in the future",IF(AND(ISNUMBER(S647),AG647&lt;S647),IF(H647="Physical uplift","INVALID – before uplift window (cannot confirm loading)","INVALID – before valid window"),IF(AG647&gt;Flights!$AA$24,"INVALID – completed after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f>
        <v>OPEN</v>
      </c>
      <c r="AI647" s="61" t="n">
        <f aca="false">IF(OR(AH647="N/A – RULE",AH647="N/A – JUSTIFIED"),0,1)</f>
        <v>1</v>
      </c>
      <c r="AJ647" s="61" t="n">
        <f aca="false">IF(LEFT(AH647,8)="COMPLETE",1,0)</f>
        <v>0</v>
      </c>
      <c r="AK647" s="61" t="n">
        <f aca="false">IF(AND(AI647=1,AJ647=0,AsOfUTC&gt;Q647),1,0)</f>
        <v>0</v>
      </c>
      <c r="AL647" s="61" t="n">
        <f aca="false">IF(AND(AI647=1,OR(TRIM(U647)="Fail",AB647="Open",AND(ISNUMBER(AF647),AF647&lt;&gt;0,TRIM(U647)&lt;&gt;"Pass after CA"))),1,0)</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row>
    <row r="648" customFormat="false" ht="39.75" hidden="false" customHeight="true" outlineLevel="0" collapsed="false">
      <c r="A648" s="57" t="s">
        <v>1326</v>
      </c>
      <c r="B648" s="57" t="s">
        <v>294</v>
      </c>
      <c r="C648" s="57" t="str">
        <f aca="false">Flights!$F$24</f>
        <v>MH1450</v>
      </c>
      <c r="D648" s="58" t="n">
        <f aca="false">Flights!$D$24</f>
        <v>46324</v>
      </c>
      <c r="E648" s="57" t="str">
        <f aca="false">Flights!$G$24&amp;"-"&amp;Flights!$H$24</f>
        <v>KUL-LGK</v>
      </c>
      <c r="F648" s="57" t="str">
        <f aca="false">Flights!$K$24</f>
        <v>EY</v>
      </c>
      <c r="G648" s="57" t="s">
        <v>74</v>
      </c>
      <c r="H648" s="57" t="s">
        <v>341</v>
      </c>
      <c r="I648" s="57" t="s">
        <v>361</v>
      </c>
      <c r="J648" s="57" t="s">
        <v>362</v>
      </c>
      <c r="K648" s="67" t="s">
        <v>363</v>
      </c>
      <c r="L648" s="67" t="s">
        <v>345</v>
      </c>
      <c r="M648" s="67"/>
      <c r="N648" s="67" t="s">
        <v>346</v>
      </c>
      <c r="O648" s="67"/>
      <c r="P648" s="57" t="s">
        <v>177</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IF(N648="N/A – rule","N/A – RULE",IF(TRIM(U648)="N/A",IF(AT648=0,"INVALID – N/A not permitted for this mandatory check",IF(AND(TRIM(AC648)&lt;&gt;"",TRIM(AE648)&lt;&gt;"",TRIM(T648)&lt;&gt;""),"N/A – JUSTIFIED","INVALID – N/A needs justification, PIC and verifier")),IF(OR(TRIM(U648)="Pass",TRIM(U648)="Pass after CA"),IF(NOT(ISNUMBER(AD648)),"INVALID – completion time missing",IF(TRIM(T648)="","INVALID – PIC missing",IF(TRIM(Z648)="","INVALID – evidence missing",IF(TRIM(AE648)="","INVALID – verifier missing",IF(AND(AQ648=1,TRIM(W648)=""),"INVALID – batch ID missing",IF(AND(AR648=1,OR(NOT(ISNUMBER(X648)),NOT(ISNUMBER(Y648)))),"INVALID – expected/actual qty missing",IF(IF(AND(TRIM(U648)="Pass",ISNUMBER(AF648)),IF(AF648&lt;&gt;0,"INVALID – qty variance: use Fail or Pass after CA",""),"")&amp;IF(AND(TRIM(U648)="Pass",AB648="Open"),"INVALID – corrective action still open: use Fail, then Pass after CA","")&amp;IF(AND(TRIM(U648)="Pass after CA",OR(TRIM(AA648)="",AB648&lt;&gt;"Closed")),"INVALID – corrective action not recorded/closed","")&lt;&gt;"",IF(AND(TRIM(U648)="Pass",ISNUMBER(AF648)),IF(AF648&lt;&gt;0,"INVALID – qty variance: use Fail or Pass after CA",""),"")&amp;IF(AND(TRIM(U648)="Pass",AB648="Open"),"INVALID – corrective action still open: use Fail, then Pass after CA","")&amp;IF(AND(TRIM(U648)="Pass after CA",OR(TRIM(AA648)="",AB648&lt;&gt;"Closed")),"INVALID – corrective action not recorded/closed",""),IF(AND(AS648=1,Documents!$J$24&lt;&gt;"ON FILE"),"INVALID – GLD not on file (Documents sheet)",IF(AND(AS648=2,Documents!$O$24&lt;&gt;"ON FILE"),"INVALID – menu checklist not on file (Documents sheet)",IF(AND(AS648=3,NOT(ISNUMBER(Flights!$AX$24))),"INVALID – enter carrying flight KUL departure (Flights AX)",IF(AG648&gt;AsOfUTC,"INVALID – completion time is in the future",IF(AND(ISNUMBER(S648),AG648&lt;S648),IF(H648="Physical uplift","INVALID – before uplift window (cannot confirm loading)","INVALID – before valid window"),IF(AG648&gt;Flights!$AA$24,"INVALID – completed after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f>
        <v>OPEN</v>
      </c>
      <c r="AI648" s="61" t="n">
        <f aca="false">IF(OR(AH648="N/A – RULE",AH648="N/A – JUSTIFIED"),0,1)</f>
        <v>1</v>
      </c>
      <c r="AJ648" s="61" t="n">
        <f aca="false">IF(LEFT(AH648,8)="COMPLETE",1,0)</f>
        <v>0</v>
      </c>
      <c r="AK648" s="61" t="n">
        <f aca="false">IF(AND(AI648=1,AJ648=0,AsOfUTC&gt;Q648),1,0)</f>
        <v>0</v>
      </c>
      <c r="AL648" s="61" t="n">
        <f aca="false">IF(AND(AI648=1,OR(TRIM(U648)="Fail",AB648="Open",AND(ISNUMBER(AF648),AF648&lt;&gt;0,TRIM(U648)&lt;&gt;"Pass after CA"))),1,0)</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row>
    <row r="649" customFormat="false" ht="39.75" hidden="false" customHeight="true" outlineLevel="0" collapsed="false">
      <c r="A649" s="57" t="s">
        <v>1327</v>
      </c>
      <c r="B649" s="57" t="s">
        <v>294</v>
      </c>
      <c r="C649" s="57" t="str">
        <f aca="false">Flights!$F$24</f>
        <v>MH1450</v>
      </c>
      <c r="D649" s="58" t="n">
        <f aca="false">Flights!$D$24</f>
        <v>46324</v>
      </c>
      <c r="E649" s="57" t="str">
        <f aca="false">Flights!$G$24&amp;"-"&amp;Flights!$H$24</f>
        <v>KUL-LGK</v>
      </c>
      <c r="F649" s="57" t="str">
        <f aca="false">Flights!$K$24</f>
        <v>EY</v>
      </c>
      <c r="G649" s="57" t="s">
        <v>74</v>
      </c>
      <c r="H649" s="57" t="s">
        <v>341</v>
      </c>
      <c r="I649" s="57" t="s">
        <v>361</v>
      </c>
      <c r="J649" s="57" t="s">
        <v>365</v>
      </c>
      <c r="K649" s="67" t="s">
        <v>366</v>
      </c>
      <c r="L649" s="67" t="s">
        <v>345</v>
      </c>
      <c r="M649" s="67"/>
      <c r="N649" s="67" t="s">
        <v>346</v>
      </c>
      <c r="O649" s="67"/>
      <c r="P649" s="57" t="s">
        <v>177</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IF(N649="N/A – rule","N/A – RULE",IF(TRIM(U649)="N/A",IF(AT649=0,"INVALID – N/A not permitted for this mandatory check",IF(AND(TRIM(AC649)&lt;&gt;"",TRIM(AE649)&lt;&gt;"",TRIM(T649)&lt;&gt;""),"N/A – JUSTIFIED","INVALID – N/A needs justification, PIC and verifier")),IF(OR(TRIM(U649)="Pass",TRIM(U649)="Pass after CA"),IF(NOT(ISNUMBER(AD649)),"INVALID – completion time missing",IF(TRIM(T649)="","INVALID – PIC missing",IF(TRIM(Z649)="","INVALID – evidence missing",IF(TRIM(AE649)="","INVALID – verifier missing",IF(AND(AQ649=1,TRIM(W649)=""),"INVALID – batch ID missing",IF(AND(AR649=1,OR(NOT(ISNUMBER(X649)),NOT(ISNUMBER(Y649)))),"INVALID – expected/actual qty missing",IF(IF(AND(TRIM(U649)="Pass",ISNUMBER(AF649)),IF(AF649&lt;&gt;0,"INVALID – qty variance: use Fail or Pass after CA",""),"")&amp;IF(AND(TRIM(U649)="Pass",AB649="Open"),"INVALID – corrective action still open: use Fail, then Pass after CA","")&amp;IF(AND(TRIM(U649)="Pass after CA",OR(TRIM(AA649)="",AB649&lt;&gt;"Closed")),"INVALID – corrective action not recorded/closed","")&lt;&gt;"",IF(AND(TRIM(U649)="Pass",ISNUMBER(AF649)),IF(AF649&lt;&gt;0,"INVALID – qty variance: use Fail or Pass after CA",""),"")&amp;IF(AND(TRIM(U649)="Pass",AB649="Open"),"INVALID – corrective action still open: use Fail, then Pass after CA","")&amp;IF(AND(TRIM(U649)="Pass after CA",OR(TRIM(AA649)="",AB649&lt;&gt;"Closed")),"INVALID – corrective action not recorded/closed",""),IF(AND(AS649=1,Documents!$J$24&lt;&gt;"ON FILE"),"INVALID – GLD not on file (Documents sheet)",IF(AND(AS649=2,Documents!$O$24&lt;&gt;"ON FILE"),"INVALID – menu checklist not on file (Documents sheet)",IF(AND(AS649=3,NOT(ISNUMBER(Flights!$AX$24))),"INVALID – enter carrying flight KUL departure (Flights AX)",IF(AG649&gt;AsOfUTC,"INVALID – completion time is in the future",IF(AND(ISNUMBER(S649),AG649&lt;S649),IF(H649="Physical uplift","INVALID – before uplift window (cannot confirm loading)","INVALID – before valid window"),IF(AG649&gt;Flights!$AA$24,"INVALID – completed after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f>
        <v>OPEN</v>
      </c>
      <c r="AI649" s="61" t="n">
        <f aca="false">IF(OR(AH649="N/A – RULE",AH649="N/A – JUSTIFIED"),0,1)</f>
        <v>1</v>
      </c>
      <c r="AJ649" s="61" t="n">
        <f aca="false">IF(LEFT(AH649,8)="COMPLETE",1,0)</f>
        <v>0</v>
      </c>
      <c r="AK649" s="61" t="n">
        <f aca="false">IF(AND(AI649=1,AJ649=0,AsOfUTC&gt;Q649),1,0)</f>
        <v>0</v>
      </c>
      <c r="AL649" s="61" t="n">
        <f aca="false">IF(AND(AI649=1,OR(TRIM(U649)="Fail",AB649="Open",AND(ISNUMBER(AF649),AF649&lt;&gt;0,TRIM(U649)&lt;&gt;"Pass after CA"))),1,0)</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row>
    <row r="650" customFormat="false" ht="39.75" hidden="false" customHeight="true" outlineLevel="0" collapsed="false">
      <c r="A650" s="57" t="s">
        <v>1328</v>
      </c>
      <c r="B650" s="57" t="s">
        <v>294</v>
      </c>
      <c r="C650" s="57" t="str">
        <f aca="false">Flights!$F$24</f>
        <v>MH1450</v>
      </c>
      <c r="D650" s="58" t="n">
        <f aca="false">Flights!$D$24</f>
        <v>46324</v>
      </c>
      <c r="E650" s="57" t="str">
        <f aca="false">Flights!$G$24&amp;"-"&amp;Flights!$H$24</f>
        <v>KUL-LGK</v>
      </c>
      <c r="F650" s="57" t="str">
        <f aca="false">Flights!$K$24</f>
        <v>EY</v>
      </c>
      <c r="G650" s="57" t="s">
        <v>74</v>
      </c>
      <c r="H650" s="57" t="s">
        <v>341</v>
      </c>
      <c r="I650" s="57" t="s">
        <v>368</v>
      </c>
      <c r="J650" s="57" t="s">
        <v>369</v>
      </c>
      <c r="K650" s="67" t="s">
        <v>370</v>
      </c>
      <c r="L650" s="67" t="s">
        <v>345</v>
      </c>
      <c r="M650" s="67"/>
      <c r="N650" s="67" t="s">
        <v>346</v>
      </c>
      <c r="O650" s="67"/>
      <c r="P650" s="57" t="s">
        <v>177</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IF(N650="N/A – rule","N/A – RULE",IF(TRIM(U650)="N/A",IF(AT650=0,"INVALID – N/A not permitted for this mandatory check",IF(AND(TRIM(AC650)&lt;&gt;"",TRIM(AE650)&lt;&gt;"",TRIM(T650)&lt;&gt;""),"N/A – JUSTIFIED","INVALID – N/A needs justification, PIC and verifier")),IF(OR(TRIM(U650)="Pass",TRIM(U650)="Pass after CA"),IF(NOT(ISNUMBER(AD650)),"INVALID – completion time missing",IF(TRIM(T650)="","INVALID – PIC missing",IF(TRIM(Z650)="","INVALID – evidence missing",IF(TRIM(AE650)="","INVALID – verifier missing",IF(AND(AQ650=1,TRIM(W650)=""),"INVALID – batch ID missing",IF(AND(AR650=1,OR(NOT(ISNUMBER(X650)),NOT(ISNUMBER(Y650)))),"INVALID – expected/actual qty missing",IF(IF(AND(TRIM(U650)="Pass",ISNUMBER(AF650)),IF(AF650&lt;&gt;0,"INVALID – qty variance: use Fail or Pass after CA",""),"")&amp;IF(AND(TRIM(U650)="Pass",AB650="Open"),"INVALID – corrective action still open: use Fail, then Pass after CA","")&amp;IF(AND(TRIM(U650)="Pass after CA",OR(TRIM(AA650)="",AB650&lt;&gt;"Closed")),"INVALID – corrective action not recorded/closed","")&lt;&gt;"",IF(AND(TRIM(U650)="Pass",ISNUMBER(AF650)),IF(AF650&lt;&gt;0,"INVALID – qty variance: use Fail or Pass after CA",""),"")&amp;IF(AND(TRIM(U650)="Pass",AB650="Open"),"INVALID – corrective action still open: use Fail, then Pass after CA","")&amp;IF(AND(TRIM(U650)="Pass after CA",OR(TRIM(AA650)="",AB650&lt;&gt;"Closed")),"INVALID – corrective action not recorded/closed",""),IF(AND(AS650=1,Documents!$J$24&lt;&gt;"ON FILE"),"INVALID – GLD not on file (Documents sheet)",IF(AND(AS650=2,Documents!$O$24&lt;&gt;"ON FILE"),"INVALID – menu checklist not on file (Documents sheet)",IF(AND(AS650=3,NOT(ISNUMBER(Flights!$AX$24))),"INVALID – enter carrying flight KUL departure (Flights AX)",IF(AG650&gt;AsOfUTC,"INVALID – completion time is in the future",IF(AND(ISNUMBER(S650),AG650&lt;S650),IF(H650="Physical uplift","INVALID – before uplift window (cannot confirm loading)","INVALID – before valid window"),IF(AG650&gt;Flights!$AA$24,"INVALID – completed after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f>
        <v>OPEN</v>
      </c>
      <c r="AI650" s="61" t="n">
        <f aca="false">IF(OR(AH650="N/A – RULE",AH650="N/A – JUSTIFIED"),0,1)</f>
        <v>1</v>
      </c>
      <c r="AJ650" s="61" t="n">
        <f aca="false">IF(LEFT(AH650,8)="COMPLETE",1,0)</f>
        <v>0</v>
      </c>
      <c r="AK650" s="61" t="n">
        <f aca="false">IF(AND(AI650=1,AJ650=0,AsOfUTC&gt;Q650),1,0)</f>
        <v>0</v>
      </c>
      <c r="AL650" s="61" t="n">
        <f aca="false">IF(AND(AI650=1,OR(TRIM(U650)="Fail",AB650="Open",AND(ISNUMBER(AF650),AF650&lt;&gt;0,TRIM(U650)&lt;&gt;"Pass after CA"))),1,0)</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row>
    <row r="651" customFormat="false" ht="39.75" hidden="false" customHeight="true" outlineLevel="0" collapsed="false">
      <c r="A651" s="57" t="s">
        <v>1329</v>
      </c>
      <c r="B651" s="57" t="s">
        <v>294</v>
      </c>
      <c r="C651" s="57" t="str">
        <f aca="false">Flights!$F$24</f>
        <v>MH1450</v>
      </c>
      <c r="D651" s="58" t="n">
        <f aca="false">Flights!$D$24</f>
        <v>46324</v>
      </c>
      <c r="E651" s="57" t="str">
        <f aca="false">Flights!$G$24&amp;"-"&amp;Flights!$H$24</f>
        <v>KUL-LGK</v>
      </c>
      <c r="F651" s="57" t="str">
        <f aca="false">Flights!$K$24</f>
        <v>EY</v>
      </c>
      <c r="G651" s="57" t="s">
        <v>74</v>
      </c>
      <c r="H651" s="57" t="s">
        <v>341</v>
      </c>
      <c r="I651" s="57" t="s">
        <v>368</v>
      </c>
      <c r="J651" s="57" t="s">
        <v>372</v>
      </c>
      <c r="K651" s="67" t="s">
        <v>370</v>
      </c>
      <c r="L651" s="67" t="s">
        <v>345</v>
      </c>
      <c r="M651" s="67"/>
      <c r="N651" s="67" t="s">
        <v>346</v>
      </c>
      <c r="O651" s="67"/>
      <c r="P651" s="57" t="s">
        <v>177</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IF(N651="N/A – rule","N/A – RULE",IF(TRIM(U651)="N/A",IF(AT651=0,"INVALID – N/A not permitted for this mandatory check",IF(AND(TRIM(AC651)&lt;&gt;"",TRIM(AE651)&lt;&gt;"",TRIM(T651)&lt;&gt;""),"N/A – JUSTIFIED","INVALID – N/A needs justification, PIC and verifier")),IF(OR(TRIM(U651)="Pass",TRIM(U651)="Pass after CA"),IF(NOT(ISNUMBER(AD651)),"INVALID – completion time missing",IF(TRIM(T651)="","INVALID – PIC missing",IF(TRIM(Z651)="","INVALID – evidence missing",IF(TRIM(AE651)="","INVALID – verifier missing",IF(AND(AQ651=1,TRIM(W651)=""),"INVALID – batch ID missing",IF(AND(AR651=1,OR(NOT(ISNUMBER(X651)),NOT(ISNUMBER(Y651)))),"INVALID – expected/actual qty missing",IF(IF(AND(TRIM(U651)="Pass",ISNUMBER(AF651)),IF(AF651&lt;&gt;0,"INVALID – qty variance: use Fail or Pass after CA",""),"")&amp;IF(AND(TRIM(U651)="Pass",AB651="Open"),"INVALID – corrective action still open: use Fail, then Pass after CA","")&amp;IF(AND(TRIM(U651)="Pass after CA",OR(TRIM(AA651)="",AB651&lt;&gt;"Closed")),"INVALID – corrective action not recorded/closed","")&lt;&gt;"",IF(AND(TRIM(U651)="Pass",ISNUMBER(AF651)),IF(AF651&lt;&gt;0,"INVALID – qty variance: use Fail or Pass after CA",""),"")&amp;IF(AND(TRIM(U651)="Pass",AB651="Open"),"INVALID – corrective action still open: use Fail, then Pass after CA","")&amp;IF(AND(TRIM(U651)="Pass after CA",OR(TRIM(AA651)="",AB651&lt;&gt;"Closed")),"INVALID – corrective action not recorded/closed",""),IF(AND(AS651=1,Documents!$J$24&lt;&gt;"ON FILE"),"INVALID – GLD not on file (Documents sheet)",IF(AND(AS651=2,Documents!$O$24&lt;&gt;"ON FILE"),"INVALID – menu checklist not on file (Documents sheet)",IF(AND(AS651=3,NOT(ISNUMBER(Flights!$AX$24))),"INVALID – enter carrying flight KUL departure (Flights AX)",IF(AG651&gt;AsOfUTC,"INVALID – completion time is in the future",IF(AND(ISNUMBER(S651),AG651&lt;S651),IF(H651="Physical uplift","INVALID – before uplift window (cannot confirm loading)","INVALID – before valid window"),IF(AG651&gt;Flights!$AA$24,"INVALID – completed after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f>
        <v>OPEN</v>
      </c>
      <c r="AI651" s="61" t="n">
        <f aca="false">IF(OR(AH651="N/A – RULE",AH651="N/A – JUSTIFIED"),0,1)</f>
        <v>1</v>
      </c>
      <c r="AJ651" s="61" t="n">
        <f aca="false">IF(LEFT(AH651,8)="COMPLETE",1,0)</f>
        <v>0</v>
      </c>
      <c r="AK651" s="61" t="n">
        <f aca="false">IF(AND(AI651=1,AJ651=0,AsOfUTC&gt;Q651),1,0)</f>
        <v>0</v>
      </c>
      <c r="AL651" s="61" t="n">
        <f aca="false">IF(AND(AI651=1,OR(TRIM(U651)="Fail",AB651="Open",AND(ISNUMBER(AF651),AF651&lt;&gt;0,TRIM(U651)&lt;&gt;"Pass after CA"))),1,0)</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row>
    <row r="652" customFormat="false" ht="39.75" hidden="false" customHeight="true" outlineLevel="0" collapsed="false">
      <c r="A652" s="57" t="s">
        <v>1330</v>
      </c>
      <c r="B652" s="57" t="s">
        <v>294</v>
      </c>
      <c r="C652" s="57" t="str">
        <f aca="false">Flights!$F$24</f>
        <v>MH1450</v>
      </c>
      <c r="D652" s="58" t="n">
        <f aca="false">Flights!$D$24</f>
        <v>46324</v>
      </c>
      <c r="E652" s="57" t="str">
        <f aca="false">Flights!$G$24&amp;"-"&amp;Flights!$H$24</f>
        <v>KUL-LGK</v>
      </c>
      <c r="F652" s="57" t="str">
        <f aca="false">Flights!$K$24</f>
        <v>EY</v>
      </c>
      <c r="G652" s="57" t="s">
        <v>74</v>
      </c>
      <c r="H652" s="57" t="s">
        <v>341</v>
      </c>
      <c r="I652" s="57" t="s">
        <v>374</v>
      </c>
      <c r="J652" s="57" t="s">
        <v>375</v>
      </c>
      <c r="K652" s="67" t="s">
        <v>885</v>
      </c>
      <c r="L652" s="67" t="s">
        <v>1331</v>
      </c>
      <c r="M652" s="67"/>
      <c r="N652" s="67" t="s">
        <v>346</v>
      </c>
      <c r="O652" s="67"/>
      <c r="P652" s="57" t="s">
        <v>177</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IF(N652="N/A – rule","N/A – RULE",IF(TRIM(U652)="N/A",IF(AT652=0,"INVALID – N/A not permitted for this mandatory check",IF(AND(TRIM(AC652)&lt;&gt;"",TRIM(AE652)&lt;&gt;"",TRIM(T652)&lt;&gt;""),"N/A – JUSTIFIED","INVALID – N/A needs justification, PIC and verifier")),IF(OR(TRIM(U652)="Pass",TRIM(U652)="Pass after CA"),IF(NOT(ISNUMBER(AD652)),"INVALID – completion time missing",IF(TRIM(T652)="","INVALID – PIC missing",IF(TRIM(Z652)="","INVALID – evidence missing",IF(TRIM(AE652)="","INVALID – verifier missing",IF(AND(AQ652=1,TRIM(W652)=""),"INVALID – batch ID missing",IF(AND(AR652=1,OR(NOT(ISNUMBER(X652)),NOT(ISNUMBER(Y652)))),"INVALID – expected/actual qty missing",IF(IF(AND(TRIM(U652)="Pass",ISNUMBER(AF652)),IF(AF652&lt;&gt;0,"INVALID – qty variance: use Fail or Pass after CA",""),"")&amp;IF(AND(TRIM(U652)="Pass",AB652="Open"),"INVALID – corrective action still open: use Fail, then Pass after CA","")&amp;IF(AND(TRIM(U652)="Pass after CA",OR(TRIM(AA652)="",AB652&lt;&gt;"Closed")),"INVALID – corrective action not recorded/closed","")&lt;&gt;"",IF(AND(TRIM(U652)="Pass",ISNUMBER(AF652)),IF(AF652&lt;&gt;0,"INVALID – qty variance: use Fail or Pass after CA",""),"")&amp;IF(AND(TRIM(U652)="Pass",AB652="Open"),"INVALID – corrective action still open: use Fail, then Pass after CA","")&amp;IF(AND(TRIM(U652)="Pass after CA",OR(TRIM(AA652)="",AB652&lt;&gt;"Closed")),"INVALID – corrective action not recorded/closed",""),IF(AND(AS652=1,Documents!$J$24&lt;&gt;"ON FILE"),"INVALID – GLD not on file (Documents sheet)",IF(AND(AS652=2,Documents!$O$24&lt;&gt;"ON FILE"),"INVALID – menu checklist not on file (Documents sheet)",IF(AND(AS652=3,NOT(ISNUMBER(Flights!$AX$24))),"INVALID – enter carrying flight KUL departure (Flights AX)",IF(AG652&gt;AsOfUTC,"INVALID – completion time is in the future",IF(AND(ISNUMBER(S652),AG652&lt;S652),IF(H652="Physical uplift","INVALID – before uplift window (cannot confirm loading)","INVALID – before valid window"),IF(AG652&gt;Flights!$AA$24,"INVALID – completed after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f>
        <v>OPEN</v>
      </c>
      <c r="AI652" s="61" t="n">
        <f aca="false">IF(OR(AH652="N/A – RULE",AH652="N/A – JUSTIFIED"),0,1)</f>
        <v>1</v>
      </c>
      <c r="AJ652" s="61" t="n">
        <f aca="false">IF(LEFT(AH652,8)="COMPLETE",1,0)</f>
        <v>0</v>
      </c>
      <c r="AK652" s="61" t="n">
        <f aca="false">IF(AND(AI652=1,AJ652=0,AsOfUTC&gt;Q652),1,0)</f>
        <v>0</v>
      </c>
      <c r="AL652" s="61" t="n">
        <f aca="false">IF(AND(AI652=1,OR(TRIM(U652)="Fail",AB652="Open",AND(ISNUMBER(AF652),AF652&lt;&gt;0,TRIM(U652)&lt;&gt;"Pass after CA"))),1,0)</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row>
    <row r="653" customFormat="false" ht="39.75" hidden="false" customHeight="true" outlineLevel="0" collapsed="false">
      <c r="A653" s="57" t="s">
        <v>1332</v>
      </c>
      <c r="B653" s="57" t="s">
        <v>294</v>
      </c>
      <c r="C653" s="57" t="str">
        <f aca="false">Flights!$F$24</f>
        <v>MH1450</v>
      </c>
      <c r="D653" s="58" t="n">
        <f aca="false">Flights!$D$24</f>
        <v>46324</v>
      </c>
      <c r="E653" s="57" t="str">
        <f aca="false">Flights!$G$24&amp;"-"&amp;Flights!$H$24</f>
        <v>KUL-LGK</v>
      </c>
      <c r="F653" s="57" t="str">
        <f aca="false">Flights!$K$24</f>
        <v>EY</v>
      </c>
      <c r="G653" s="57" t="s">
        <v>76</v>
      </c>
      <c r="H653" s="57" t="s">
        <v>341</v>
      </c>
      <c r="I653" s="57" t="s">
        <v>342</v>
      </c>
      <c r="J653" s="57" t="s">
        <v>379</v>
      </c>
      <c r="K653" s="67" t="s">
        <v>380</v>
      </c>
      <c r="L653" s="67" t="s">
        <v>381</v>
      </c>
      <c r="M653" s="67"/>
      <c r="N653" s="67" t="s">
        <v>346</v>
      </c>
      <c r="O653" s="67"/>
      <c r="P653" s="57" t="s">
        <v>177</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IF(N653="N/A – rule","N/A – RULE",IF(TRIM(U653)="N/A",IF(AT653=0,"INVALID – N/A not permitted for this mandatory check",IF(AND(TRIM(AC653)&lt;&gt;"",TRIM(AE653)&lt;&gt;"",TRIM(T653)&lt;&gt;""),"N/A – JUSTIFIED","INVALID – N/A needs justification, PIC and verifier")),IF(OR(TRIM(U653)="Pass",TRIM(U653)="Pass after CA"),IF(NOT(ISNUMBER(AD653)),"INVALID – completion time missing",IF(TRIM(T653)="","INVALID – PIC missing",IF(TRIM(Z653)="","INVALID – evidence missing",IF(TRIM(AE653)="","INVALID – verifier missing",IF(AND(AQ653=1,TRIM(W653)=""),"INVALID – batch ID missing",IF(AND(AR653=1,OR(NOT(ISNUMBER(X653)),NOT(ISNUMBER(Y653)))),"INVALID – expected/actual qty missing",IF(IF(AND(TRIM(U653)="Pass",ISNUMBER(AF653)),IF(AF653&lt;&gt;0,"INVALID – qty variance: use Fail or Pass after CA",""),"")&amp;IF(AND(TRIM(U653)="Pass",AB653="Open"),"INVALID – corrective action still open: use Fail, then Pass after CA","")&amp;IF(AND(TRIM(U653)="Pass after CA",OR(TRIM(AA653)="",AB653&lt;&gt;"Closed")),"INVALID – corrective action not recorded/closed","")&lt;&gt;"",IF(AND(TRIM(U653)="Pass",ISNUMBER(AF653)),IF(AF653&lt;&gt;0,"INVALID – qty variance: use Fail or Pass after CA",""),"")&amp;IF(AND(TRIM(U653)="Pass",AB653="Open"),"INVALID – corrective action still open: use Fail, then Pass after CA","")&amp;IF(AND(TRIM(U653)="Pass after CA",OR(TRIM(AA653)="",AB653&lt;&gt;"Closed")),"INVALID – corrective action not recorded/closed",""),IF(AND(AS653=1,Documents!$J$24&lt;&gt;"ON FILE"),"INVALID – GLD not on file (Documents sheet)",IF(AND(AS653=2,Documents!$O$24&lt;&gt;"ON FILE"),"INVALID – menu checklist not on file (Documents sheet)",IF(AND(AS653=3,NOT(ISNUMBER(Flights!$AX$24))),"INVALID – enter carrying flight KUL departure (Flights AX)",IF(AG653&gt;AsOfUTC,"INVALID – completion time is in the future",IF(AND(ISNUMBER(S653),AG653&lt;S653),IF(H653="Physical uplift","INVALID – before uplift window (cannot confirm loading)","INVALID – before valid window"),IF(AG653&gt;Flights!$AA$24,"INVALID – completed after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f>
        <v>OPEN</v>
      </c>
      <c r="AI653" s="61" t="n">
        <f aca="false">IF(OR(AH653="N/A – RULE",AH653="N/A – JUSTIFIED"),0,1)</f>
        <v>1</v>
      </c>
      <c r="AJ653" s="61" t="n">
        <f aca="false">IF(LEFT(AH653,8)="COMPLETE",1,0)</f>
        <v>0</v>
      </c>
      <c r="AK653" s="61" t="n">
        <f aca="false">IF(AND(AI653=1,AJ653=0,AsOfUTC&gt;Q653),1,0)</f>
        <v>0</v>
      </c>
      <c r="AL653" s="61" t="n">
        <f aca="false">IF(AND(AI653=1,OR(TRIM(U653)="Fail",AB653="Open",AND(ISNUMBER(AF653),AF653&lt;&gt;0,TRIM(U653)&lt;&gt;"Pass after CA"))),1,0)</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row>
    <row r="654" customFormat="false" ht="39.75" hidden="false" customHeight="true" outlineLevel="0" collapsed="false">
      <c r="A654" s="57" t="s">
        <v>1333</v>
      </c>
      <c r="B654" s="57" t="s">
        <v>294</v>
      </c>
      <c r="C654" s="57" t="str">
        <f aca="false">Flights!$F$24</f>
        <v>MH1450</v>
      </c>
      <c r="D654" s="58" t="n">
        <f aca="false">Flights!$D$24</f>
        <v>46324</v>
      </c>
      <c r="E654" s="57" t="str">
        <f aca="false">Flights!$G$24&amp;"-"&amp;Flights!$H$24</f>
        <v>KUL-LGK</v>
      </c>
      <c r="F654" s="57" t="str">
        <f aca="false">Flights!$K$24</f>
        <v>EY</v>
      </c>
      <c r="G654" s="57" t="s">
        <v>383</v>
      </c>
      <c r="H654" s="57" t="s">
        <v>341</v>
      </c>
      <c r="I654" s="57" t="s">
        <v>342</v>
      </c>
      <c r="J654" s="57" t="s">
        <v>384</v>
      </c>
      <c r="K654" s="67"/>
      <c r="L654" s="67" t="s">
        <v>385</v>
      </c>
      <c r="M654" s="67"/>
      <c r="N654" s="67" t="s">
        <v>346</v>
      </c>
      <c r="O654" s="67" t="s">
        <v>386</v>
      </c>
      <c r="P654" s="57" t="s">
        <v>177</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IF(N654="N/A – rule","N/A – RULE",IF(TRIM(U654)="N/A",IF(AT654=0,"INVALID – N/A not permitted for this mandatory check",IF(AND(TRIM(AC654)&lt;&gt;"",TRIM(AE654)&lt;&gt;"",TRIM(T654)&lt;&gt;""),"N/A – JUSTIFIED","INVALID – N/A needs justification, PIC and verifier")),IF(OR(TRIM(U654)="Pass",TRIM(U654)="Pass after CA"),IF(NOT(ISNUMBER(AD654)),"INVALID – completion time missing",IF(TRIM(T654)="","INVALID – PIC missing",IF(TRIM(Z654)="","INVALID – evidence missing",IF(TRIM(AE654)="","INVALID – verifier missing",IF(AND(AQ654=1,TRIM(W654)=""),"INVALID – batch ID missing",IF(AND(AR654=1,OR(NOT(ISNUMBER(X654)),NOT(ISNUMBER(Y654)))),"INVALID – expected/actual qty missing",IF(IF(AND(TRIM(U654)="Pass",ISNUMBER(AF654)),IF(AF654&lt;&gt;0,"INVALID – qty variance: use Fail or Pass after CA",""),"")&amp;IF(AND(TRIM(U654)="Pass",AB654="Open"),"INVALID – corrective action still open: use Fail, then Pass after CA","")&amp;IF(AND(TRIM(U654)="Pass after CA",OR(TRIM(AA654)="",AB654&lt;&gt;"Closed")),"INVALID – corrective action not recorded/closed","")&lt;&gt;"",IF(AND(TRIM(U654)="Pass",ISNUMBER(AF654)),IF(AF654&lt;&gt;0,"INVALID – qty variance: use Fail or Pass after CA",""),"")&amp;IF(AND(TRIM(U654)="Pass",AB654="Open"),"INVALID – corrective action still open: use Fail, then Pass after CA","")&amp;IF(AND(TRIM(U654)="Pass after CA",OR(TRIM(AA654)="",AB654&lt;&gt;"Closed")),"INVALID – corrective action not recorded/closed",""),IF(AND(AS654=1,Documents!$J$24&lt;&gt;"ON FILE"),"INVALID – GLD not on file (Documents sheet)",IF(AND(AS654=2,Documents!$O$24&lt;&gt;"ON FILE"),"INVALID – menu checklist not on file (Documents sheet)",IF(AND(AS654=3,NOT(ISNUMBER(Flights!$AX$24))),"INVALID – enter carrying flight KUL departure (Flights AX)",IF(AG654&gt;AsOfUTC,"INVALID – completion time is in the future",IF(AND(ISNUMBER(S654),AG654&lt;S654),IF(H654="Physical uplift","INVALID – before uplift window (cannot confirm loading)","INVALID – before valid window"),IF(AG654&gt;Flights!$AA$24,"INVALID – completed after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f>
        <v>OPEN</v>
      </c>
      <c r="AI654" s="61" t="n">
        <f aca="false">IF(OR(AH654="N/A – RULE",AH654="N/A – JUSTIFIED"),0,1)</f>
        <v>1</v>
      </c>
      <c r="AJ654" s="61" t="n">
        <f aca="false">IF(LEFT(AH654,8)="COMPLETE",1,0)</f>
        <v>0</v>
      </c>
      <c r="AK654" s="61" t="n">
        <f aca="false">IF(AND(AI654=1,AJ654=0,AsOfUTC&gt;Q654),1,0)</f>
        <v>0</v>
      </c>
      <c r="AL654" s="61" t="n">
        <f aca="false">IF(AND(AI654=1,OR(TRIM(U654)="Fail",AB654="Open",AND(ISNUMBER(AF654),AF654&lt;&gt;0,TRIM(U654)&lt;&gt;"Pass after CA"))),1,0)</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row>
    <row r="655" customFormat="false" ht="39.75" hidden="false" customHeight="true" outlineLevel="0" collapsed="false">
      <c r="A655" s="57" t="s">
        <v>1334</v>
      </c>
      <c r="B655" s="57" t="s">
        <v>294</v>
      </c>
      <c r="C655" s="57" t="str">
        <f aca="false">Flights!$F$24</f>
        <v>MH1450</v>
      </c>
      <c r="D655" s="58" t="n">
        <f aca="false">Flights!$D$24</f>
        <v>46324</v>
      </c>
      <c r="E655" s="57" t="str">
        <f aca="false">Flights!$G$24&amp;"-"&amp;Flights!$H$24</f>
        <v>KUL-LGK</v>
      </c>
      <c r="F655" s="57" t="str">
        <f aca="false">Flights!$K$24</f>
        <v>EY</v>
      </c>
      <c r="G655" s="57" t="s">
        <v>383</v>
      </c>
      <c r="H655" s="57" t="s">
        <v>341</v>
      </c>
      <c r="I655" s="57" t="s">
        <v>342</v>
      </c>
      <c r="J655" s="57" t="s">
        <v>388</v>
      </c>
      <c r="K655" s="67" t="s">
        <v>389</v>
      </c>
      <c r="L655" s="67" t="s">
        <v>385</v>
      </c>
      <c r="M655" s="67"/>
      <c r="N655" s="67" t="s">
        <v>346</v>
      </c>
      <c r="O655" s="67" t="s">
        <v>386</v>
      </c>
      <c r="P655" s="57" t="s">
        <v>177</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IF(N655="N/A – rule","N/A – RULE",IF(TRIM(U655)="N/A",IF(AT655=0,"INVALID – N/A not permitted for this mandatory check",IF(AND(TRIM(AC655)&lt;&gt;"",TRIM(AE655)&lt;&gt;"",TRIM(T655)&lt;&gt;""),"N/A – JUSTIFIED","INVALID – N/A needs justification, PIC and verifier")),IF(OR(TRIM(U655)="Pass",TRIM(U655)="Pass after CA"),IF(NOT(ISNUMBER(AD655)),"INVALID – completion time missing",IF(TRIM(T655)="","INVALID – PIC missing",IF(TRIM(Z655)="","INVALID – evidence missing",IF(TRIM(AE655)="","INVALID – verifier missing",IF(AND(AQ655=1,TRIM(W655)=""),"INVALID – batch ID missing",IF(AND(AR655=1,OR(NOT(ISNUMBER(X655)),NOT(ISNUMBER(Y655)))),"INVALID – expected/actual qty missing",IF(IF(AND(TRIM(U655)="Pass",ISNUMBER(AF655)),IF(AF655&lt;&gt;0,"INVALID – qty variance: use Fail or Pass after CA",""),"")&amp;IF(AND(TRIM(U655)="Pass",AB655="Open"),"INVALID – corrective action still open: use Fail, then Pass after CA","")&amp;IF(AND(TRIM(U655)="Pass after CA",OR(TRIM(AA655)="",AB655&lt;&gt;"Closed")),"INVALID – corrective action not recorded/closed","")&lt;&gt;"",IF(AND(TRIM(U655)="Pass",ISNUMBER(AF655)),IF(AF655&lt;&gt;0,"INVALID – qty variance: use Fail or Pass after CA",""),"")&amp;IF(AND(TRIM(U655)="Pass",AB655="Open"),"INVALID – corrective action still open: use Fail, then Pass after CA","")&amp;IF(AND(TRIM(U655)="Pass after CA",OR(TRIM(AA655)="",AB655&lt;&gt;"Closed")),"INVALID – corrective action not recorded/closed",""),IF(AND(AS655=1,Documents!$J$24&lt;&gt;"ON FILE"),"INVALID – GLD not on file (Documents sheet)",IF(AND(AS655=2,Documents!$O$24&lt;&gt;"ON FILE"),"INVALID – menu checklist not on file (Documents sheet)",IF(AND(AS655=3,NOT(ISNUMBER(Flights!$AX$24))),"INVALID – enter carrying flight KUL departure (Flights AX)",IF(AG655&gt;AsOfUTC,"INVALID – completion time is in the future",IF(AND(ISNUMBER(S655),AG655&lt;S655),IF(H655="Physical uplift","INVALID – before uplift window (cannot confirm loading)","INVALID – before valid window"),IF(AG655&gt;Flights!$AA$24,"INVALID – completed after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f>
        <v>OPEN</v>
      </c>
      <c r="AI655" s="61" t="n">
        <f aca="false">IF(OR(AH655="N/A – RULE",AH655="N/A – JUSTIFIED"),0,1)</f>
        <v>1</v>
      </c>
      <c r="AJ655" s="61" t="n">
        <f aca="false">IF(LEFT(AH655,8)="COMPLETE",1,0)</f>
        <v>0</v>
      </c>
      <c r="AK655" s="61" t="n">
        <f aca="false">IF(AND(AI655=1,AJ655=0,AsOfUTC&gt;Q655),1,0)</f>
        <v>0</v>
      </c>
      <c r="AL655" s="61" t="n">
        <f aca="false">IF(AND(AI655=1,OR(TRIM(U655)="Fail",AB655="Open",AND(ISNUMBER(AF655),AF655&lt;&gt;0,TRIM(U655)&lt;&gt;"Pass after CA"))),1,0)</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row>
    <row r="656" customFormat="false" ht="39.75" hidden="false" customHeight="true" outlineLevel="0" collapsed="false">
      <c r="A656" s="57" t="s">
        <v>1335</v>
      </c>
      <c r="B656" s="57" t="s">
        <v>294</v>
      </c>
      <c r="C656" s="57" t="str">
        <f aca="false">Flights!$F$24</f>
        <v>MH1450</v>
      </c>
      <c r="D656" s="58" t="n">
        <f aca="false">Flights!$D$24</f>
        <v>46324</v>
      </c>
      <c r="E656" s="57" t="str">
        <f aca="false">Flights!$G$24&amp;"-"&amp;Flights!$H$24</f>
        <v>KUL-LGK</v>
      </c>
      <c r="F656" s="57" t="str">
        <f aca="false">Flights!$K$24</f>
        <v>EY</v>
      </c>
      <c r="G656" s="57" t="s">
        <v>383</v>
      </c>
      <c r="H656" s="57" t="s">
        <v>341</v>
      </c>
      <c r="I656" s="57" t="s">
        <v>391</v>
      </c>
      <c r="J656" s="57" t="s">
        <v>392</v>
      </c>
      <c r="K656" s="67"/>
      <c r="L656" s="67" t="s">
        <v>385</v>
      </c>
      <c r="M656" s="67"/>
      <c r="N656" s="67" t="s">
        <v>346</v>
      </c>
      <c r="O656" s="67" t="s">
        <v>386</v>
      </c>
      <c r="P656" s="57" t="s">
        <v>177</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IF(N656="N/A – rule","N/A – RULE",IF(TRIM(U656)="N/A",IF(AT656=0,"INVALID – N/A not permitted for this mandatory check",IF(AND(TRIM(AC656)&lt;&gt;"",TRIM(AE656)&lt;&gt;"",TRIM(T656)&lt;&gt;""),"N/A – JUSTIFIED","INVALID – N/A needs justification, PIC and verifier")),IF(OR(TRIM(U656)="Pass",TRIM(U656)="Pass after CA"),IF(NOT(ISNUMBER(AD656)),"INVALID – completion time missing",IF(TRIM(T656)="","INVALID – PIC missing",IF(TRIM(Z656)="","INVALID – evidence missing",IF(TRIM(AE656)="","INVALID – verifier missing",IF(AND(AQ656=1,TRIM(W656)=""),"INVALID – batch ID missing",IF(AND(AR656=1,OR(NOT(ISNUMBER(X656)),NOT(ISNUMBER(Y656)))),"INVALID – expected/actual qty missing",IF(IF(AND(TRIM(U656)="Pass",ISNUMBER(AF656)),IF(AF656&lt;&gt;0,"INVALID – qty variance: use Fail or Pass after CA",""),"")&amp;IF(AND(TRIM(U656)="Pass",AB656="Open"),"INVALID – corrective action still open: use Fail, then Pass after CA","")&amp;IF(AND(TRIM(U656)="Pass after CA",OR(TRIM(AA656)="",AB656&lt;&gt;"Closed")),"INVALID – corrective action not recorded/closed","")&lt;&gt;"",IF(AND(TRIM(U656)="Pass",ISNUMBER(AF656)),IF(AF656&lt;&gt;0,"INVALID – qty variance: use Fail or Pass after CA",""),"")&amp;IF(AND(TRIM(U656)="Pass",AB656="Open"),"INVALID – corrective action still open: use Fail, then Pass after CA","")&amp;IF(AND(TRIM(U656)="Pass after CA",OR(TRIM(AA656)="",AB656&lt;&gt;"Closed")),"INVALID – corrective action not recorded/closed",""),IF(AND(AS656=1,Documents!$J$24&lt;&gt;"ON FILE"),"INVALID – GLD not on file (Documents sheet)",IF(AND(AS656=2,Documents!$O$24&lt;&gt;"ON FILE"),"INVALID – menu checklist not on file (Documents sheet)",IF(AND(AS656=3,NOT(ISNUMBER(Flights!$AX$24))),"INVALID – enter carrying flight KUL departure (Flights AX)",IF(AG656&gt;AsOfUTC,"INVALID – completion time is in the future",IF(AND(ISNUMBER(S656),AG656&lt;S656),IF(H656="Physical uplift","INVALID – before uplift window (cannot confirm loading)","INVALID – before valid window"),IF(AG656&gt;Flights!$AA$24,"INVALID – completed after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f>
        <v>OPEN</v>
      </c>
      <c r="AI656" s="61" t="n">
        <f aca="false">IF(OR(AH656="N/A – RULE",AH656="N/A – JUSTIFIED"),0,1)</f>
        <v>1</v>
      </c>
      <c r="AJ656" s="61" t="n">
        <f aca="false">IF(LEFT(AH656,8)="COMPLETE",1,0)</f>
        <v>0</v>
      </c>
      <c r="AK656" s="61" t="n">
        <f aca="false">IF(AND(AI656=1,AJ656=0,AsOfUTC&gt;Q656),1,0)</f>
        <v>0</v>
      </c>
      <c r="AL656" s="61" t="n">
        <f aca="false">IF(AND(AI656=1,OR(TRIM(U656)="Fail",AB656="Open",AND(ISNUMBER(AF656),AF656&lt;&gt;0,TRIM(U656)&lt;&gt;"Pass after CA"))),1,0)</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row>
    <row r="657" customFormat="false" ht="39.75" hidden="false" customHeight="true" outlineLevel="0" collapsed="false">
      <c r="A657" s="57" t="s">
        <v>1336</v>
      </c>
      <c r="B657" s="57" t="s">
        <v>294</v>
      </c>
      <c r="C657" s="57" t="str">
        <f aca="false">Flights!$F$24</f>
        <v>MH1450</v>
      </c>
      <c r="D657" s="58" t="n">
        <f aca="false">Flights!$D$24</f>
        <v>46324</v>
      </c>
      <c r="E657" s="57" t="str">
        <f aca="false">Flights!$G$24&amp;"-"&amp;Flights!$H$24</f>
        <v>KUL-LGK</v>
      </c>
      <c r="F657" s="57" t="str">
        <f aca="false">Flights!$K$24</f>
        <v>EY</v>
      </c>
      <c r="G657" s="57" t="s">
        <v>383</v>
      </c>
      <c r="H657" s="57" t="s">
        <v>341</v>
      </c>
      <c r="I657" s="57" t="s">
        <v>391</v>
      </c>
      <c r="J657" s="57" t="s">
        <v>394</v>
      </c>
      <c r="K657" s="67"/>
      <c r="L657" s="67" t="s">
        <v>385</v>
      </c>
      <c r="M657" s="67"/>
      <c r="N657" s="67" t="s">
        <v>346</v>
      </c>
      <c r="O657" s="67" t="s">
        <v>386</v>
      </c>
      <c r="P657" s="57" t="s">
        <v>177</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IF(N657="N/A – rule","N/A – RULE",IF(TRIM(U657)="N/A",IF(AT657=0,"INVALID – N/A not permitted for this mandatory check",IF(AND(TRIM(AC657)&lt;&gt;"",TRIM(AE657)&lt;&gt;"",TRIM(T657)&lt;&gt;""),"N/A – JUSTIFIED","INVALID – N/A needs justification, PIC and verifier")),IF(OR(TRIM(U657)="Pass",TRIM(U657)="Pass after CA"),IF(NOT(ISNUMBER(AD657)),"INVALID – completion time missing",IF(TRIM(T657)="","INVALID – PIC missing",IF(TRIM(Z657)="","INVALID – evidence missing",IF(TRIM(AE657)="","INVALID – verifier missing",IF(AND(AQ657=1,TRIM(W657)=""),"INVALID – batch ID missing",IF(AND(AR657=1,OR(NOT(ISNUMBER(X657)),NOT(ISNUMBER(Y657)))),"INVALID – expected/actual qty missing",IF(IF(AND(TRIM(U657)="Pass",ISNUMBER(AF657)),IF(AF657&lt;&gt;0,"INVALID – qty variance: use Fail or Pass after CA",""),"")&amp;IF(AND(TRIM(U657)="Pass",AB657="Open"),"INVALID – corrective action still open: use Fail, then Pass after CA","")&amp;IF(AND(TRIM(U657)="Pass after CA",OR(TRIM(AA657)="",AB657&lt;&gt;"Closed")),"INVALID – corrective action not recorded/closed","")&lt;&gt;"",IF(AND(TRIM(U657)="Pass",ISNUMBER(AF657)),IF(AF657&lt;&gt;0,"INVALID – qty variance: use Fail or Pass after CA",""),"")&amp;IF(AND(TRIM(U657)="Pass",AB657="Open"),"INVALID – corrective action still open: use Fail, then Pass after CA","")&amp;IF(AND(TRIM(U657)="Pass after CA",OR(TRIM(AA657)="",AB657&lt;&gt;"Closed")),"INVALID – corrective action not recorded/closed",""),IF(AND(AS657=1,Documents!$J$24&lt;&gt;"ON FILE"),"INVALID – GLD not on file (Documents sheet)",IF(AND(AS657=2,Documents!$O$24&lt;&gt;"ON FILE"),"INVALID – menu checklist not on file (Documents sheet)",IF(AND(AS657=3,NOT(ISNUMBER(Flights!$AX$24))),"INVALID – enter carrying flight KUL departure (Flights AX)",IF(AG657&gt;AsOfUTC,"INVALID – completion time is in the future",IF(AND(ISNUMBER(S657),AG657&lt;S657),IF(H657="Physical uplift","INVALID – before uplift window (cannot confirm loading)","INVALID – before valid window"),IF(AG657&gt;Flights!$AA$24,"INVALID – completed after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f>
        <v>OPEN</v>
      </c>
      <c r="AI657" s="61" t="n">
        <f aca="false">IF(OR(AH657="N/A – RULE",AH657="N/A – JUSTIFIED"),0,1)</f>
        <v>1</v>
      </c>
      <c r="AJ657" s="61" t="n">
        <f aca="false">IF(LEFT(AH657,8)="COMPLETE",1,0)</f>
        <v>0</v>
      </c>
      <c r="AK657" s="61" t="n">
        <f aca="false">IF(AND(AI657=1,AJ657=0,AsOfUTC&gt;Q657),1,0)</f>
        <v>0</v>
      </c>
      <c r="AL657" s="61" t="n">
        <f aca="false">IF(AND(AI657=1,OR(TRIM(U657)="Fail",AB657="Open",AND(ISNUMBER(AF657),AF657&lt;&gt;0,TRIM(U657)&lt;&gt;"Pass after CA"))),1,0)</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row>
    <row r="658" customFormat="false" ht="39.75" hidden="false" customHeight="true" outlineLevel="0" collapsed="false">
      <c r="A658" s="57" t="s">
        <v>1337</v>
      </c>
      <c r="B658" s="57" t="s">
        <v>294</v>
      </c>
      <c r="C658" s="57" t="str">
        <f aca="false">Flights!$F$24</f>
        <v>MH1450</v>
      </c>
      <c r="D658" s="58" t="n">
        <f aca="false">Flights!$D$24</f>
        <v>46324</v>
      </c>
      <c r="E658" s="57" t="str">
        <f aca="false">Flights!$G$24&amp;"-"&amp;Flights!$H$24</f>
        <v>KUL-LGK</v>
      </c>
      <c r="F658" s="57" t="str">
        <f aca="false">Flights!$K$24</f>
        <v>EY</v>
      </c>
      <c r="G658" s="57" t="s">
        <v>383</v>
      </c>
      <c r="H658" s="57" t="s">
        <v>341</v>
      </c>
      <c r="I658" s="57" t="s">
        <v>391</v>
      </c>
      <c r="J658" s="57" t="s">
        <v>396</v>
      </c>
      <c r="K658" s="67"/>
      <c r="L658" s="67" t="s">
        <v>385</v>
      </c>
      <c r="M658" s="67"/>
      <c r="N658" s="67" t="s">
        <v>346</v>
      </c>
      <c r="O658" s="67" t="s">
        <v>386</v>
      </c>
      <c r="P658" s="57" t="s">
        <v>177</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IF(N658="N/A – rule","N/A – RULE",IF(TRIM(U658)="N/A",IF(AT658=0,"INVALID – N/A not permitted for this mandatory check",IF(AND(TRIM(AC658)&lt;&gt;"",TRIM(AE658)&lt;&gt;"",TRIM(T658)&lt;&gt;""),"N/A – JUSTIFIED","INVALID – N/A needs justification, PIC and verifier")),IF(OR(TRIM(U658)="Pass",TRIM(U658)="Pass after CA"),IF(NOT(ISNUMBER(AD658)),"INVALID – completion time missing",IF(TRIM(T658)="","INVALID – PIC missing",IF(TRIM(Z658)="","INVALID – evidence missing",IF(TRIM(AE658)="","INVALID – verifier missing",IF(AND(AQ658=1,TRIM(W658)=""),"INVALID – batch ID missing",IF(AND(AR658=1,OR(NOT(ISNUMBER(X658)),NOT(ISNUMBER(Y658)))),"INVALID – expected/actual qty missing",IF(IF(AND(TRIM(U658)="Pass",ISNUMBER(AF658)),IF(AF658&lt;&gt;0,"INVALID – qty variance: use Fail or Pass after CA",""),"")&amp;IF(AND(TRIM(U658)="Pass",AB658="Open"),"INVALID – corrective action still open: use Fail, then Pass after CA","")&amp;IF(AND(TRIM(U658)="Pass after CA",OR(TRIM(AA658)="",AB658&lt;&gt;"Closed")),"INVALID – corrective action not recorded/closed","")&lt;&gt;"",IF(AND(TRIM(U658)="Pass",ISNUMBER(AF658)),IF(AF658&lt;&gt;0,"INVALID – qty variance: use Fail or Pass after CA",""),"")&amp;IF(AND(TRIM(U658)="Pass",AB658="Open"),"INVALID – corrective action still open: use Fail, then Pass after CA","")&amp;IF(AND(TRIM(U658)="Pass after CA",OR(TRIM(AA658)="",AB658&lt;&gt;"Closed")),"INVALID – corrective action not recorded/closed",""),IF(AND(AS658=1,Documents!$J$24&lt;&gt;"ON FILE"),"INVALID – GLD not on file (Documents sheet)",IF(AND(AS658=2,Documents!$O$24&lt;&gt;"ON FILE"),"INVALID – menu checklist not on file (Documents sheet)",IF(AND(AS658=3,NOT(ISNUMBER(Flights!$AX$24))),"INVALID – enter carrying flight KUL departure (Flights AX)",IF(AG658&gt;AsOfUTC,"INVALID – completion time is in the future",IF(AND(ISNUMBER(S658),AG658&lt;S658),IF(H658="Physical uplift","INVALID – before uplift window (cannot confirm loading)","INVALID – before valid window"),IF(AG658&gt;Flights!$AA$24,"INVALID – completed after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f>
        <v>OPEN</v>
      </c>
      <c r="AI658" s="61" t="n">
        <f aca="false">IF(OR(AH658="N/A – RULE",AH658="N/A – JUSTIFIED"),0,1)</f>
        <v>1</v>
      </c>
      <c r="AJ658" s="61" t="n">
        <f aca="false">IF(LEFT(AH658,8)="COMPLETE",1,0)</f>
        <v>0</v>
      </c>
      <c r="AK658" s="61" t="n">
        <f aca="false">IF(AND(AI658=1,AJ658=0,AsOfUTC&gt;Q658),1,0)</f>
        <v>0</v>
      </c>
      <c r="AL658" s="61" t="n">
        <f aca="false">IF(AND(AI658=1,OR(TRIM(U658)="Fail",AB658="Open",AND(ISNUMBER(AF658),AF658&lt;&gt;0,TRIM(U658)&lt;&gt;"Pass after CA"))),1,0)</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row>
    <row r="659" customFormat="false" ht="78.75" hidden="false" customHeight="true" outlineLevel="0" collapsed="false">
      <c r="A659" s="57" t="s">
        <v>1338</v>
      </c>
      <c r="B659" s="57" t="s">
        <v>294</v>
      </c>
      <c r="C659" s="57" t="str">
        <f aca="false">Flights!$F$24</f>
        <v>MH1450</v>
      </c>
      <c r="D659" s="58" t="n">
        <f aca="false">Flights!$D$24</f>
        <v>46324</v>
      </c>
      <c r="E659" s="57" t="str">
        <f aca="false">Flights!$G$24&amp;"-"&amp;Flights!$H$24</f>
        <v>KUL-LGK</v>
      </c>
      <c r="F659" s="57" t="str">
        <f aca="false">Flights!$K$24</f>
        <v>EY</v>
      </c>
      <c r="G659" s="57" t="s">
        <v>383</v>
      </c>
      <c r="H659" s="57" t="s">
        <v>341</v>
      </c>
      <c r="I659" s="57" t="s">
        <v>391</v>
      </c>
      <c r="J659" s="57" t="s">
        <v>398</v>
      </c>
      <c r="K659" s="67" t="s">
        <v>454</v>
      </c>
      <c r="L659" s="67" t="s">
        <v>385</v>
      </c>
      <c r="M659" s="67"/>
      <c r="N659" s="67" t="s">
        <v>346</v>
      </c>
      <c r="O659" s="67" t="s">
        <v>386</v>
      </c>
      <c r="P659" s="57" t="s">
        <v>177</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IF(N659="N/A – rule","N/A – RULE",IF(TRIM(U659)="N/A",IF(AT659=0,"INVALID – N/A not permitted for this mandatory check",IF(AND(TRIM(AC659)&lt;&gt;"",TRIM(AE659)&lt;&gt;"",TRIM(T659)&lt;&gt;""),"N/A – JUSTIFIED","INVALID – N/A needs justification, PIC and verifier")),IF(OR(TRIM(U659)="Pass",TRIM(U659)="Pass after CA"),IF(NOT(ISNUMBER(AD659)),"INVALID – completion time missing",IF(TRIM(T659)="","INVALID – PIC missing",IF(TRIM(Z659)="","INVALID – evidence missing",IF(TRIM(AE659)="","INVALID – verifier missing",IF(AND(AQ659=1,TRIM(W659)=""),"INVALID – batch ID missing",IF(AND(AR659=1,OR(NOT(ISNUMBER(X659)),NOT(ISNUMBER(Y659)))),"INVALID – expected/actual qty missing",IF(IF(AND(TRIM(U659)="Pass",ISNUMBER(AF659)),IF(AF659&lt;&gt;0,"INVALID – qty variance: use Fail or Pass after CA",""),"")&amp;IF(AND(TRIM(U659)="Pass",AB659="Open"),"INVALID – corrective action still open: use Fail, then Pass after CA","")&amp;IF(AND(TRIM(U659)="Pass after CA",OR(TRIM(AA659)="",AB659&lt;&gt;"Closed")),"INVALID – corrective action not recorded/closed","")&lt;&gt;"",IF(AND(TRIM(U659)="Pass",ISNUMBER(AF659)),IF(AF659&lt;&gt;0,"INVALID – qty variance: use Fail or Pass after CA",""),"")&amp;IF(AND(TRIM(U659)="Pass",AB659="Open"),"INVALID – corrective action still open: use Fail, then Pass after CA","")&amp;IF(AND(TRIM(U659)="Pass after CA",OR(TRIM(AA659)="",AB659&lt;&gt;"Closed")),"INVALID – corrective action not recorded/closed",""),IF(AND(AS659=1,Documents!$J$24&lt;&gt;"ON FILE"),"INVALID – GLD not on file (Documents sheet)",IF(AND(AS659=2,Documents!$O$24&lt;&gt;"ON FILE"),"INVALID – menu checklist not on file (Documents sheet)",IF(AND(AS659=3,NOT(ISNUMBER(Flights!$AX$24))),"INVALID – enter carrying flight KUL departure (Flights AX)",IF(AG659&gt;AsOfUTC,"INVALID – completion time is in the future",IF(AND(ISNUMBER(S659),AG659&lt;S659),IF(H659="Physical uplift","INVALID – before uplift window (cannot confirm loading)","INVALID – before valid window"),IF(AG659&gt;Flights!$AA$24,"INVALID – completed after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f>
        <v>OPEN</v>
      </c>
      <c r="AI659" s="61" t="n">
        <f aca="false">IF(OR(AH659="N/A – RULE",AH659="N/A – JUSTIFIED"),0,1)</f>
        <v>1</v>
      </c>
      <c r="AJ659" s="61" t="n">
        <f aca="false">IF(LEFT(AH659,8)="COMPLETE",1,0)</f>
        <v>0</v>
      </c>
      <c r="AK659" s="61" t="n">
        <f aca="false">IF(AND(AI659=1,AJ659=0,AsOfUTC&gt;Q659),1,0)</f>
        <v>0</v>
      </c>
      <c r="AL659" s="61" t="n">
        <f aca="false">IF(AND(AI659=1,OR(TRIM(U659)="Fail",AB659="Open",AND(ISNUMBER(AF659),AF659&lt;&gt;0,TRIM(U659)&lt;&gt;"Pass after CA"))),1,0)</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row>
    <row r="660" customFormat="false" ht="39.75" hidden="false" customHeight="true" outlineLevel="0" collapsed="false">
      <c r="A660" s="57" t="s">
        <v>1339</v>
      </c>
      <c r="B660" s="57" t="s">
        <v>294</v>
      </c>
      <c r="C660" s="57" t="str">
        <f aca="false">Flights!$F$24</f>
        <v>MH1450</v>
      </c>
      <c r="D660" s="58" t="n">
        <f aca="false">Flights!$D$24</f>
        <v>46324</v>
      </c>
      <c r="E660" s="57" t="str">
        <f aca="false">Flights!$G$24&amp;"-"&amp;Flights!$H$24</f>
        <v>KUL-LGK</v>
      </c>
      <c r="F660" s="57" t="str">
        <f aca="false">Flights!$K$24</f>
        <v>EY</v>
      </c>
      <c r="G660" s="57" t="s">
        <v>383</v>
      </c>
      <c r="H660" s="57" t="s">
        <v>341</v>
      </c>
      <c r="I660" s="57" t="s">
        <v>391</v>
      </c>
      <c r="J660" s="57" t="s">
        <v>401</v>
      </c>
      <c r="K660" s="67"/>
      <c r="L660" s="67" t="s">
        <v>385</v>
      </c>
      <c r="M660" s="67"/>
      <c r="N660" s="67" t="s">
        <v>346</v>
      </c>
      <c r="O660" s="67" t="s">
        <v>386</v>
      </c>
      <c r="P660" s="57" t="s">
        <v>177</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IF(N660="N/A – rule","N/A – RULE",IF(TRIM(U660)="N/A",IF(AT660=0,"INVALID – N/A not permitted for this mandatory check",IF(AND(TRIM(AC660)&lt;&gt;"",TRIM(AE660)&lt;&gt;"",TRIM(T660)&lt;&gt;""),"N/A – JUSTIFIED","INVALID – N/A needs justification, PIC and verifier")),IF(OR(TRIM(U660)="Pass",TRIM(U660)="Pass after CA"),IF(NOT(ISNUMBER(AD660)),"INVALID – completion time missing",IF(TRIM(T660)="","INVALID – PIC missing",IF(TRIM(Z660)="","INVALID – evidence missing",IF(TRIM(AE660)="","INVALID – verifier missing",IF(AND(AQ660=1,TRIM(W660)=""),"INVALID – batch ID missing",IF(AND(AR660=1,OR(NOT(ISNUMBER(X660)),NOT(ISNUMBER(Y660)))),"INVALID – expected/actual qty missing",IF(IF(AND(TRIM(U660)="Pass",ISNUMBER(AF660)),IF(AF660&lt;&gt;0,"INVALID – qty variance: use Fail or Pass after CA",""),"")&amp;IF(AND(TRIM(U660)="Pass",AB660="Open"),"INVALID – corrective action still open: use Fail, then Pass after CA","")&amp;IF(AND(TRIM(U660)="Pass after CA",OR(TRIM(AA660)="",AB660&lt;&gt;"Closed")),"INVALID – corrective action not recorded/closed","")&lt;&gt;"",IF(AND(TRIM(U660)="Pass",ISNUMBER(AF660)),IF(AF660&lt;&gt;0,"INVALID – qty variance: use Fail or Pass after CA",""),"")&amp;IF(AND(TRIM(U660)="Pass",AB660="Open"),"INVALID – corrective action still open: use Fail, then Pass after CA","")&amp;IF(AND(TRIM(U660)="Pass after CA",OR(TRIM(AA660)="",AB660&lt;&gt;"Closed")),"INVALID – corrective action not recorded/closed",""),IF(AND(AS660=1,Documents!$J$24&lt;&gt;"ON FILE"),"INVALID – GLD not on file (Documents sheet)",IF(AND(AS660=2,Documents!$O$24&lt;&gt;"ON FILE"),"INVALID – menu checklist not on file (Documents sheet)",IF(AND(AS660=3,NOT(ISNUMBER(Flights!$AX$24))),"INVALID – enter carrying flight KUL departure (Flights AX)",IF(AG660&gt;AsOfUTC,"INVALID – completion time is in the future",IF(AND(ISNUMBER(S660),AG660&lt;S660),IF(H660="Physical uplift","INVALID – before uplift window (cannot confirm loading)","INVALID – before valid window"),IF(AG660&gt;Flights!$AA$24,"INVALID – completed after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f>
        <v>OPEN</v>
      </c>
      <c r="AI660" s="61" t="n">
        <f aca="false">IF(OR(AH660="N/A – RULE",AH660="N/A – JUSTIFIED"),0,1)</f>
        <v>1</v>
      </c>
      <c r="AJ660" s="61" t="n">
        <f aca="false">IF(LEFT(AH660,8)="COMPLETE",1,0)</f>
        <v>0</v>
      </c>
      <c r="AK660" s="61" t="n">
        <f aca="false">IF(AND(AI660=1,AJ660=0,AsOfUTC&gt;Q660),1,0)</f>
        <v>0</v>
      </c>
      <c r="AL660" s="61" t="n">
        <f aca="false">IF(AND(AI660=1,OR(TRIM(U660)="Fail",AB660="Open",AND(ISNUMBER(AF660),AF660&lt;&gt;0,TRIM(U660)&lt;&gt;"Pass after CA"))),1,0)</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row>
    <row r="661" customFormat="false" ht="41.25" hidden="false" customHeight="true" outlineLevel="0" collapsed="false">
      <c r="A661" s="57" t="s">
        <v>1340</v>
      </c>
      <c r="B661" s="57" t="s">
        <v>294</v>
      </c>
      <c r="C661" s="57" t="str">
        <f aca="false">Flights!$F$24</f>
        <v>MH1450</v>
      </c>
      <c r="D661" s="58" t="n">
        <f aca="false">Flights!$D$24</f>
        <v>46324</v>
      </c>
      <c r="E661" s="57" t="str">
        <f aca="false">Flights!$G$24&amp;"-"&amp;Flights!$H$24</f>
        <v>KUL-LGK</v>
      </c>
      <c r="F661" s="57" t="str">
        <f aca="false">Flights!$K$24</f>
        <v>EY</v>
      </c>
      <c r="G661" s="57" t="s">
        <v>383</v>
      </c>
      <c r="H661" s="57" t="s">
        <v>341</v>
      </c>
      <c r="I661" s="57" t="s">
        <v>410</v>
      </c>
      <c r="J661" s="57" t="s">
        <v>411</v>
      </c>
      <c r="K661" s="67" t="s">
        <v>412</v>
      </c>
      <c r="L661" s="67" t="s">
        <v>1341</v>
      </c>
      <c r="M661" s="67" t="s">
        <v>414</v>
      </c>
      <c r="N661" s="67" t="s">
        <v>346</v>
      </c>
      <c r="O661" s="67" t="s">
        <v>466</v>
      </c>
      <c r="P661" s="57" t="s">
        <v>177</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IF(N661="N/A – rule","N/A – RULE",IF(TRIM(U661)="N/A",IF(AT661=0,"INVALID – N/A not permitted for this mandatory check",IF(AND(TRIM(AC661)&lt;&gt;"",TRIM(AE661)&lt;&gt;"",TRIM(T661)&lt;&gt;""),"N/A – JUSTIFIED","INVALID – N/A needs justification, PIC and verifier")),IF(OR(TRIM(U661)="Pass",TRIM(U661)="Pass after CA"),IF(NOT(ISNUMBER(AD661)),"INVALID – completion time missing",IF(TRIM(T661)="","INVALID – PIC missing",IF(TRIM(Z661)="","INVALID – evidence missing",IF(TRIM(AE661)="","INVALID – verifier missing",IF(AND(AQ661=1,TRIM(W661)=""),"INVALID – batch ID missing",IF(AND(AR661=1,OR(NOT(ISNUMBER(X661)),NOT(ISNUMBER(Y661)))),"INVALID – expected/actual qty missing",IF(IF(AND(TRIM(U661)="Pass",ISNUMBER(AF661)),IF(AF661&lt;&gt;0,"INVALID – qty variance: use Fail or Pass after CA",""),"")&amp;IF(AND(TRIM(U661)="Pass",AB661="Open"),"INVALID – corrective action still open: use Fail, then Pass after CA","")&amp;IF(AND(TRIM(U661)="Pass after CA",OR(TRIM(AA661)="",AB661&lt;&gt;"Closed")),"INVALID – corrective action not recorded/closed","")&lt;&gt;"",IF(AND(TRIM(U661)="Pass",ISNUMBER(AF661)),IF(AF661&lt;&gt;0,"INVALID – qty variance: use Fail or Pass after CA",""),"")&amp;IF(AND(TRIM(U661)="Pass",AB661="Open"),"INVALID – corrective action still open: use Fail, then Pass after CA","")&amp;IF(AND(TRIM(U661)="Pass after CA",OR(TRIM(AA661)="",AB661&lt;&gt;"Closed")),"INVALID – corrective action not recorded/closed",""),IF(AND(AS661=1,Documents!$J$24&lt;&gt;"ON FILE"),"INVALID – GLD not on file (Documents sheet)",IF(AND(AS661=2,Documents!$O$24&lt;&gt;"ON FILE"),"INVALID – menu checklist not on file (Documents sheet)",IF(AND(AS661=3,NOT(ISNUMBER(Flights!$AX$24))),"INVALID – enter carrying flight KUL departure (Flights AX)",IF(AG661&gt;AsOfUTC,"INVALID – completion time is in the future",IF(AND(ISNUMBER(S661),AG661&lt;S661),IF(H661="Physical uplift","INVALID – before uplift window (cannot confirm loading)","INVALID – before valid window"),IF(AG661&gt;Flights!$AA$24,"INVALID – completed after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f>
        <v>OPEN</v>
      </c>
      <c r="AI661" s="61" t="n">
        <f aca="false">IF(OR(AH661="N/A – RULE",AH661="N/A – JUSTIFIED"),0,1)</f>
        <v>1</v>
      </c>
      <c r="AJ661" s="61" t="n">
        <f aca="false">IF(LEFT(AH661,8)="COMPLETE",1,0)</f>
        <v>0</v>
      </c>
      <c r="AK661" s="61" t="n">
        <f aca="false">IF(AND(AI661=1,AJ661=0,AsOfUTC&gt;Q661),1,0)</f>
        <v>0</v>
      </c>
      <c r="AL661" s="61" t="n">
        <f aca="false">IF(AND(AI661=1,OR(TRIM(U661)="Fail",AB661="Open",AND(ISNUMBER(AF661),AF661&lt;&gt;0,TRIM(U661)&lt;&gt;"Pass after CA"))),1,0)</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1</v>
      </c>
    </row>
    <row r="662" customFormat="false" ht="39.75" hidden="false" customHeight="true" outlineLevel="0" collapsed="false">
      <c r="A662" s="57" t="s">
        <v>1342</v>
      </c>
      <c r="B662" s="57" t="s">
        <v>294</v>
      </c>
      <c r="C662" s="57" t="str">
        <f aca="false">Flights!$F$24</f>
        <v>MH1450</v>
      </c>
      <c r="D662" s="58" t="n">
        <f aca="false">Flights!$D$24</f>
        <v>46324</v>
      </c>
      <c r="E662" s="57" t="str">
        <f aca="false">Flights!$G$24&amp;"-"&amp;Flights!$H$24</f>
        <v>KUL-LGK</v>
      </c>
      <c r="F662" s="57" t="str">
        <f aca="false">Flights!$K$24</f>
        <v>EY</v>
      </c>
      <c r="G662" s="57" t="s">
        <v>422</v>
      </c>
      <c r="H662" s="57" t="s">
        <v>423</v>
      </c>
      <c r="I662" s="57" t="s">
        <v>342</v>
      </c>
      <c r="J662" s="57" t="s">
        <v>424</v>
      </c>
      <c r="K662" s="67" t="s">
        <v>389</v>
      </c>
      <c r="L662" s="67" t="s">
        <v>425</v>
      </c>
      <c r="M662" s="67"/>
      <c r="N662" s="67" t="s">
        <v>346</v>
      </c>
      <c r="O662" s="67" t="s">
        <v>426</v>
      </c>
      <c r="P662" s="57" t="s">
        <v>177</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IF(N662="N/A – rule","N/A – RULE",IF(TRIM(U662)="N/A",IF(AT662=0,"INVALID – N/A not permitted for this mandatory check",IF(AND(TRIM(AC662)&lt;&gt;"",TRIM(AE662)&lt;&gt;"",TRIM(T662)&lt;&gt;""),"N/A – JUSTIFIED","INVALID – N/A needs justification, PIC and verifier")),IF(OR(TRIM(U662)="Pass",TRIM(U662)="Pass after CA"),IF(NOT(ISNUMBER(AD662)),"INVALID – completion time missing",IF(TRIM(T662)="","INVALID – PIC missing",IF(TRIM(Z662)="","INVALID – evidence missing",IF(TRIM(AE662)="","INVALID – verifier missing",IF(AND(AQ662=1,TRIM(W662)=""),"INVALID – batch ID missing",IF(AND(AR662=1,OR(NOT(ISNUMBER(X662)),NOT(ISNUMBER(Y662)))),"INVALID – expected/actual qty missing",IF(IF(AND(TRIM(U662)="Pass",ISNUMBER(AF662)),IF(AF662&lt;&gt;0,"INVALID – qty variance: use Fail or Pass after CA",""),"")&amp;IF(AND(TRIM(U662)="Pass",AB662="Open"),"INVALID – corrective action still open: use Fail, then Pass after CA","")&amp;IF(AND(TRIM(U662)="Pass after CA",OR(TRIM(AA662)="",AB662&lt;&gt;"Closed")),"INVALID – corrective action not recorded/closed","")&lt;&gt;"",IF(AND(TRIM(U662)="Pass",ISNUMBER(AF662)),IF(AF662&lt;&gt;0,"INVALID – qty variance: use Fail or Pass after CA",""),"")&amp;IF(AND(TRIM(U662)="Pass",AB662="Open"),"INVALID – corrective action still open: use Fail, then Pass after CA","")&amp;IF(AND(TRIM(U662)="Pass after CA",OR(TRIM(AA662)="",AB662&lt;&gt;"Closed")),"INVALID – corrective action not recorded/closed",""),IF(AND(AS662=1,Documents!$J$24&lt;&gt;"ON FILE"),"INVALID – GLD not on file (Documents sheet)",IF(AND(AS662=2,Documents!$O$24&lt;&gt;"ON FILE"),"INVALID – menu checklist not on file (Documents sheet)",IF(AND(AS662=3,NOT(ISNUMBER(Flights!$AX$24))),"INVALID – enter carrying flight KUL departure (Flights AX)",IF(AG662&gt;AsOfUTC,"INVALID – completion time is in the future",IF(AND(ISNUMBER(S662),AG662&lt;S662),IF(H662="Physical uplift","INVALID – before uplift window (cannot confirm loading)","INVALID – before valid window"),IF(AG662&gt;Flights!$AA$24,"INVALID – completed after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f>
        <v>OPEN</v>
      </c>
      <c r="AI662" s="61" t="n">
        <f aca="false">IF(OR(AH662="N/A – RULE",AH662="N/A – JUSTIFIED"),0,1)</f>
        <v>1</v>
      </c>
      <c r="AJ662" s="61" t="n">
        <f aca="false">IF(LEFT(AH662,8)="COMPLETE",1,0)</f>
        <v>0</v>
      </c>
      <c r="AK662" s="61" t="n">
        <f aca="false">IF(AND(AI662=1,AJ662=0,AsOfUTC&gt;Q662),1,0)</f>
        <v>0</v>
      </c>
      <c r="AL662" s="61" t="n">
        <f aca="false">IF(AND(AI662=1,OR(TRIM(U662)="Fail",AB662="Open",AND(ISNUMBER(AF662),AF662&lt;&gt;0,TRIM(U662)&lt;&gt;"Pass after CA"))),1,0)</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row>
    <row r="663" customFormat="false" ht="39.75" hidden="false" customHeight="true" outlineLevel="0" collapsed="false">
      <c r="A663" s="57" t="s">
        <v>1343</v>
      </c>
      <c r="B663" s="57" t="s">
        <v>294</v>
      </c>
      <c r="C663" s="57" t="str">
        <f aca="false">Flights!$F$24</f>
        <v>MH1450</v>
      </c>
      <c r="D663" s="58" t="n">
        <f aca="false">Flights!$D$24</f>
        <v>46324</v>
      </c>
      <c r="E663" s="57" t="str">
        <f aca="false">Flights!$G$24&amp;"-"&amp;Flights!$H$24</f>
        <v>KUL-LGK</v>
      </c>
      <c r="F663" s="57" t="str">
        <f aca="false">Flights!$K$24</f>
        <v>EY</v>
      </c>
      <c r="G663" s="57" t="s">
        <v>422</v>
      </c>
      <c r="H663" s="57" t="s">
        <v>423</v>
      </c>
      <c r="I663" s="57" t="s">
        <v>391</v>
      </c>
      <c r="J663" s="57" t="s">
        <v>428</v>
      </c>
      <c r="K663" s="67" t="s">
        <v>389</v>
      </c>
      <c r="L663" s="67" t="s">
        <v>425</v>
      </c>
      <c r="M663" s="67"/>
      <c r="N663" s="67" t="s">
        <v>346</v>
      </c>
      <c r="O663" s="67" t="s">
        <v>426</v>
      </c>
      <c r="P663" s="57" t="s">
        <v>177</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IF(N663="N/A – rule","N/A – RULE",IF(TRIM(U663)="N/A",IF(AT663=0,"INVALID – N/A not permitted for this mandatory check",IF(AND(TRIM(AC663)&lt;&gt;"",TRIM(AE663)&lt;&gt;"",TRIM(T663)&lt;&gt;""),"N/A – JUSTIFIED","INVALID – N/A needs justification, PIC and verifier")),IF(OR(TRIM(U663)="Pass",TRIM(U663)="Pass after CA"),IF(NOT(ISNUMBER(AD663)),"INVALID – completion time missing",IF(TRIM(T663)="","INVALID – PIC missing",IF(TRIM(Z663)="","INVALID – evidence missing",IF(TRIM(AE663)="","INVALID – verifier missing",IF(AND(AQ663=1,TRIM(W663)=""),"INVALID – batch ID missing",IF(AND(AR663=1,OR(NOT(ISNUMBER(X663)),NOT(ISNUMBER(Y663)))),"INVALID – expected/actual qty missing",IF(IF(AND(TRIM(U663)="Pass",ISNUMBER(AF663)),IF(AF663&lt;&gt;0,"INVALID – qty variance: use Fail or Pass after CA",""),"")&amp;IF(AND(TRIM(U663)="Pass",AB663="Open"),"INVALID – corrective action still open: use Fail, then Pass after CA","")&amp;IF(AND(TRIM(U663)="Pass after CA",OR(TRIM(AA663)="",AB663&lt;&gt;"Closed")),"INVALID – corrective action not recorded/closed","")&lt;&gt;"",IF(AND(TRIM(U663)="Pass",ISNUMBER(AF663)),IF(AF663&lt;&gt;0,"INVALID – qty variance: use Fail or Pass after CA",""),"")&amp;IF(AND(TRIM(U663)="Pass",AB663="Open"),"INVALID – corrective action still open: use Fail, then Pass after CA","")&amp;IF(AND(TRIM(U663)="Pass after CA",OR(TRIM(AA663)="",AB663&lt;&gt;"Closed")),"INVALID – corrective action not recorded/closed",""),IF(AND(AS663=1,Documents!$J$24&lt;&gt;"ON FILE"),"INVALID – GLD not on file (Documents sheet)",IF(AND(AS663=2,Documents!$O$24&lt;&gt;"ON FILE"),"INVALID – menu checklist not on file (Documents sheet)",IF(AND(AS663=3,NOT(ISNUMBER(Flights!$AX$24))),"INVALID – enter carrying flight KUL departure (Flights AX)",IF(AG663&gt;AsOfUTC,"INVALID – completion time is in the future",IF(AND(ISNUMBER(S663),AG663&lt;S663),IF(H663="Physical uplift","INVALID – before uplift window (cannot confirm loading)","INVALID – before valid window"),IF(AG663&gt;Flights!$AA$24,"INVALID – completed after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f>
        <v>OPEN</v>
      </c>
      <c r="AI663" s="61" t="n">
        <f aca="false">IF(OR(AH663="N/A – RULE",AH663="N/A – JUSTIFIED"),0,1)</f>
        <v>1</v>
      </c>
      <c r="AJ663" s="61" t="n">
        <f aca="false">IF(LEFT(AH663,8)="COMPLETE",1,0)</f>
        <v>0</v>
      </c>
      <c r="AK663" s="61" t="n">
        <f aca="false">IF(AND(AI663=1,AJ663=0,AsOfUTC&gt;Q663),1,0)</f>
        <v>0</v>
      </c>
      <c r="AL663" s="61" t="n">
        <f aca="false">IF(AND(AI663=1,OR(TRIM(U663)="Fail",AB663="Open",AND(ISNUMBER(AF663),AF663&lt;&gt;0,TRIM(U663)&lt;&gt;"Pass after CA"))),1,0)</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row>
    <row r="664" customFormat="false" ht="39.75" hidden="false" customHeight="true" outlineLevel="0" collapsed="false">
      <c r="A664" s="57" t="s">
        <v>1344</v>
      </c>
      <c r="B664" s="57" t="s">
        <v>294</v>
      </c>
      <c r="C664" s="57" t="str">
        <f aca="false">Flights!$F$24</f>
        <v>MH1450</v>
      </c>
      <c r="D664" s="58" t="n">
        <f aca="false">Flights!$D$24</f>
        <v>46324</v>
      </c>
      <c r="E664" s="57" t="str">
        <f aca="false">Flights!$G$24&amp;"-"&amp;Flights!$H$24</f>
        <v>KUL-LGK</v>
      </c>
      <c r="F664" s="57" t="str">
        <f aca="false">Flights!$K$24</f>
        <v>EY</v>
      </c>
      <c r="G664" s="57" t="s">
        <v>422</v>
      </c>
      <c r="H664" s="57" t="s">
        <v>423</v>
      </c>
      <c r="I664" s="57" t="s">
        <v>410</v>
      </c>
      <c r="J664" s="57" t="s">
        <v>432</v>
      </c>
      <c r="K664" s="67" t="s">
        <v>412</v>
      </c>
      <c r="L664" s="67" t="s">
        <v>1341</v>
      </c>
      <c r="M664" s="67" t="s">
        <v>414</v>
      </c>
      <c r="N664" s="67" t="s">
        <v>346</v>
      </c>
      <c r="O664" s="67"/>
      <c r="P664" s="57" t="s">
        <v>177</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IF(N664="N/A – rule","N/A – RULE",IF(TRIM(U664)="N/A",IF(AT664=0,"INVALID – N/A not permitted for this mandatory check",IF(AND(TRIM(AC664)&lt;&gt;"",TRIM(AE664)&lt;&gt;"",TRIM(T664)&lt;&gt;""),"N/A – JUSTIFIED","INVALID – N/A needs justification, PIC and verifier")),IF(OR(TRIM(U664)="Pass",TRIM(U664)="Pass after CA"),IF(NOT(ISNUMBER(AD664)),"INVALID – completion time missing",IF(TRIM(T664)="","INVALID – PIC missing",IF(TRIM(Z664)="","INVALID – evidence missing",IF(TRIM(AE664)="","INVALID – verifier missing",IF(AND(AQ664=1,TRIM(W664)=""),"INVALID – batch ID missing",IF(AND(AR664=1,OR(NOT(ISNUMBER(X664)),NOT(ISNUMBER(Y664)))),"INVALID – expected/actual qty missing",IF(IF(AND(TRIM(U664)="Pass",ISNUMBER(AF664)),IF(AF664&lt;&gt;0,"INVALID – qty variance: use Fail or Pass after CA",""),"")&amp;IF(AND(TRIM(U664)="Pass",AB664="Open"),"INVALID – corrective action still open: use Fail, then Pass after CA","")&amp;IF(AND(TRIM(U664)="Pass after CA",OR(TRIM(AA664)="",AB664&lt;&gt;"Closed")),"INVALID – corrective action not recorded/closed","")&lt;&gt;"",IF(AND(TRIM(U664)="Pass",ISNUMBER(AF664)),IF(AF664&lt;&gt;0,"INVALID – qty variance: use Fail or Pass after CA",""),"")&amp;IF(AND(TRIM(U664)="Pass",AB664="Open"),"INVALID – corrective action still open: use Fail, then Pass after CA","")&amp;IF(AND(TRIM(U664)="Pass after CA",OR(TRIM(AA664)="",AB664&lt;&gt;"Closed")),"INVALID – corrective action not recorded/closed",""),IF(AND(AS664=1,Documents!$J$24&lt;&gt;"ON FILE"),"INVALID – GLD not on file (Documents sheet)",IF(AND(AS664=2,Documents!$O$24&lt;&gt;"ON FILE"),"INVALID – menu checklist not on file (Documents sheet)",IF(AND(AS664=3,NOT(ISNUMBER(Flights!$AX$24))),"INVALID – enter carrying flight KUL departure (Flights AX)",IF(AG664&gt;AsOfUTC,"INVALID – completion time is in the future",IF(AND(ISNUMBER(S664),AG664&lt;S664),IF(H664="Physical uplift","INVALID – before uplift window (cannot confirm loading)","INVALID – before valid window"),IF(AG664&gt;Flights!$AA$24,"INVALID – completed after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f>
        <v>OPEN</v>
      </c>
      <c r="AI664" s="61" t="n">
        <f aca="false">IF(OR(AH664="N/A – RULE",AH664="N/A – JUSTIFIED"),0,1)</f>
        <v>1</v>
      </c>
      <c r="AJ664" s="61" t="n">
        <f aca="false">IF(LEFT(AH664,8)="COMPLETE",1,0)</f>
        <v>0</v>
      </c>
      <c r="AK664" s="61" t="n">
        <f aca="false">IF(AND(AI664=1,AJ664=0,AsOfUTC&gt;Q664),1,0)</f>
        <v>0</v>
      </c>
      <c r="AL664" s="61" t="n">
        <f aca="false">IF(AND(AI664=1,OR(TRIM(U664)="Fail",AB664="Open",AND(ISNUMBER(AF664),AF664&lt;&gt;0,TRIM(U664)&lt;&gt;"Pass after CA"))),1,0)</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1</v>
      </c>
    </row>
    <row r="665" customFormat="false" ht="39.75" hidden="false" customHeight="true" outlineLevel="0" collapsed="false">
      <c r="A665" s="57" t="s">
        <v>1345</v>
      </c>
      <c r="B665" s="57" t="s">
        <v>300</v>
      </c>
      <c r="C665" s="57" t="str">
        <f aca="false">Flights!$F$25</f>
        <v>MH1437</v>
      </c>
      <c r="D665" s="58" t="n">
        <f aca="false">Flights!$D$25</f>
        <v>46325</v>
      </c>
      <c r="E665" s="57" t="str">
        <f aca="false">Flights!$G$25&amp;"-"&amp;Flights!$H$25</f>
        <v>LGK-KUL</v>
      </c>
      <c r="F665" s="57" t="str">
        <f aca="false">Flights!$K$25</f>
        <v>BC</v>
      </c>
      <c r="G665" s="57" t="s">
        <v>74</v>
      </c>
      <c r="H665" s="57" t="s">
        <v>341</v>
      </c>
      <c r="I665" s="57" t="s">
        <v>342</v>
      </c>
      <c r="J665" s="57" t="s">
        <v>343</v>
      </c>
      <c r="K665" s="67" t="s">
        <v>344</v>
      </c>
      <c r="L665" s="67" t="s">
        <v>345</v>
      </c>
      <c r="M665" s="67"/>
      <c r="N665" s="67" t="s">
        <v>346</v>
      </c>
      <c r="O665" s="67" t="s">
        <v>875</v>
      </c>
      <c r="P665" s="57" t="s">
        <v>177</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IF(N665="N/A – rule","N/A – RULE",IF(TRIM(U665)="N/A",IF(AT665=0,"INVALID – N/A not permitted for this mandatory check",IF(AND(TRIM(AC665)&lt;&gt;"",TRIM(AE665)&lt;&gt;"",TRIM(T665)&lt;&gt;""),"N/A – JUSTIFIED","INVALID – N/A needs justification, PIC and verifier")),IF(OR(TRIM(U665)="Pass",TRIM(U665)="Pass after CA"),IF(NOT(ISNUMBER(AD665)),"INVALID – completion time missing",IF(TRIM(T665)="","INVALID – PIC missing",IF(TRIM(Z665)="","INVALID – evidence missing",IF(TRIM(AE665)="","INVALID – verifier missing",IF(AND(AQ665=1,TRIM(W665)=""),"INVALID – batch ID missing",IF(AND(AR665=1,OR(NOT(ISNUMBER(X665)),NOT(ISNUMBER(Y665)))),"INVALID – expected/actual qty missing",IF(IF(AND(TRIM(U665)="Pass",ISNUMBER(AF665)),IF(AF665&lt;&gt;0,"INVALID – qty variance: use Fail or Pass after CA",""),"")&amp;IF(AND(TRIM(U665)="Pass",AB665="Open"),"INVALID – corrective action still open: use Fail, then Pass after CA","")&amp;IF(AND(TRIM(U665)="Pass after CA",OR(TRIM(AA665)="",AB665&lt;&gt;"Closed")),"INVALID – corrective action not recorded/closed","")&lt;&gt;"",IF(AND(TRIM(U665)="Pass",ISNUMBER(AF665)),IF(AF665&lt;&gt;0,"INVALID – qty variance: use Fail or Pass after CA",""),"")&amp;IF(AND(TRIM(U665)="Pass",AB665="Open"),"INVALID – corrective action still open: use Fail, then Pass after CA","")&amp;IF(AND(TRIM(U665)="Pass after CA",OR(TRIM(AA665)="",AB665&lt;&gt;"Closed")),"INVALID – corrective action not recorded/closed",""),IF(AND(AS665=1,Documents!$J$25&lt;&gt;"ON FILE"),"INVALID – GLD not on file (Documents sheet)",IF(AND(AS665=2,Documents!$O$25&lt;&gt;"ON FILE"),"INVALID – menu checklist not on file (Documents sheet)",IF(AND(AS665=3,NOT(ISNUMBER(Flights!$AX$25))),"INVALID – enter carrying flight KUL departure (Flights AX)",IF(AG665&gt;AsOfUTC,"INVALID – completion time is in the future",IF(AND(ISNUMBER(S665),AG665&lt;S665),IF(H665="Physical uplift","INVALID – before uplift window (cannot confirm loading)","INVALID – before valid window"),IF(AG665&gt;Flights!$AA$25,"INVALID – completed after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f>
        <v>OPEN</v>
      </c>
      <c r="AI665" s="61" t="n">
        <f aca="false">IF(OR(AH665="N/A – RULE",AH665="N/A – JUSTIFIED"),0,1)</f>
        <v>1</v>
      </c>
      <c r="AJ665" s="61" t="n">
        <f aca="false">IF(LEFT(AH665,8)="COMPLETE",1,0)</f>
        <v>0</v>
      </c>
      <c r="AK665" s="61" t="n">
        <f aca="false">IF(AND(AI665=1,AJ665=0,AsOfUTC&gt;Q665),1,0)</f>
        <v>0</v>
      </c>
      <c r="AL665" s="61" t="n">
        <f aca="false">IF(AND(AI665=1,OR(TRIM(U665)="Fail",AB665="Open",AND(ISNUMBER(AF665),AF665&lt;&gt;0,TRIM(U665)&lt;&gt;"Pass after CA"))),1,0)</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row>
    <row r="666" customFormat="false" ht="41.25" hidden="false" customHeight="true" outlineLevel="0" collapsed="false">
      <c r="A666" s="57" t="s">
        <v>1346</v>
      </c>
      <c r="B666" s="57" t="s">
        <v>300</v>
      </c>
      <c r="C666" s="57" t="str">
        <f aca="false">Flights!$F$25</f>
        <v>MH1437</v>
      </c>
      <c r="D666" s="58" t="n">
        <f aca="false">Flights!$D$25</f>
        <v>46325</v>
      </c>
      <c r="E666" s="57" t="str">
        <f aca="false">Flights!$G$25&amp;"-"&amp;Flights!$H$25</f>
        <v>LGK-KUL</v>
      </c>
      <c r="F666" s="57" t="str">
        <f aca="false">Flights!$K$25</f>
        <v>BC</v>
      </c>
      <c r="G666" s="57" t="s">
        <v>74</v>
      </c>
      <c r="H666" s="57" t="s">
        <v>341</v>
      </c>
      <c r="I666" s="57" t="s">
        <v>348</v>
      </c>
      <c r="J666" s="57" t="s">
        <v>349</v>
      </c>
      <c r="K666" s="67" t="s">
        <v>350</v>
      </c>
      <c r="L666" s="67" t="s">
        <v>345</v>
      </c>
      <c r="M666" s="67"/>
      <c r="N666" s="67" t="s">
        <v>346</v>
      </c>
      <c r="O666" s="67" t="s">
        <v>877</v>
      </c>
      <c r="P666" s="57" t="s">
        <v>177</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IF(N666="N/A – rule","N/A – RULE",IF(TRIM(U666)="N/A",IF(AT666=0,"INVALID – N/A not permitted for this mandatory check",IF(AND(TRIM(AC666)&lt;&gt;"",TRIM(AE666)&lt;&gt;"",TRIM(T666)&lt;&gt;""),"N/A – JUSTIFIED","INVALID – N/A needs justification, PIC and verifier")),IF(OR(TRIM(U666)="Pass",TRIM(U666)="Pass after CA"),IF(NOT(ISNUMBER(AD666)),"INVALID – completion time missing",IF(TRIM(T666)="","INVALID – PIC missing",IF(TRIM(Z666)="","INVALID – evidence missing",IF(TRIM(AE666)="","INVALID – verifier missing",IF(AND(AQ666=1,TRIM(W666)=""),"INVALID – batch ID missing",IF(AND(AR666=1,OR(NOT(ISNUMBER(X666)),NOT(ISNUMBER(Y666)))),"INVALID – expected/actual qty missing",IF(IF(AND(TRIM(U666)="Pass",ISNUMBER(AF666)),IF(AF666&lt;&gt;0,"INVALID – qty variance: use Fail or Pass after CA",""),"")&amp;IF(AND(TRIM(U666)="Pass",AB666="Open"),"INVALID – corrective action still open: use Fail, then Pass after CA","")&amp;IF(AND(TRIM(U666)="Pass after CA",OR(TRIM(AA666)="",AB666&lt;&gt;"Closed")),"INVALID – corrective action not recorded/closed","")&lt;&gt;"",IF(AND(TRIM(U666)="Pass",ISNUMBER(AF666)),IF(AF666&lt;&gt;0,"INVALID – qty variance: use Fail or Pass after CA",""),"")&amp;IF(AND(TRIM(U666)="Pass",AB666="Open"),"INVALID – corrective action still open: use Fail, then Pass after CA","")&amp;IF(AND(TRIM(U666)="Pass after CA",OR(TRIM(AA666)="",AB666&lt;&gt;"Closed")),"INVALID – corrective action not recorded/closed",""),IF(AND(AS666=1,Documents!$J$25&lt;&gt;"ON FILE"),"INVALID – GLD not on file (Documents sheet)",IF(AND(AS666=2,Documents!$O$25&lt;&gt;"ON FILE"),"INVALID – menu checklist not on file (Documents sheet)",IF(AND(AS666=3,NOT(ISNUMBER(Flights!$AX$25))),"INVALID – enter carrying flight KUL departure (Flights AX)",IF(AG666&gt;AsOfUTC,"INVALID – completion time is in the future",IF(AND(ISNUMBER(S666),AG666&lt;S666),IF(H666="Physical uplift","INVALID – before uplift window (cannot confirm loading)","INVALID – before valid window"),IF(AG666&gt;Flights!$AA$25,"INVALID – completed after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f>
        <v>OPEN</v>
      </c>
      <c r="AI666" s="61" t="n">
        <f aca="false">IF(OR(AH666="N/A – RULE",AH666="N/A – JUSTIFIED"),0,1)</f>
        <v>1</v>
      </c>
      <c r="AJ666" s="61" t="n">
        <f aca="false">IF(LEFT(AH666,8)="COMPLETE",1,0)</f>
        <v>0</v>
      </c>
      <c r="AK666" s="61" t="n">
        <f aca="false">IF(AND(AI666=1,AJ666=0,AsOfUTC&gt;Q666),1,0)</f>
        <v>0</v>
      </c>
      <c r="AL666" s="61" t="n">
        <f aca="false">IF(AND(AI666=1,OR(TRIM(U666)="Fail",AB666="Open",AND(ISNUMBER(AF666),AF666&lt;&gt;0,TRIM(U666)&lt;&gt;"Pass after CA"))),1,0)</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row>
    <row r="667" customFormat="false" ht="41.25" hidden="false" customHeight="true" outlineLevel="0" collapsed="false">
      <c r="A667" s="57" t="s">
        <v>1347</v>
      </c>
      <c r="B667" s="57" t="s">
        <v>300</v>
      </c>
      <c r="C667" s="57" t="str">
        <f aca="false">Flights!$F$25</f>
        <v>MH1437</v>
      </c>
      <c r="D667" s="58" t="n">
        <f aca="false">Flights!$D$25</f>
        <v>46325</v>
      </c>
      <c r="E667" s="57" t="str">
        <f aca="false">Flights!$G$25&amp;"-"&amp;Flights!$H$25</f>
        <v>LGK-KUL</v>
      </c>
      <c r="F667" s="57" t="str">
        <f aca="false">Flights!$K$25</f>
        <v>BC</v>
      </c>
      <c r="G667" s="57" t="s">
        <v>74</v>
      </c>
      <c r="H667" s="57" t="s">
        <v>341</v>
      </c>
      <c r="I667" s="57" t="s">
        <v>352</v>
      </c>
      <c r="J667" s="57" t="s">
        <v>353</v>
      </c>
      <c r="K667" s="67" t="s">
        <v>354</v>
      </c>
      <c r="L667" s="67" t="s">
        <v>345</v>
      </c>
      <c r="M667" s="67"/>
      <c r="N667" s="67" t="str">
        <f aca="false">IF(TRIM(Flights!$L$25)="A339","Required","N/A – rule")</f>
        <v>N/A – rule</v>
      </c>
      <c r="O667" s="67" t="s">
        <v>355</v>
      </c>
      <c r="P667" s="57" t="s">
        <v>177</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IF(N667="N/A – rule","N/A – RULE",IF(TRIM(U667)="N/A",IF(AT667=0,"INVALID – N/A not permitted for this mandatory check",IF(AND(TRIM(AC667)&lt;&gt;"",TRIM(AE667)&lt;&gt;"",TRIM(T667)&lt;&gt;""),"N/A – JUSTIFIED","INVALID – N/A needs justification, PIC and verifier")),IF(OR(TRIM(U667)="Pass",TRIM(U667)="Pass after CA"),IF(NOT(ISNUMBER(AD667)),"INVALID – completion time missing",IF(TRIM(T667)="","INVALID – PIC missing",IF(TRIM(Z667)="","INVALID – evidence missing",IF(TRIM(AE667)="","INVALID – verifier missing",IF(AND(AQ667=1,TRIM(W667)=""),"INVALID – batch ID missing",IF(AND(AR667=1,OR(NOT(ISNUMBER(X667)),NOT(ISNUMBER(Y667)))),"INVALID – expected/actual qty missing",IF(IF(AND(TRIM(U667)="Pass",ISNUMBER(AF667)),IF(AF667&lt;&gt;0,"INVALID – qty variance: use Fail or Pass after CA",""),"")&amp;IF(AND(TRIM(U667)="Pass",AB667="Open"),"INVALID – corrective action still open: use Fail, then Pass after CA","")&amp;IF(AND(TRIM(U667)="Pass after CA",OR(TRIM(AA667)="",AB667&lt;&gt;"Closed")),"INVALID – corrective action not recorded/closed","")&lt;&gt;"",IF(AND(TRIM(U667)="Pass",ISNUMBER(AF667)),IF(AF667&lt;&gt;0,"INVALID – qty variance: use Fail or Pass after CA",""),"")&amp;IF(AND(TRIM(U667)="Pass",AB667="Open"),"INVALID – corrective action still open: use Fail, then Pass after CA","")&amp;IF(AND(TRIM(U667)="Pass after CA",OR(TRIM(AA667)="",AB667&lt;&gt;"Closed")),"INVALID – corrective action not recorded/closed",""),IF(AND(AS667=1,Documents!$J$25&lt;&gt;"ON FILE"),"INVALID – GLD not on file (Documents sheet)",IF(AND(AS667=2,Documents!$O$25&lt;&gt;"ON FILE"),"INVALID – menu checklist not on file (Documents sheet)",IF(AND(AS667=3,NOT(ISNUMBER(Flights!$AX$25))),"INVALID – enter carrying flight KUL departure (Flights AX)",IF(AG667&gt;AsOfUTC,"INVALID – completion time is in the future",IF(AND(ISNUMBER(S667),AG667&lt;S667),IF(H667="Physical uplift","INVALID – before uplift window (cannot confirm loading)","INVALID – before valid window"),IF(AG667&gt;Flights!$AA$25,"INVALID – completed after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f>
        <v>N/A – RULE</v>
      </c>
      <c r="AI667" s="61" t="n">
        <f aca="false">IF(OR(AH667="N/A – RULE",AH667="N/A – JUSTIFIED"),0,1)</f>
        <v>0</v>
      </c>
      <c r="AJ667" s="61" t="n">
        <f aca="false">IF(LEFT(AH667,8)="COMPLETE",1,0)</f>
        <v>0</v>
      </c>
      <c r="AK667" s="61" t="n">
        <f aca="false">IF(AND(AI667=1,AJ667=0,AsOfUTC&gt;Q667),1,0)</f>
        <v>0</v>
      </c>
      <c r="AL667" s="61" t="n">
        <f aca="false">IF(AND(AI667=1,OR(TRIM(U667)="Fail",AB667="Open",AND(ISNUMBER(AF667),AF667&lt;&gt;0,TRIM(U667)&lt;&gt;"Pass after CA"))),1,0)</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row>
    <row r="668" customFormat="false" ht="39.75" hidden="false" customHeight="true" outlineLevel="0" collapsed="false">
      <c r="A668" s="57" t="s">
        <v>1348</v>
      </c>
      <c r="B668" s="57" t="s">
        <v>300</v>
      </c>
      <c r="C668" s="57" t="str">
        <f aca="false">Flights!$F$25</f>
        <v>MH1437</v>
      </c>
      <c r="D668" s="58" t="n">
        <f aca="false">Flights!$D$25</f>
        <v>46325</v>
      </c>
      <c r="E668" s="57" t="str">
        <f aca="false">Flights!$G$25&amp;"-"&amp;Flights!$H$25</f>
        <v>LGK-KUL</v>
      </c>
      <c r="F668" s="57" t="str">
        <f aca="false">Flights!$K$25</f>
        <v>BC</v>
      </c>
      <c r="G668" s="57" t="s">
        <v>74</v>
      </c>
      <c r="H668" s="57" t="s">
        <v>341</v>
      </c>
      <c r="I668" s="57" t="s">
        <v>357</v>
      </c>
      <c r="J668" s="57" t="s">
        <v>358</v>
      </c>
      <c r="K668" s="67" t="s">
        <v>359</v>
      </c>
      <c r="L668" s="67" t="s">
        <v>345</v>
      </c>
      <c r="M668" s="67"/>
      <c r="N668" s="67" t="s">
        <v>346</v>
      </c>
      <c r="O668" s="67"/>
      <c r="P668" s="57" t="s">
        <v>177</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IF(N668="N/A – rule","N/A – RULE",IF(TRIM(U668)="N/A",IF(AT668=0,"INVALID – N/A not permitted for this mandatory check",IF(AND(TRIM(AC668)&lt;&gt;"",TRIM(AE668)&lt;&gt;"",TRIM(T668)&lt;&gt;""),"N/A – JUSTIFIED","INVALID – N/A needs justification, PIC and verifier")),IF(OR(TRIM(U668)="Pass",TRIM(U668)="Pass after CA"),IF(NOT(ISNUMBER(AD668)),"INVALID – completion time missing",IF(TRIM(T668)="","INVALID – PIC missing",IF(TRIM(Z668)="","INVALID – evidence missing",IF(TRIM(AE668)="","INVALID – verifier missing",IF(AND(AQ668=1,TRIM(W668)=""),"INVALID – batch ID missing",IF(AND(AR668=1,OR(NOT(ISNUMBER(X668)),NOT(ISNUMBER(Y668)))),"INVALID – expected/actual qty missing",IF(IF(AND(TRIM(U668)="Pass",ISNUMBER(AF668)),IF(AF668&lt;&gt;0,"INVALID – qty variance: use Fail or Pass after CA",""),"")&amp;IF(AND(TRIM(U668)="Pass",AB668="Open"),"INVALID – corrective action still open: use Fail, then Pass after CA","")&amp;IF(AND(TRIM(U668)="Pass after CA",OR(TRIM(AA668)="",AB668&lt;&gt;"Closed")),"INVALID – corrective action not recorded/closed","")&lt;&gt;"",IF(AND(TRIM(U668)="Pass",ISNUMBER(AF668)),IF(AF668&lt;&gt;0,"INVALID – qty variance: use Fail or Pass after CA",""),"")&amp;IF(AND(TRIM(U668)="Pass",AB668="Open"),"INVALID – corrective action still open: use Fail, then Pass after CA","")&amp;IF(AND(TRIM(U668)="Pass after CA",OR(TRIM(AA668)="",AB668&lt;&gt;"Closed")),"INVALID – corrective action not recorded/closed",""),IF(AND(AS668=1,Documents!$J$25&lt;&gt;"ON FILE"),"INVALID – GLD not on file (Documents sheet)",IF(AND(AS668=2,Documents!$O$25&lt;&gt;"ON FILE"),"INVALID – menu checklist not on file (Documents sheet)",IF(AND(AS668=3,NOT(ISNUMBER(Flights!$AX$25))),"INVALID – enter carrying flight KUL departure (Flights AX)",IF(AG668&gt;AsOfUTC,"INVALID – completion time is in the future",IF(AND(ISNUMBER(S668),AG668&lt;S668),IF(H668="Physical uplift","INVALID – before uplift window (cannot confirm loading)","INVALID – before valid window"),IF(AG668&gt;Flights!$AA$25,"INVALID – completed after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f>
        <v>OPEN</v>
      </c>
      <c r="AI668" s="61" t="n">
        <f aca="false">IF(OR(AH668="N/A – RULE",AH668="N/A – JUSTIFIED"),0,1)</f>
        <v>1</v>
      </c>
      <c r="AJ668" s="61" t="n">
        <f aca="false">IF(LEFT(AH668,8)="COMPLETE",1,0)</f>
        <v>0</v>
      </c>
      <c r="AK668" s="61" t="n">
        <f aca="false">IF(AND(AI668=1,AJ668=0,AsOfUTC&gt;Q668),1,0)</f>
        <v>0</v>
      </c>
      <c r="AL668" s="61" t="n">
        <f aca="false">IF(AND(AI668=1,OR(TRIM(U668)="Fail",AB668="Open",AND(ISNUMBER(AF668),AF668&lt;&gt;0,TRIM(U668)&lt;&gt;"Pass after CA"))),1,0)</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row>
    <row r="669" customFormat="false" ht="39.75" hidden="false" customHeight="true" outlineLevel="0" collapsed="false">
      <c r="A669" s="57" t="s">
        <v>1349</v>
      </c>
      <c r="B669" s="57" t="s">
        <v>300</v>
      </c>
      <c r="C669" s="57" t="str">
        <f aca="false">Flights!$F$25</f>
        <v>MH1437</v>
      </c>
      <c r="D669" s="58" t="n">
        <f aca="false">Flights!$D$25</f>
        <v>46325</v>
      </c>
      <c r="E669" s="57" t="str">
        <f aca="false">Flights!$G$25&amp;"-"&amp;Flights!$H$25</f>
        <v>LGK-KUL</v>
      </c>
      <c r="F669" s="57" t="str">
        <f aca="false">Flights!$K$25</f>
        <v>BC</v>
      </c>
      <c r="G669" s="57" t="s">
        <v>74</v>
      </c>
      <c r="H669" s="57" t="s">
        <v>341</v>
      </c>
      <c r="I669" s="57" t="s">
        <v>361</v>
      </c>
      <c r="J669" s="57" t="s">
        <v>362</v>
      </c>
      <c r="K669" s="67" t="s">
        <v>363</v>
      </c>
      <c r="L669" s="67" t="s">
        <v>345</v>
      </c>
      <c r="M669" s="67"/>
      <c r="N669" s="67" t="s">
        <v>346</v>
      </c>
      <c r="O669" s="67"/>
      <c r="P669" s="57" t="s">
        <v>177</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IF(N669="N/A – rule","N/A – RULE",IF(TRIM(U669)="N/A",IF(AT669=0,"INVALID – N/A not permitted for this mandatory check",IF(AND(TRIM(AC669)&lt;&gt;"",TRIM(AE669)&lt;&gt;"",TRIM(T669)&lt;&gt;""),"N/A – JUSTIFIED","INVALID – N/A needs justification, PIC and verifier")),IF(OR(TRIM(U669)="Pass",TRIM(U669)="Pass after CA"),IF(NOT(ISNUMBER(AD669)),"INVALID – completion time missing",IF(TRIM(T669)="","INVALID – PIC missing",IF(TRIM(Z669)="","INVALID – evidence missing",IF(TRIM(AE669)="","INVALID – verifier missing",IF(AND(AQ669=1,TRIM(W669)=""),"INVALID – batch ID missing",IF(AND(AR669=1,OR(NOT(ISNUMBER(X669)),NOT(ISNUMBER(Y669)))),"INVALID – expected/actual qty missing",IF(IF(AND(TRIM(U669)="Pass",ISNUMBER(AF669)),IF(AF669&lt;&gt;0,"INVALID – qty variance: use Fail or Pass after CA",""),"")&amp;IF(AND(TRIM(U669)="Pass",AB669="Open"),"INVALID – corrective action still open: use Fail, then Pass after CA","")&amp;IF(AND(TRIM(U669)="Pass after CA",OR(TRIM(AA669)="",AB669&lt;&gt;"Closed")),"INVALID – corrective action not recorded/closed","")&lt;&gt;"",IF(AND(TRIM(U669)="Pass",ISNUMBER(AF669)),IF(AF669&lt;&gt;0,"INVALID – qty variance: use Fail or Pass after CA",""),"")&amp;IF(AND(TRIM(U669)="Pass",AB669="Open"),"INVALID – corrective action still open: use Fail, then Pass after CA","")&amp;IF(AND(TRIM(U669)="Pass after CA",OR(TRIM(AA669)="",AB669&lt;&gt;"Closed")),"INVALID – corrective action not recorded/closed",""),IF(AND(AS669=1,Documents!$J$25&lt;&gt;"ON FILE"),"INVALID – GLD not on file (Documents sheet)",IF(AND(AS669=2,Documents!$O$25&lt;&gt;"ON FILE"),"INVALID – menu checklist not on file (Documents sheet)",IF(AND(AS669=3,NOT(ISNUMBER(Flights!$AX$25))),"INVALID – enter carrying flight KUL departure (Flights AX)",IF(AG669&gt;AsOfUTC,"INVALID – completion time is in the future",IF(AND(ISNUMBER(S669),AG669&lt;S669),IF(H669="Physical uplift","INVALID – before uplift window (cannot confirm loading)","INVALID – before valid window"),IF(AG669&gt;Flights!$AA$25,"INVALID – completed after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f>
        <v>OPEN</v>
      </c>
      <c r="AI669" s="61" t="n">
        <f aca="false">IF(OR(AH669="N/A – RULE",AH669="N/A – JUSTIFIED"),0,1)</f>
        <v>1</v>
      </c>
      <c r="AJ669" s="61" t="n">
        <f aca="false">IF(LEFT(AH669,8)="COMPLETE",1,0)</f>
        <v>0</v>
      </c>
      <c r="AK669" s="61" t="n">
        <f aca="false">IF(AND(AI669=1,AJ669=0,AsOfUTC&gt;Q669),1,0)</f>
        <v>0</v>
      </c>
      <c r="AL669" s="61" t="n">
        <f aca="false">IF(AND(AI669=1,OR(TRIM(U669)="Fail",AB669="Open",AND(ISNUMBER(AF669),AF669&lt;&gt;0,TRIM(U669)&lt;&gt;"Pass after CA"))),1,0)</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row>
    <row r="670" customFormat="false" ht="39.75" hidden="false" customHeight="true" outlineLevel="0" collapsed="false">
      <c r="A670" s="57" t="s">
        <v>1350</v>
      </c>
      <c r="B670" s="57" t="s">
        <v>300</v>
      </c>
      <c r="C670" s="57" t="str">
        <f aca="false">Flights!$F$25</f>
        <v>MH1437</v>
      </c>
      <c r="D670" s="58" t="n">
        <f aca="false">Flights!$D$25</f>
        <v>46325</v>
      </c>
      <c r="E670" s="57" t="str">
        <f aca="false">Flights!$G$25&amp;"-"&amp;Flights!$H$25</f>
        <v>LGK-KUL</v>
      </c>
      <c r="F670" s="57" t="str">
        <f aca="false">Flights!$K$25</f>
        <v>BC</v>
      </c>
      <c r="G670" s="57" t="s">
        <v>74</v>
      </c>
      <c r="H670" s="57" t="s">
        <v>341</v>
      </c>
      <c r="I670" s="57" t="s">
        <v>361</v>
      </c>
      <c r="J670" s="57" t="s">
        <v>365</v>
      </c>
      <c r="K670" s="67" t="s">
        <v>366</v>
      </c>
      <c r="L670" s="67" t="s">
        <v>345</v>
      </c>
      <c r="M670" s="67"/>
      <c r="N670" s="67" t="s">
        <v>346</v>
      </c>
      <c r="O670" s="67"/>
      <c r="P670" s="57" t="s">
        <v>177</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IF(N670="N/A – rule","N/A – RULE",IF(TRIM(U670)="N/A",IF(AT670=0,"INVALID – N/A not permitted for this mandatory check",IF(AND(TRIM(AC670)&lt;&gt;"",TRIM(AE670)&lt;&gt;"",TRIM(T670)&lt;&gt;""),"N/A – JUSTIFIED","INVALID – N/A needs justification, PIC and verifier")),IF(OR(TRIM(U670)="Pass",TRIM(U670)="Pass after CA"),IF(NOT(ISNUMBER(AD670)),"INVALID – completion time missing",IF(TRIM(T670)="","INVALID – PIC missing",IF(TRIM(Z670)="","INVALID – evidence missing",IF(TRIM(AE670)="","INVALID – verifier missing",IF(AND(AQ670=1,TRIM(W670)=""),"INVALID – batch ID missing",IF(AND(AR670=1,OR(NOT(ISNUMBER(X670)),NOT(ISNUMBER(Y670)))),"INVALID – expected/actual qty missing",IF(IF(AND(TRIM(U670)="Pass",ISNUMBER(AF670)),IF(AF670&lt;&gt;0,"INVALID – qty variance: use Fail or Pass after CA",""),"")&amp;IF(AND(TRIM(U670)="Pass",AB670="Open"),"INVALID – corrective action still open: use Fail, then Pass after CA","")&amp;IF(AND(TRIM(U670)="Pass after CA",OR(TRIM(AA670)="",AB670&lt;&gt;"Closed")),"INVALID – corrective action not recorded/closed","")&lt;&gt;"",IF(AND(TRIM(U670)="Pass",ISNUMBER(AF670)),IF(AF670&lt;&gt;0,"INVALID – qty variance: use Fail or Pass after CA",""),"")&amp;IF(AND(TRIM(U670)="Pass",AB670="Open"),"INVALID – corrective action still open: use Fail, then Pass after CA","")&amp;IF(AND(TRIM(U670)="Pass after CA",OR(TRIM(AA670)="",AB670&lt;&gt;"Closed")),"INVALID – corrective action not recorded/closed",""),IF(AND(AS670=1,Documents!$J$25&lt;&gt;"ON FILE"),"INVALID – GLD not on file (Documents sheet)",IF(AND(AS670=2,Documents!$O$25&lt;&gt;"ON FILE"),"INVALID – menu checklist not on file (Documents sheet)",IF(AND(AS670=3,NOT(ISNUMBER(Flights!$AX$25))),"INVALID – enter carrying flight KUL departure (Flights AX)",IF(AG670&gt;AsOfUTC,"INVALID – completion time is in the future",IF(AND(ISNUMBER(S670),AG670&lt;S670),IF(H670="Physical uplift","INVALID – before uplift window (cannot confirm loading)","INVALID – before valid window"),IF(AG670&gt;Flights!$AA$25,"INVALID – completed after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f>
        <v>OPEN</v>
      </c>
      <c r="AI670" s="61" t="n">
        <f aca="false">IF(OR(AH670="N/A – RULE",AH670="N/A – JUSTIFIED"),0,1)</f>
        <v>1</v>
      </c>
      <c r="AJ670" s="61" t="n">
        <f aca="false">IF(LEFT(AH670,8)="COMPLETE",1,0)</f>
        <v>0</v>
      </c>
      <c r="AK670" s="61" t="n">
        <f aca="false">IF(AND(AI670=1,AJ670=0,AsOfUTC&gt;Q670),1,0)</f>
        <v>0</v>
      </c>
      <c r="AL670" s="61" t="n">
        <f aca="false">IF(AND(AI670=1,OR(TRIM(U670)="Fail",AB670="Open",AND(ISNUMBER(AF670),AF670&lt;&gt;0,TRIM(U670)&lt;&gt;"Pass after CA"))),1,0)</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row>
    <row r="671" customFormat="false" ht="39.75" hidden="false" customHeight="true" outlineLevel="0" collapsed="false">
      <c r="A671" s="57" t="s">
        <v>1351</v>
      </c>
      <c r="B671" s="57" t="s">
        <v>300</v>
      </c>
      <c r="C671" s="57" t="str">
        <f aca="false">Flights!$F$25</f>
        <v>MH1437</v>
      </c>
      <c r="D671" s="58" t="n">
        <f aca="false">Flights!$D$25</f>
        <v>46325</v>
      </c>
      <c r="E671" s="57" t="str">
        <f aca="false">Flights!$G$25&amp;"-"&amp;Flights!$H$25</f>
        <v>LGK-KUL</v>
      </c>
      <c r="F671" s="57" t="str">
        <f aca="false">Flights!$K$25</f>
        <v>BC</v>
      </c>
      <c r="G671" s="57" t="s">
        <v>74</v>
      </c>
      <c r="H671" s="57" t="s">
        <v>341</v>
      </c>
      <c r="I671" s="57" t="s">
        <v>368</v>
      </c>
      <c r="J671" s="57" t="s">
        <v>369</v>
      </c>
      <c r="K671" s="67" t="s">
        <v>370</v>
      </c>
      <c r="L671" s="67" t="s">
        <v>345</v>
      </c>
      <c r="M671" s="67"/>
      <c r="N671" s="67" t="s">
        <v>346</v>
      </c>
      <c r="O671" s="67"/>
      <c r="P671" s="57" t="s">
        <v>177</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IF(N671="N/A – rule","N/A – RULE",IF(TRIM(U671)="N/A",IF(AT671=0,"INVALID – N/A not permitted for this mandatory check",IF(AND(TRIM(AC671)&lt;&gt;"",TRIM(AE671)&lt;&gt;"",TRIM(T671)&lt;&gt;""),"N/A – JUSTIFIED","INVALID – N/A needs justification, PIC and verifier")),IF(OR(TRIM(U671)="Pass",TRIM(U671)="Pass after CA"),IF(NOT(ISNUMBER(AD671)),"INVALID – completion time missing",IF(TRIM(T671)="","INVALID – PIC missing",IF(TRIM(Z671)="","INVALID – evidence missing",IF(TRIM(AE671)="","INVALID – verifier missing",IF(AND(AQ671=1,TRIM(W671)=""),"INVALID – batch ID missing",IF(AND(AR671=1,OR(NOT(ISNUMBER(X671)),NOT(ISNUMBER(Y671)))),"INVALID – expected/actual qty missing",IF(IF(AND(TRIM(U671)="Pass",ISNUMBER(AF671)),IF(AF671&lt;&gt;0,"INVALID – qty variance: use Fail or Pass after CA",""),"")&amp;IF(AND(TRIM(U671)="Pass",AB671="Open"),"INVALID – corrective action still open: use Fail, then Pass after CA","")&amp;IF(AND(TRIM(U671)="Pass after CA",OR(TRIM(AA671)="",AB671&lt;&gt;"Closed")),"INVALID – corrective action not recorded/closed","")&lt;&gt;"",IF(AND(TRIM(U671)="Pass",ISNUMBER(AF671)),IF(AF671&lt;&gt;0,"INVALID – qty variance: use Fail or Pass after CA",""),"")&amp;IF(AND(TRIM(U671)="Pass",AB671="Open"),"INVALID – corrective action still open: use Fail, then Pass after CA","")&amp;IF(AND(TRIM(U671)="Pass after CA",OR(TRIM(AA671)="",AB671&lt;&gt;"Closed")),"INVALID – corrective action not recorded/closed",""),IF(AND(AS671=1,Documents!$J$25&lt;&gt;"ON FILE"),"INVALID – GLD not on file (Documents sheet)",IF(AND(AS671=2,Documents!$O$25&lt;&gt;"ON FILE"),"INVALID – menu checklist not on file (Documents sheet)",IF(AND(AS671=3,NOT(ISNUMBER(Flights!$AX$25))),"INVALID – enter carrying flight KUL departure (Flights AX)",IF(AG671&gt;AsOfUTC,"INVALID – completion time is in the future",IF(AND(ISNUMBER(S671),AG671&lt;S671),IF(H671="Physical uplift","INVALID – before uplift window (cannot confirm loading)","INVALID – before valid window"),IF(AG671&gt;Flights!$AA$25,"INVALID – completed after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f>
        <v>OPEN</v>
      </c>
      <c r="AI671" s="61" t="n">
        <f aca="false">IF(OR(AH671="N/A – RULE",AH671="N/A – JUSTIFIED"),0,1)</f>
        <v>1</v>
      </c>
      <c r="AJ671" s="61" t="n">
        <f aca="false">IF(LEFT(AH671,8)="COMPLETE",1,0)</f>
        <v>0</v>
      </c>
      <c r="AK671" s="61" t="n">
        <f aca="false">IF(AND(AI671=1,AJ671=0,AsOfUTC&gt;Q671),1,0)</f>
        <v>0</v>
      </c>
      <c r="AL671" s="61" t="n">
        <f aca="false">IF(AND(AI671=1,OR(TRIM(U671)="Fail",AB671="Open",AND(ISNUMBER(AF671),AF671&lt;&gt;0,TRIM(U671)&lt;&gt;"Pass after CA"))),1,0)</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row>
    <row r="672" customFormat="false" ht="39.75" hidden="false" customHeight="true" outlineLevel="0" collapsed="false">
      <c r="A672" s="57" t="s">
        <v>1352</v>
      </c>
      <c r="B672" s="57" t="s">
        <v>300</v>
      </c>
      <c r="C672" s="57" t="str">
        <f aca="false">Flights!$F$25</f>
        <v>MH1437</v>
      </c>
      <c r="D672" s="58" t="n">
        <f aca="false">Flights!$D$25</f>
        <v>46325</v>
      </c>
      <c r="E672" s="57" t="str">
        <f aca="false">Flights!$G$25&amp;"-"&amp;Flights!$H$25</f>
        <v>LGK-KUL</v>
      </c>
      <c r="F672" s="57" t="str">
        <f aca="false">Flights!$K$25</f>
        <v>BC</v>
      </c>
      <c r="G672" s="57" t="s">
        <v>74</v>
      </c>
      <c r="H672" s="57" t="s">
        <v>341</v>
      </c>
      <c r="I672" s="57" t="s">
        <v>368</v>
      </c>
      <c r="J672" s="57" t="s">
        <v>372</v>
      </c>
      <c r="K672" s="67" t="s">
        <v>370</v>
      </c>
      <c r="L672" s="67" t="s">
        <v>345</v>
      </c>
      <c r="M672" s="67"/>
      <c r="N672" s="67" t="s">
        <v>346</v>
      </c>
      <c r="O672" s="67"/>
      <c r="P672" s="57" t="s">
        <v>177</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IF(N672="N/A – rule","N/A – RULE",IF(TRIM(U672)="N/A",IF(AT672=0,"INVALID – N/A not permitted for this mandatory check",IF(AND(TRIM(AC672)&lt;&gt;"",TRIM(AE672)&lt;&gt;"",TRIM(T672)&lt;&gt;""),"N/A – JUSTIFIED","INVALID – N/A needs justification, PIC and verifier")),IF(OR(TRIM(U672)="Pass",TRIM(U672)="Pass after CA"),IF(NOT(ISNUMBER(AD672)),"INVALID – completion time missing",IF(TRIM(T672)="","INVALID – PIC missing",IF(TRIM(Z672)="","INVALID – evidence missing",IF(TRIM(AE672)="","INVALID – verifier missing",IF(AND(AQ672=1,TRIM(W672)=""),"INVALID – batch ID missing",IF(AND(AR672=1,OR(NOT(ISNUMBER(X672)),NOT(ISNUMBER(Y672)))),"INVALID – expected/actual qty missing",IF(IF(AND(TRIM(U672)="Pass",ISNUMBER(AF672)),IF(AF672&lt;&gt;0,"INVALID – qty variance: use Fail or Pass after CA",""),"")&amp;IF(AND(TRIM(U672)="Pass",AB672="Open"),"INVALID – corrective action still open: use Fail, then Pass after CA","")&amp;IF(AND(TRIM(U672)="Pass after CA",OR(TRIM(AA672)="",AB672&lt;&gt;"Closed")),"INVALID – corrective action not recorded/closed","")&lt;&gt;"",IF(AND(TRIM(U672)="Pass",ISNUMBER(AF672)),IF(AF672&lt;&gt;0,"INVALID – qty variance: use Fail or Pass after CA",""),"")&amp;IF(AND(TRIM(U672)="Pass",AB672="Open"),"INVALID – corrective action still open: use Fail, then Pass after CA","")&amp;IF(AND(TRIM(U672)="Pass after CA",OR(TRIM(AA672)="",AB672&lt;&gt;"Closed")),"INVALID – corrective action not recorded/closed",""),IF(AND(AS672=1,Documents!$J$25&lt;&gt;"ON FILE"),"INVALID – GLD not on file (Documents sheet)",IF(AND(AS672=2,Documents!$O$25&lt;&gt;"ON FILE"),"INVALID – menu checklist not on file (Documents sheet)",IF(AND(AS672=3,NOT(ISNUMBER(Flights!$AX$25))),"INVALID – enter carrying flight KUL departure (Flights AX)",IF(AG672&gt;AsOfUTC,"INVALID – completion time is in the future",IF(AND(ISNUMBER(S672),AG672&lt;S672),IF(H672="Physical uplift","INVALID – before uplift window (cannot confirm loading)","INVALID – before valid window"),IF(AG672&gt;Flights!$AA$25,"INVALID – completed after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f>
        <v>OPEN</v>
      </c>
      <c r="AI672" s="61" t="n">
        <f aca="false">IF(OR(AH672="N/A – RULE",AH672="N/A – JUSTIFIED"),0,1)</f>
        <v>1</v>
      </c>
      <c r="AJ672" s="61" t="n">
        <f aca="false">IF(LEFT(AH672,8)="COMPLETE",1,0)</f>
        <v>0</v>
      </c>
      <c r="AK672" s="61" t="n">
        <f aca="false">IF(AND(AI672=1,AJ672=0,AsOfUTC&gt;Q672),1,0)</f>
        <v>0</v>
      </c>
      <c r="AL672" s="61" t="n">
        <f aca="false">IF(AND(AI672=1,OR(TRIM(U672)="Fail",AB672="Open",AND(ISNUMBER(AF672),AF672&lt;&gt;0,TRIM(U672)&lt;&gt;"Pass after CA"))),1,0)</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row>
    <row r="673" customFormat="false" ht="41.25" hidden="false" customHeight="true" outlineLevel="0" collapsed="false">
      <c r="A673" s="57" t="s">
        <v>1353</v>
      </c>
      <c r="B673" s="57" t="s">
        <v>300</v>
      </c>
      <c r="C673" s="57" t="str">
        <f aca="false">Flights!$F$25</f>
        <v>MH1437</v>
      </c>
      <c r="D673" s="58" t="n">
        <f aca="false">Flights!$D$25</f>
        <v>46325</v>
      </c>
      <c r="E673" s="57" t="str">
        <f aca="false">Flights!$G$25&amp;"-"&amp;Flights!$H$25</f>
        <v>LGK-KUL</v>
      </c>
      <c r="F673" s="57" t="str">
        <f aca="false">Flights!$K$25</f>
        <v>BC</v>
      </c>
      <c r="G673" s="57" t="s">
        <v>74</v>
      </c>
      <c r="H673" s="57" t="s">
        <v>341</v>
      </c>
      <c r="I673" s="57" t="s">
        <v>374</v>
      </c>
      <c r="J673" s="57" t="s">
        <v>375</v>
      </c>
      <c r="K673" s="67" t="s">
        <v>885</v>
      </c>
      <c r="L673" s="67" t="s">
        <v>1331</v>
      </c>
      <c r="M673" s="67"/>
      <c r="N673" s="67" t="s">
        <v>346</v>
      </c>
      <c r="O673" s="67" t="s">
        <v>930</v>
      </c>
      <c r="P673" s="57" t="s">
        <v>177</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IF(N673="N/A – rule","N/A – RULE",IF(TRIM(U673)="N/A",IF(AT673=0,"INVALID – N/A not permitted for this mandatory check",IF(AND(TRIM(AC673)&lt;&gt;"",TRIM(AE673)&lt;&gt;"",TRIM(T673)&lt;&gt;""),"N/A – JUSTIFIED","INVALID – N/A needs justification, PIC and verifier")),IF(OR(TRIM(U673)="Pass",TRIM(U673)="Pass after CA"),IF(NOT(ISNUMBER(AD673)),"INVALID – completion time missing",IF(TRIM(T673)="","INVALID – PIC missing",IF(TRIM(Z673)="","INVALID – evidence missing",IF(TRIM(AE673)="","INVALID – verifier missing",IF(AND(AQ673=1,TRIM(W673)=""),"INVALID – batch ID missing",IF(AND(AR673=1,OR(NOT(ISNUMBER(X673)),NOT(ISNUMBER(Y673)))),"INVALID – expected/actual qty missing",IF(IF(AND(TRIM(U673)="Pass",ISNUMBER(AF673)),IF(AF673&lt;&gt;0,"INVALID – qty variance: use Fail or Pass after CA",""),"")&amp;IF(AND(TRIM(U673)="Pass",AB673="Open"),"INVALID – corrective action still open: use Fail, then Pass after CA","")&amp;IF(AND(TRIM(U673)="Pass after CA",OR(TRIM(AA673)="",AB673&lt;&gt;"Closed")),"INVALID – corrective action not recorded/closed","")&lt;&gt;"",IF(AND(TRIM(U673)="Pass",ISNUMBER(AF673)),IF(AF673&lt;&gt;0,"INVALID – qty variance: use Fail or Pass after CA",""),"")&amp;IF(AND(TRIM(U673)="Pass",AB673="Open"),"INVALID – corrective action still open: use Fail, then Pass after CA","")&amp;IF(AND(TRIM(U673)="Pass after CA",OR(TRIM(AA673)="",AB673&lt;&gt;"Closed")),"INVALID – corrective action not recorded/closed",""),IF(AND(AS673=1,Documents!$J$25&lt;&gt;"ON FILE"),"INVALID – GLD not on file (Documents sheet)",IF(AND(AS673=2,Documents!$O$25&lt;&gt;"ON FILE"),"INVALID – menu checklist not on file (Documents sheet)",IF(AND(AS673=3,NOT(ISNUMBER(Flights!$AX$25))),"INVALID – enter carrying flight KUL departure (Flights AX)",IF(AG673&gt;AsOfUTC,"INVALID – completion time is in the future",IF(AND(ISNUMBER(S673),AG673&lt;S673),IF(H673="Physical uplift","INVALID – before uplift window (cannot confirm loading)","INVALID – before valid window"),IF(AG673&gt;Flights!$AA$25,"INVALID – completed after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f>
        <v>OPEN</v>
      </c>
      <c r="AI673" s="61" t="n">
        <f aca="false">IF(OR(AH673="N/A – RULE",AH673="N/A – JUSTIFIED"),0,1)</f>
        <v>1</v>
      </c>
      <c r="AJ673" s="61" t="n">
        <f aca="false">IF(LEFT(AH673,8)="COMPLETE",1,0)</f>
        <v>0</v>
      </c>
      <c r="AK673" s="61" t="n">
        <f aca="false">IF(AND(AI673=1,AJ673=0,AsOfUTC&gt;Q673),1,0)</f>
        <v>0</v>
      </c>
      <c r="AL673" s="61" t="n">
        <f aca="false">IF(AND(AI673=1,OR(TRIM(U673)="Fail",AB673="Open",AND(ISNUMBER(AF673),AF673&lt;&gt;0,TRIM(U673)&lt;&gt;"Pass after CA"))),1,0)</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row>
    <row r="674" customFormat="false" ht="78.75" hidden="false" customHeight="true" outlineLevel="0" collapsed="false">
      <c r="A674" s="57" t="s">
        <v>1354</v>
      </c>
      <c r="B674" s="57" t="s">
        <v>300</v>
      </c>
      <c r="C674" s="57" t="str">
        <f aca="false">Flights!$F$25</f>
        <v>MH1437</v>
      </c>
      <c r="D674" s="58" t="n">
        <f aca="false">Flights!$D$25</f>
        <v>46325</v>
      </c>
      <c r="E674" s="57" t="str">
        <f aca="false">Flights!$G$25&amp;"-"&amp;Flights!$H$25</f>
        <v>LGK-KUL</v>
      </c>
      <c r="F674" s="57" t="str">
        <f aca="false">Flights!$K$25</f>
        <v>BC</v>
      </c>
      <c r="G674" s="57" t="s">
        <v>74</v>
      </c>
      <c r="H674" s="57" t="s">
        <v>341</v>
      </c>
      <c r="I674" s="57" t="s">
        <v>374</v>
      </c>
      <c r="J674" s="57" t="s">
        <v>932</v>
      </c>
      <c r="K674" s="67" t="s">
        <v>1355</v>
      </c>
      <c r="L674" s="67" t="s">
        <v>1331</v>
      </c>
      <c r="M674" s="67"/>
      <c r="N674" s="67" t="s">
        <v>407</v>
      </c>
      <c r="O674" s="67" t="s">
        <v>1356</v>
      </c>
      <c r="P674" s="57" t="s">
        <v>177</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IF(N674="N/A – rule","N/A – RULE",IF(TRIM(U674)="N/A",IF(AT674=0,"INVALID – N/A not permitted for this mandatory check",IF(AND(TRIM(AC674)&lt;&gt;"",TRIM(AE674)&lt;&gt;"",TRIM(T674)&lt;&gt;""),"N/A – JUSTIFIED","INVALID – N/A needs justification, PIC and verifier")),IF(OR(TRIM(U674)="Pass",TRIM(U674)="Pass after CA"),IF(NOT(ISNUMBER(AD674)),"INVALID – completion time missing",IF(TRIM(T674)="","INVALID – PIC missing",IF(TRIM(Z674)="","INVALID – evidence missing",IF(TRIM(AE674)="","INVALID – verifier missing",IF(AND(AQ674=1,TRIM(W674)=""),"INVALID – batch ID missing",IF(AND(AR674=1,OR(NOT(ISNUMBER(X674)),NOT(ISNUMBER(Y674)))),"INVALID – expected/actual qty missing",IF(IF(AND(TRIM(U674)="Pass",ISNUMBER(AF674)),IF(AF674&lt;&gt;0,"INVALID – qty variance: use Fail or Pass after CA",""),"")&amp;IF(AND(TRIM(U674)="Pass",AB674="Open"),"INVALID – corrective action still open: use Fail, then Pass after CA","")&amp;IF(AND(TRIM(U674)="Pass after CA",OR(TRIM(AA674)="",AB674&lt;&gt;"Closed")),"INVALID – corrective action not recorded/closed","")&lt;&gt;"",IF(AND(TRIM(U674)="Pass",ISNUMBER(AF674)),IF(AF674&lt;&gt;0,"INVALID – qty variance: use Fail or Pass after CA",""),"")&amp;IF(AND(TRIM(U674)="Pass",AB674="Open"),"INVALID – corrective action still open: use Fail, then Pass after CA","")&amp;IF(AND(TRIM(U674)="Pass after CA",OR(TRIM(AA674)="",AB674&lt;&gt;"Closed")),"INVALID – corrective action not recorded/closed",""),IF(AND(AS674=1,Documents!$J$25&lt;&gt;"ON FILE"),"INVALID – GLD not on file (Documents sheet)",IF(AND(AS674=2,Documents!$O$25&lt;&gt;"ON FILE"),"INVALID – menu checklist not on file (Documents sheet)",IF(AND(AS674=3,NOT(ISNUMBER(Flights!$AX$25))),"INVALID – enter carrying flight KUL departure (Flights AX)",IF(AG674&gt;AsOfUTC,"INVALID – completion time is in the future",IF(AND(ISNUMBER(S674),AG674&lt;S674),IF(H674="Physical uplift","INVALID – before uplift window (cannot confirm loading)","INVALID – before valid window"),IF(AG674&gt;Flights!$AA$25,"INVALID – completed after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f>
        <v>OPEN – CLARIFICATION</v>
      </c>
      <c r="AI674" s="61" t="n">
        <f aca="false">IF(OR(AH674="N/A – RULE",AH674="N/A – JUSTIFIED"),0,1)</f>
        <v>1</v>
      </c>
      <c r="AJ674" s="61" t="n">
        <f aca="false">IF(LEFT(AH674,8)="COMPLETE",1,0)</f>
        <v>0</v>
      </c>
      <c r="AK674" s="61" t="n">
        <f aca="false">IF(AND(AI674=1,AJ674=0,AsOfUTC&gt;Q674),1,0)</f>
        <v>0</v>
      </c>
      <c r="AL674" s="61" t="n">
        <f aca="false">IF(AND(AI674=1,OR(TRIM(U674)="Fail",AB674="Open",AND(ISNUMBER(AF674),AF674&lt;&gt;0,TRIM(U674)&lt;&gt;"Pass after CA"))),1,0)</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1</v>
      </c>
    </row>
    <row r="675" customFormat="false" ht="39.75" hidden="false" customHeight="true" outlineLevel="0" collapsed="false">
      <c r="A675" s="57" t="s">
        <v>1357</v>
      </c>
      <c r="B675" s="57" t="s">
        <v>300</v>
      </c>
      <c r="C675" s="57" t="str">
        <f aca="false">Flights!$F$25</f>
        <v>MH1437</v>
      </c>
      <c r="D675" s="58" t="n">
        <f aca="false">Flights!$D$25</f>
        <v>46325</v>
      </c>
      <c r="E675" s="57" t="str">
        <f aca="false">Flights!$G$25&amp;"-"&amp;Flights!$H$25</f>
        <v>LGK-KUL</v>
      </c>
      <c r="F675" s="57" t="str">
        <f aca="false">Flights!$K$25</f>
        <v>BC</v>
      </c>
      <c r="G675" s="57" t="s">
        <v>76</v>
      </c>
      <c r="H675" s="57" t="s">
        <v>341</v>
      </c>
      <c r="I675" s="57" t="s">
        <v>342</v>
      </c>
      <c r="J675" s="57" t="s">
        <v>379</v>
      </c>
      <c r="K675" s="67" t="s">
        <v>380</v>
      </c>
      <c r="L675" s="67" t="s">
        <v>381</v>
      </c>
      <c r="M675" s="67"/>
      <c r="N675" s="67" t="s">
        <v>346</v>
      </c>
      <c r="O675" s="67" t="s">
        <v>936</v>
      </c>
      <c r="P675" s="57" t="s">
        <v>177</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IF(N675="N/A – rule","N/A – RULE",IF(TRIM(U675)="N/A",IF(AT675=0,"INVALID – N/A not permitted for this mandatory check",IF(AND(TRIM(AC675)&lt;&gt;"",TRIM(AE675)&lt;&gt;"",TRIM(T675)&lt;&gt;""),"N/A – JUSTIFIED","INVALID – N/A needs justification, PIC and verifier")),IF(OR(TRIM(U675)="Pass",TRIM(U675)="Pass after CA"),IF(NOT(ISNUMBER(AD675)),"INVALID – completion time missing",IF(TRIM(T675)="","INVALID – PIC missing",IF(TRIM(Z675)="","INVALID – evidence missing",IF(TRIM(AE675)="","INVALID – verifier missing",IF(AND(AQ675=1,TRIM(W675)=""),"INVALID – batch ID missing",IF(AND(AR675=1,OR(NOT(ISNUMBER(X675)),NOT(ISNUMBER(Y675)))),"INVALID – expected/actual qty missing",IF(IF(AND(TRIM(U675)="Pass",ISNUMBER(AF675)),IF(AF675&lt;&gt;0,"INVALID – qty variance: use Fail or Pass after CA",""),"")&amp;IF(AND(TRIM(U675)="Pass",AB675="Open"),"INVALID – corrective action still open: use Fail, then Pass after CA","")&amp;IF(AND(TRIM(U675)="Pass after CA",OR(TRIM(AA675)="",AB675&lt;&gt;"Closed")),"INVALID – corrective action not recorded/closed","")&lt;&gt;"",IF(AND(TRIM(U675)="Pass",ISNUMBER(AF675)),IF(AF675&lt;&gt;0,"INVALID – qty variance: use Fail or Pass after CA",""),"")&amp;IF(AND(TRIM(U675)="Pass",AB675="Open"),"INVALID – corrective action still open: use Fail, then Pass after CA","")&amp;IF(AND(TRIM(U675)="Pass after CA",OR(TRIM(AA675)="",AB675&lt;&gt;"Closed")),"INVALID – corrective action not recorded/closed",""),IF(AND(AS675=1,Documents!$J$25&lt;&gt;"ON FILE"),"INVALID – GLD not on file (Documents sheet)",IF(AND(AS675=2,Documents!$O$25&lt;&gt;"ON FILE"),"INVALID – menu checklist not on file (Documents sheet)",IF(AND(AS675=3,NOT(ISNUMBER(Flights!$AX$25))),"INVALID – enter carrying flight KUL departure (Flights AX)",IF(AG675&gt;AsOfUTC,"INVALID – completion time is in the future",IF(AND(ISNUMBER(S675),AG675&lt;S675),IF(H675="Physical uplift","INVALID – before uplift window (cannot confirm loading)","INVALID – before valid window"),IF(AG675&gt;Flights!$AA$25,"INVALID – completed after departure (cannot establish readiness)",IF(AND(H675="Physical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f>
        <v>OPEN</v>
      </c>
      <c r="AI675" s="61" t="n">
        <f aca="false">IF(OR(AH675="N/A – RULE",AH675="N/A – JUSTIFIED"),0,1)</f>
        <v>1</v>
      </c>
      <c r="AJ675" s="61" t="n">
        <f aca="false">IF(LEFT(AH675,8)="COMPLETE",1,0)</f>
        <v>0</v>
      </c>
      <c r="AK675" s="61" t="n">
        <f aca="false">IF(AND(AI675=1,AJ675=0,AsOfUTC&gt;Q675),1,0)</f>
        <v>0</v>
      </c>
      <c r="AL675" s="61" t="n">
        <f aca="false">IF(AND(AI675=1,OR(TRIM(U675)="Fail",AB675="Open",AND(ISNUMBER(AF675),AF675&lt;&gt;0,TRIM(U675)&lt;&gt;"Pass after CA"))),1,0)</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row>
    <row r="676" customFormat="false" ht="41.25" hidden="false" customHeight="true" outlineLevel="0" collapsed="false">
      <c r="A676" s="57" t="s">
        <v>1358</v>
      </c>
      <c r="B676" s="57" t="s">
        <v>300</v>
      </c>
      <c r="C676" s="57" t="str">
        <f aca="false">Flights!$F$25</f>
        <v>MH1437</v>
      </c>
      <c r="D676" s="58" t="n">
        <f aca="false">Flights!$D$25</f>
        <v>46325</v>
      </c>
      <c r="E676" s="57" t="str">
        <f aca="false">Flights!$G$25&amp;"-"&amp;Flights!$H$25</f>
        <v>LGK-KUL</v>
      </c>
      <c r="F676" s="57" t="str">
        <f aca="false">Flights!$K$25</f>
        <v>BC</v>
      </c>
      <c r="G676" s="57" t="s">
        <v>383</v>
      </c>
      <c r="H676" s="57" t="s">
        <v>341</v>
      </c>
      <c r="I676" s="57" t="s">
        <v>342</v>
      </c>
      <c r="J676" s="57" t="s">
        <v>384</v>
      </c>
      <c r="K676" s="67"/>
      <c r="L676" s="67" t="s">
        <v>385</v>
      </c>
      <c r="M676" s="67"/>
      <c r="N676" s="67" t="s">
        <v>346</v>
      </c>
      <c r="O676" s="67" t="s">
        <v>938</v>
      </c>
      <c r="P676" s="57" t="s">
        <v>177</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IF(N676="N/A – rule","N/A – RULE",IF(TRIM(U676)="N/A",IF(AT676=0,"INVALID – N/A not permitted for this mandatory check",IF(AND(TRIM(AC676)&lt;&gt;"",TRIM(AE676)&lt;&gt;"",TRIM(T676)&lt;&gt;""),"N/A – JUSTIFIED","INVALID – N/A needs justification, PIC and verifier")),IF(OR(TRIM(U676)="Pass",TRIM(U676)="Pass after CA"),IF(NOT(ISNUMBER(AD676)),"INVALID – completion time missing",IF(TRIM(T676)="","INVALID – PIC missing",IF(TRIM(Z676)="","INVALID – evidence missing",IF(TRIM(AE676)="","INVALID – verifier missing",IF(AND(AQ676=1,TRIM(W676)=""),"INVALID – batch ID missing",IF(AND(AR676=1,OR(NOT(ISNUMBER(X676)),NOT(ISNUMBER(Y676)))),"INVALID – expected/actual qty missing",IF(IF(AND(TRIM(U676)="Pass",ISNUMBER(AF676)),IF(AF676&lt;&gt;0,"INVALID – qty variance: use Fail or Pass after CA",""),"")&amp;IF(AND(TRIM(U676)="Pass",AB676="Open"),"INVALID – corrective action still open: use Fail, then Pass after CA","")&amp;IF(AND(TRIM(U676)="Pass after CA",OR(TRIM(AA676)="",AB676&lt;&gt;"Closed")),"INVALID – corrective action not recorded/closed","")&lt;&gt;"",IF(AND(TRIM(U676)="Pass",ISNUMBER(AF676)),IF(AF676&lt;&gt;0,"INVALID – qty variance: use Fail or Pass after CA",""),"")&amp;IF(AND(TRIM(U676)="Pass",AB676="Open"),"INVALID – corrective action still open: use Fail, then Pass after CA","")&amp;IF(AND(TRIM(U676)="Pass after CA",OR(TRIM(AA676)="",AB676&lt;&gt;"Closed")),"INVALID – corrective action not recorded/closed",""),IF(AND(AS676=1,Documents!$J$25&lt;&gt;"ON FILE"),"INVALID – GLD not on file (Documents sheet)",IF(AND(AS676=2,Documents!$O$25&lt;&gt;"ON FILE"),"INVALID – menu checklist not on file (Documents sheet)",IF(AND(AS676=3,NOT(ISNUMBER(Flights!$AX$25))),"INVALID – enter carrying flight KUL departure (Flights AX)",IF(AG676&gt;AsOfUTC,"INVALID – completion time is in the future",IF(AND(ISNUMBER(S676),AG676&lt;S676),IF(H676="Physical uplift","INVALID – before uplift window (cannot confirm loading)","INVALID – before valid window"),IF(AG676&gt;Flights!$AA$25,"INVALID – completed after departure (cannot establish readiness)",IF(AND(H676="Physical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f>
        <v>OPEN</v>
      </c>
      <c r="AI676" s="61" t="n">
        <f aca="false">IF(OR(AH676="N/A – RULE",AH676="N/A – JUSTIFIED"),0,1)</f>
        <v>1</v>
      </c>
      <c r="AJ676" s="61" t="n">
        <f aca="false">IF(LEFT(AH676,8)="COMPLETE",1,0)</f>
        <v>0</v>
      </c>
      <c r="AK676" s="61" t="n">
        <f aca="false">IF(AND(AI676=1,AJ676=0,AsOfUTC&gt;Q676),1,0)</f>
        <v>0</v>
      </c>
      <c r="AL676" s="61" t="n">
        <f aca="false">IF(AND(AI676=1,OR(TRIM(U676)="Fail",AB676="Open",AND(ISNUMBER(AF676),AF676&lt;&gt;0,TRIM(U676)&lt;&gt;"Pass after CA"))),1,0)</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row>
    <row r="677" customFormat="false" ht="41.25" hidden="false" customHeight="true" outlineLevel="0" collapsed="false">
      <c r="A677" s="57" t="s">
        <v>1359</v>
      </c>
      <c r="B677" s="57" t="s">
        <v>300</v>
      </c>
      <c r="C677" s="57" t="str">
        <f aca="false">Flights!$F$25</f>
        <v>MH1437</v>
      </c>
      <c r="D677" s="58" t="n">
        <f aca="false">Flights!$D$25</f>
        <v>46325</v>
      </c>
      <c r="E677" s="57" t="str">
        <f aca="false">Flights!$G$25&amp;"-"&amp;Flights!$H$25</f>
        <v>LGK-KUL</v>
      </c>
      <c r="F677" s="57" t="str">
        <f aca="false">Flights!$K$25</f>
        <v>BC</v>
      </c>
      <c r="G677" s="57" t="s">
        <v>383</v>
      </c>
      <c r="H677" s="57" t="s">
        <v>341</v>
      </c>
      <c r="I677" s="57" t="s">
        <v>342</v>
      </c>
      <c r="J677" s="57" t="s">
        <v>388</v>
      </c>
      <c r="K677" s="67" t="s">
        <v>389</v>
      </c>
      <c r="L677" s="67" t="s">
        <v>385</v>
      </c>
      <c r="M677" s="67"/>
      <c r="N677" s="67" t="s">
        <v>346</v>
      </c>
      <c r="O677" s="67" t="s">
        <v>938</v>
      </c>
      <c r="P677" s="57" t="s">
        <v>177</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IF(N677="N/A – rule","N/A – RULE",IF(TRIM(U677)="N/A",IF(AT677=0,"INVALID – N/A not permitted for this mandatory check",IF(AND(TRIM(AC677)&lt;&gt;"",TRIM(AE677)&lt;&gt;"",TRIM(T677)&lt;&gt;""),"N/A – JUSTIFIED","INVALID – N/A needs justification, PIC and verifier")),IF(OR(TRIM(U677)="Pass",TRIM(U677)="Pass after CA"),IF(NOT(ISNUMBER(AD677)),"INVALID – completion time missing",IF(TRIM(T677)="","INVALID – PIC missing",IF(TRIM(Z677)="","INVALID – evidence missing",IF(TRIM(AE677)="","INVALID – verifier missing",IF(AND(AQ677=1,TRIM(W677)=""),"INVALID – batch ID missing",IF(AND(AR677=1,OR(NOT(ISNUMBER(X677)),NOT(ISNUMBER(Y677)))),"INVALID – expected/actual qty missing",IF(IF(AND(TRIM(U677)="Pass",ISNUMBER(AF677)),IF(AF677&lt;&gt;0,"INVALID – qty variance: use Fail or Pass after CA",""),"")&amp;IF(AND(TRIM(U677)="Pass",AB677="Open"),"INVALID – corrective action still open: use Fail, then Pass after CA","")&amp;IF(AND(TRIM(U677)="Pass after CA",OR(TRIM(AA677)="",AB677&lt;&gt;"Closed")),"INVALID – corrective action not recorded/closed","")&lt;&gt;"",IF(AND(TRIM(U677)="Pass",ISNUMBER(AF677)),IF(AF677&lt;&gt;0,"INVALID – qty variance: use Fail or Pass after CA",""),"")&amp;IF(AND(TRIM(U677)="Pass",AB677="Open"),"INVALID – corrective action still open: use Fail, then Pass after CA","")&amp;IF(AND(TRIM(U677)="Pass after CA",OR(TRIM(AA677)="",AB677&lt;&gt;"Closed")),"INVALID – corrective action not recorded/closed",""),IF(AND(AS677=1,Documents!$J$25&lt;&gt;"ON FILE"),"INVALID – GLD not on file (Documents sheet)",IF(AND(AS677=2,Documents!$O$25&lt;&gt;"ON FILE"),"INVALID – menu checklist not on file (Documents sheet)",IF(AND(AS677=3,NOT(ISNUMBER(Flights!$AX$25))),"INVALID – enter carrying flight KUL departure (Flights AX)",IF(AG677&gt;AsOfUTC,"INVALID – completion time is in the future",IF(AND(ISNUMBER(S677),AG677&lt;S677),IF(H677="Physical uplift","INVALID – before uplift window (cannot confirm loading)","INVALID – before valid window"),IF(AG677&gt;Flights!$AA$25,"INVALID – completed after departure (cannot establish readiness)",IF(AND(H677="Physical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f>
        <v>OPEN</v>
      </c>
      <c r="AI677" s="61" t="n">
        <f aca="false">IF(OR(AH677="N/A – RULE",AH677="N/A – JUSTIFIED"),0,1)</f>
        <v>1</v>
      </c>
      <c r="AJ677" s="61" t="n">
        <f aca="false">IF(LEFT(AH677,8)="COMPLETE",1,0)</f>
        <v>0</v>
      </c>
      <c r="AK677" s="61" t="n">
        <f aca="false">IF(AND(AI677=1,AJ677=0,AsOfUTC&gt;Q677),1,0)</f>
        <v>0</v>
      </c>
      <c r="AL677" s="61" t="n">
        <f aca="false">IF(AND(AI677=1,OR(TRIM(U677)="Fail",AB677="Open",AND(ISNUMBER(AF677),AF677&lt;&gt;0,TRIM(U677)&lt;&gt;"Pass after CA"))),1,0)</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row>
    <row r="678" customFormat="false" ht="41.25" hidden="false" customHeight="true" outlineLevel="0" collapsed="false">
      <c r="A678" s="57" t="s">
        <v>1360</v>
      </c>
      <c r="B678" s="57" t="s">
        <v>300</v>
      </c>
      <c r="C678" s="57" t="str">
        <f aca="false">Flights!$F$25</f>
        <v>MH1437</v>
      </c>
      <c r="D678" s="58" t="n">
        <f aca="false">Flights!$D$25</f>
        <v>46325</v>
      </c>
      <c r="E678" s="57" t="str">
        <f aca="false">Flights!$G$25&amp;"-"&amp;Flights!$H$25</f>
        <v>LGK-KUL</v>
      </c>
      <c r="F678" s="57" t="str">
        <f aca="false">Flights!$K$25</f>
        <v>BC</v>
      </c>
      <c r="G678" s="57" t="s">
        <v>383</v>
      </c>
      <c r="H678" s="57" t="s">
        <v>341</v>
      </c>
      <c r="I678" s="57" t="s">
        <v>391</v>
      </c>
      <c r="J678" s="57" t="s">
        <v>392</v>
      </c>
      <c r="K678" s="67"/>
      <c r="L678" s="67" t="s">
        <v>385</v>
      </c>
      <c r="M678" s="67"/>
      <c r="N678" s="67" t="s">
        <v>346</v>
      </c>
      <c r="O678" s="67" t="s">
        <v>938</v>
      </c>
      <c r="P678" s="57" t="s">
        <v>177</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IF(N678="N/A – rule","N/A – RULE",IF(TRIM(U678)="N/A",IF(AT678=0,"INVALID – N/A not permitted for this mandatory check",IF(AND(TRIM(AC678)&lt;&gt;"",TRIM(AE678)&lt;&gt;"",TRIM(T678)&lt;&gt;""),"N/A – JUSTIFIED","INVALID – N/A needs justification, PIC and verifier")),IF(OR(TRIM(U678)="Pass",TRIM(U678)="Pass after CA"),IF(NOT(ISNUMBER(AD678)),"INVALID – completion time missing",IF(TRIM(T678)="","INVALID – PIC missing",IF(TRIM(Z678)="","INVALID – evidence missing",IF(TRIM(AE678)="","INVALID – verifier missing",IF(AND(AQ678=1,TRIM(W678)=""),"INVALID – batch ID missing",IF(AND(AR678=1,OR(NOT(ISNUMBER(X678)),NOT(ISNUMBER(Y678)))),"INVALID – expected/actual qty missing",IF(IF(AND(TRIM(U678)="Pass",ISNUMBER(AF678)),IF(AF678&lt;&gt;0,"INVALID – qty variance: use Fail or Pass after CA",""),"")&amp;IF(AND(TRIM(U678)="Pass",AB678="Open"),"INVALID – corrective action still open: use Fail, then Pass after CA","")&amp;IF(AND(TRIM(U678)="Pass after CA",OR(TRIM(AA678)="",AB678&lt;&gt;"Closed")),"INVALID – corrective action not recorded/closed","")&lt;&gt;"",IF(AND(TRIM(U678)="Pass",ISNUMBER(AF678)),IF(AF678&lt;&gt;0,"INVALID – qty variance: use Fail or Pass after CA",""),"")&amp;IF(AND(TRIM(U678)="Pass",AB678="Open"),"INVALID – corrective action still open: use Fail, then Pass after CA","")&amp;IF(AND(TRIM(U678)="Pass after CA",OR(TRIM(AA678)="",AB678&lt;&gt;"Closed")),"INVALID – corrective action not recorded/closed",""),IF(AND(AS678=1,Documents!$J$25&lt;&gt;"ON FILE"),"INVALID – GLD not on file (Documents sheet)",IF(AND(AS678=2,Documents!$O$25&lt;&gt;"ON FILE"),"INVALID – menu checklist not on file (Documents sheet)",IF(AND(AS678=3,NOT(ISNUMBER(Flights!$AX$25))),"INVALID – enter carrying flight KUL departure (Flights AX)",IF(AG678&gt;AsOfUTC,"INVALID – completion time is in the future",IF(AND(ISNUMBER(S678),AG678&lt;S678),IF(H678="Physical uplift","INVALID – before uplift window (cannot confirm loading)","INVALID – before valid window"),IF(AG678&gt;Flights!$AA$25,"INVALID – completed after departure (cannot establish readiness)",IF(AND(H678="Physical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f>
        <v>OPEN</v>
      </c>
      <c r="AI678" s="61" t="n">
        <f aca="false">IF(OR(AH678="N/A – RULE",AH678="N/A – JUSTIFIED"),0,1)</f>
        <v>1</v>
      </c>
      <c r="AJ678" s="61" t="n">
        <f aca="false">IF(LEFT(AH678,8)="COMPLETE",1,0)</f>
        <v>0</v>
      </c>
      <c r="AK678" s="61" t="n">
        <f aca="false">IF(AND(AI678=1,AJ678=0,AsOfUTC&gt;Q678),1,0)</f>
        <v>0</v>
      </c>
      <c r="AL678" s="61" t="n">
        <f aca="false">IF(AND(AI678=1,OR(TRIM(U678)="Fail",AB678="Open",AND(ISNUMBER(AF678),AF678&lt;&gt;0,TRIM(U678)&lt;&gt;"Pass after CA"))),1,0)</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row>
    <row r="679" customFormat="false" ht="41.25" hidden="false" customHeight="true" outlineLevel="0" collapsed="false">
      <c r="A679" s="57" t="s">
        <v>1361</v>
      </c>
      <c r="B679" s="57" t="s">
        <v>300</v>
      </c>
      <c r="C679" s="57" t="str">
        <f aca="false">Flights!$F$25</f>
        <v>MH1437</v>
      </c>
      <c r="D679" s="58" t="n">
        <f aca="false">Flights!$D$25</f>
        <v>46325</v>
      </c>
      <c r="E679" s="57" t="str">
        <f aca="false">Flights!$G$25&amp;"-"&amp;Flights!$H$25</f>
        <v>LGK-KUL</v>
      </c>
      <c r="F679" s="57" t="str">
        <f aca="false">Flights!$K$25</f>
        <v>BC</v>
      </c>
      <c r="G679" s="57" t="s">
        <v>383</v>
      </c>
      <c r="H679" s="57" t="s">
        <v>341</v>
      </c>
      <c r="I679" s="57" t="s">
        <v>391</v>
      </c>
      <c r="J679" s="57" t="s">
        <v>394</v>
      </c>
      <c r="K679" s="67"/>
      <c r="L679" s="67" t="s">
        <v>385</v>
      </c>
      <c r="M679" s="67"/>
      <c r="N679" s="67" t="s">
        <v>346</v>
      </c>
      <c r="O679" s="67" t="s">
        <v>938</v>
      </c>
      <c r="P679" s="57" t="s">
        <v>177</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IF(N679="N/A – rule","N/A – RULE",IF(TRIM(U679)="N/A",IF(AT679=0,"INVALID – N/A not permitted for this mandatory check",IF(AND(TRIM(AC679)&lt;&gt;"",TRIM(AE679)&lt;&gt;"",TRIM(T679)&lt;&gt;""),"N/A – JUSTIFIED","INVALID – N/A needs justification, PIC and verifier")),IF(OR(TRIM(U679)="Pass",TRIM(U679)="Pass after CA"),IF(NOT(ISNUMBER(AD679)),"INVALID – completion time missing",IF(TRIM(T679)="","INVALID – PIC missing",IF(TRIM(Z679)="","INVALID – evidence missing",IF(TRIM(AE679)="","INVALID – verifier missing",IF(AND(AQ679=1,TRIM(W679)=""),"INVALID – batch ID missing",IF(AND(AR679=1,OR(NOT(ISNUMBER(X679)),NOT(ISNUMBER(Y679)))),"INVALID – expected/actual qty missing",IF(IF(AND(TRIM(U679)="Pass",ISNUMBER(AF679)),IF(AF679&lt;&gt;0,"INVALID – qty variance: use Fail or Pass after CA",""),"")&amp;IF(AND(TRIM(U679)="Pass",AB679="Open"),"INVALID – corrective action still open: use Fail, then Pass after CA","")&amp;IF(AND(TRIM(U679)="Pass after CA",OR(TRIM(AA679)="",AB679&lt;&gt;"Closed")),"INVALID – corrective action not recorded/closed","")&lt;&gt;"",IF(AND(TRIM(U679)="Pass",ISNUMBER(AF679)),IF(AF679&lt;&gt;0,"INVALID – qty variance: use Fail or Pass after CA",""),"")&amp;IF(AND(TRIM(U679)="Pass",AB679="Open"),"INVALID – corrective action still open: use Fail, then Pass after CA","")&amp;IF(AND(TRIM(U679)="Pass after CA",OR(TRIM(AA679)="",AB679&lt;&gt;"Closed")),"INVALID – corrective action not recorded/closed",""),IF(AND(AS679=1,Documents!$J$25&lt;&gt;"ON FILE"),"INVALID – GLD not on file (Documents sheet)",IF(AND(AS679=2,Documents!$O$25&lt;&gt;"ON FILE"),"INVALID – menu checklist not on file (Documents sheet)",IF(AND(AS679=3,NOT(ISNUMBER(Flights!$AX$25))),"INVALID – enter carrying flight KUL departure (Flights AX)",IF(AG679&gt;AsOfUTC,"INVALID – completion time is in the future",IF(AND(ISNUMBER(S679),AG679&lt;S679),IF(H679="Physical uplift","INVALID – before uplift window (cannot confirm loading)","INVALID – before valid window"),IF(AG679&gt;Flights!$AA$25,"INVALID – completed after departure (cannot establish readiness)",IF(AND(H679="Physical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f>
        <v>OPEN</v>
      </c>
      <c r="AI679" s="61" t="n">
        <f aca="false">IF(OR(AH679="N/A – RULE",AH679="N/A – JUSTIFIED"),0,1)</f>
        <v>1</v>
      </c>
      <c r="AJ679" s="61" t="n">
        <f aca="false">IF(LEFT(AH679,8)="COMPLETE",1,0)</f>
        <v>0</v>
      </c>
      <c r="AK679" s="61" t="n">
        <f aca="false">IF(AND(AI679=1,AJ679=0,AsOfUTC&gt;Q679),1,0)</f>
        <v>0</v>
      </c>
      <c r="AL679" s="61" t="n">
        <f aca="false">IF(AND(AI679=1,OR(TRIM(U679)="Fail",AB679="Open",AND(ISNUMBER(AF679),AF679&lt;&gt;0,TRIM(U679)&lt;&gt;"Pass after CA"))),1,0)</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row>
    <row r="680" customFormat="false" ht="41.25" hidden="false" customHeight="true" outlineLevel="0" collapsed="false">
      <c r="A680" s="57" t="s">
        <v>1362</v>
      </c>
      <c r="B680" s="57" t="s">
        <v>300</v>
      </c>
      <c r="C680" s="57" t="str">
        <f aca="false">Flights!$F$25</f>
        <v>MH1437</v>
      </c>
      <c r="D680" s="58" t="n">
        <f aca="false">Flights!$D$25</f>
        <v>46325</v>
      </c>
      <c r="E680" s="57" t="str">
        <f aca="false">Flights!$G$25&amp;"-"&amp;Flights!$H$25</f>
        <v>LGK-KUL</v>
      </c>
      <c r="F680" s="57" t="str">
        <f aca="false">Flights!$K$25</f>
        <v>BC</v>
      </c>
      <c r="G680" s="57" t="s">
        <v>383</v>
      </c>
      <c r="H680" s="57" t="s">
        <v>341</v>
      </c>
      <c r="I680" s="57" t="s">
        <v>391</v>
      </c>
      <c r="J680" s="57" t="s">
        <v>396</v>
      </c>
      <c r="K680" s="67"/>
      <c r="L680" s="67" t="s">
        <v>385</v>
      </c>
      <c r="M680" s="67"/>
      <c r="N680" s="67" t="s">
        <v>346</v>
      </c>
      <c r="O680" s="67" t="s">
        <v>938</v>
      </c>
      <c r="P680" s="57" t="s">
        <v>177</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IF(N680="N/A – rule","N/A – RULE",IF(TRIM(U680)="N/A",IF(AT680=0,"INVALID – N/A not permitted for this mandatory check",IF(AND(TRIM(AC680)&lt;&gt;"",TRIM(AE680)&lt;&gt;"",TRIM(T680)&lt;&gt;""),"N/A – JUSTIFIED","INVALID – N/A needs justification, PIC and verifier")),IF(OR(TRIM(U680)="Pass",TRIM(U680)="Pass after CA"),IF(NOT(ISNUMBER(AD680)),"INVALID – completion time missing",IF(TRIM(T680)="","INVALID – PIC missing",IF(TRIM(Z680)="","INVALID – evidence missing",IF(TRIM(AE680)="","INVALID – verifier missing",IF(AND(AQ680=1,TRIM(W680)=""),"INVALID – batch ID missing",IF(AND(AR680=1,OR(NOT(ISNUMBER(X680)),NOT(ISNUMBER(Y680)))),"INVALID – expected/actual qty missing",IF(IF(AND(TRIM(U680)="Pass",ISNUMBER(AF680)),IF(AF680&lt;&gt;0,"INVALID – qty variance: use Fail or Pass after CA",""),"")&amp;IF(AND(TRIM(U680)="Pass",AB680="Open"),"INVALID – corrective action still open: use Fail, then Pass after CA","")&amp;IF(AND(TRIM(U680)="Pass after CA",OR(TRIM(AA680)="",AB680&lt;&gt;"Closed")),"INVALID – corrective action not recorded/closed","")&lt;&gt;"",IF(AND(TRIM(U680)="Pass",ISNUMBER(AF680)),IF(AF680&lt;&gt;0,"INVALID – qty variance: use Fail or Pass after CA",""),"")&amp;IF(AND(TRIM(U680)="Pass",AB680="Open"),"INVALID – corrective action still open: use Fail, then Pass after CA","")&amp;IF(AND(TRIM(U680)="Pass after CA",OR(TRIM(AA680)="",AB680&lt;&gt;"Closed")),"INVALID – corrective action not recorded/closed",""),IF(AND(AS680=1,Documents!$J$25&lt;&gt;"ON FILE"),"INVALID – GLD not on file (Documents sheet)",IF(AND(AS680=2,Documents!$O$25&lt;&gt;"ON FILE"),"INVALID – menu checklist not on file (Documents sheet)",IF(AND(AS680=3,NOT(ISNUMBER(Flights!$AX$25))),"INVALID – enter carrying flight KUL departure (Flights AX)",IF(AG680&gt;AsOfUTC,"INVALID – completion time is in the future",IF(AND(ISNUMBER(S680),AG680&lt;S680),IF(H680="Physical uplift","INVALID – before uplift window (cannot confirm loading)","INVALID – before valid window"),IF(AG680&gt;Flights!$AA$25,"INVALID – completed after departure (cannot establish readiness)",IF(AND(H680="Physical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f>
        <v>OPEN</v>
      </c>
      <c r="AI680" s="61" t="n">
        <f aca="false">IF(OR(AH680="N/A – RULE",AH680="N/A – JUSTIFIED"),0,1)</f>
        <v>1</v>
      </c>
      <c r="AJ680" s="61" t="n">
        <f aca="false">IF(LEFT(AH680,8)="COMPLETE",1,0)</f>
        <v>0</v>
      </c>
      <c r="AK680" s="61" t="n">
        <f aca="false">IF(AND(AI680=1,AJ680=0,AsOfUTC&gt;Q680),1,0)</f>
        <v>0</v>
      </c>
      <c r="AL680" s="61" t="n">
        <f aca="false">IF(AND(AI680=1,OR(TRIM(U680)="Fail",AB680="Open",AND(ISNUMBER(AF680),AF680&lt;&gt;0,TRIM(U680)&lt;&gt;"Pass after CA"))),1,0)</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row>
    <row r="681" customFormat="false" ht="78.75" hidden="false" customHeight="true" outlineLevel="0" collapsed="false">
      <c r="A681" s="57" t="s">
        <v>1363</v>
      </c>
      <c r="B681" s="57" t="s">
        <v>300</v>
      </c>
      <c r="C681" s="57" t="str">
        <f aca="false">Flights!$F$25</f>
        <v>MH1437</v>
      </c>
      <c r="D681" s="58" t="n">
        <f aca="false">Flights!$D$25</f>
        <v>46325</v>
      </c>
      <c r="E681" s="57" t="str">
        <f aca="false">Flights!$G$25&amp;"-"&amp;Flights!$H$25</f>
        <v>LGK-KUL</v>
      </c>
      <c r="F681" s="57" t="str">
        <f aca="false">Flights!$K$25</f>
        <v>BC</v>
      </c>
      <c r="G681" s="57" t="s">
        <v>383</v>
      </c>
      <c r="H681" s="57" t="s">
        <v>341</v>
      </c>
      <c r="I681" s="57" t="s">
        <v>391</v>
      </c>
      <c r="J681" s="57" t="s">
        <v>398</v>
      </c>
      <c r="K681" s="67" t="s">
        <v>454</v>
      </c>
      <c r="L681" s="67" t="s">
        <v>385</v>
      </c>
      <c r="M681" s="67"/>
      <c r="N681" s="67" t="s">
        <v>346</v>
      </c>
      <c r="O681" s="67" t="s">
        <v>938</v>
      </c>
      <c r="P681" s="57" t="s">
        <v>177</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IF(N681="N/A – rule","N/A – RULE",IF(TRIM(U681)="N/A",IF(AT681=0,"INVALID – N/A not permitted for this mandatory check",IF(AND(TRIM(AC681)&lt;&gt;"",TRIM(AE681)&lt;&gt;"",TRIM(T681)&lt;&gt;""),"N/A – JUSTIFIED","INVALID – N/A needs justification, PIC and verifier")),IF(OR(TRIM(U681)="Pass",TRIM(U681)="Pass after CA"),IF(NOT(ISNUMBER(AD681)),"INVALID – completion time missing",IF(TRIM(T681)="","INVALID – PIC missing",IF(TRIM(Z681)="","INVALID – evidence missing",IF(TRIM(AE681)="","INVALID – verifier missing",IF(AND(AQ681=1,TRIM(W681)=""),"INVALID – batch ID missing",IF(AND(AR681=1,OR(NOT(ISNUMBER(X681)),NOT(ISNUMBER(Y681)))),"INVALID – expected/actual qty missing",IF(IF(AND(TRIM(U681)="Pass",ISNUMBER(AF681)),IF(AF681&lt;&gt;0,"INVALID – qty variance: use Fail or Pass after CA",""),"")&amp;IF(AND(TRIM(U681)="Pass",AB681="Open"),"INVALID – corrective action still open: use Fail, then Pass after CA","")&amp;IF(AND(TRIM(U681)="Pass after CA",OR(TRIM(AA681)="",AB681&lt;&gt;"Closed")),"INVALID – corrective action not recorded/closed","")&lt;&gt;"",IF(AND(TRIM(U681)="Pass",ISNUMBER(AF681)),IF(AF681&lt;&gt;0,"INVALID – qty variance: use Fail or Pass after CA",""),"")&amp;IF(AND(TRIM(U681)="Pass",AB681="Open"),"INVALID – corrective action still open: use Fail, then Pass after CA","")&amp;IF(AND(TRIM(U681)="Pass after CA",OR(TRIM(AA681)="",AB681&lt;&gt;"Closed")),"INVALID – corrective action not recorded/closed",""),IF(AND(AS681=1,Documents!$J$25&lt;&gt;"ON FILE"),"INVALID – GLD not on file (Documents sheet)",IF(AND(AS681=2,Documents!$O$25&lt;&gt;"ON FILE"),"INVALID – menu checklist not on file (Documents sheet)",IF(AND(AS681=3,NOT(ISNUMBER(Flights!$AX$25))),"INVALID – enter carrying flight KUL departure (Flights AX)",IF(AG681&gt;AsOfUTC,"INVALID – completion time is in the future",IF(AND(ISNUMBER(S681),AG681&lt;S681),IF(H681="Physical uplift","INVALID – before uplift window (cannot confirm loading)","INVALID – before valid window"),IF(AG681&gt;Flights!$AA$25,"INVALID – completed after departure (cannot establish readiness)",IF(AND(H681="Physical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f>
        <v>OPEN</v>
      </c>
      <c r="AI681" s="61" t="n">
        <f aca="false">IF(OR(AH681="N/A – RULE",AH681="N/A – JUSTIFIED"),0,1)</f>
        <v>1</v>
      </c>
      <c r="AJ681" s="61" t="n">
        <f aca="false">IF(LEFT(AH681,8)="COMPLETE",1,0)</f>
        <v>0</v>
      </c>
      <c r="AK681" s="61" t="n">
        <f aca="false">IF(AND(AI681=1,AJ681=0,AsOfUTC&gt;Q681),1,0)</f>
        <v>0</v>
      </c>
      <c r="AL681" s="61" t="n">
        <f aca="false">IF(AND(AI681=1,OR(TRIM(U681)="Fail",AB681="Open",AND(ISNUMBER(AF681),AF681&lt;&gt;0,TRIM(U681)&lt;&gt;"Pass after CA"))),1,0)</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row>
    <row r="682" customFormat="false" ht="41.25" hidden="false" customHeight="true" outlineLevel="0" collapsed="false">
      <c r="A682" s="57" t="s">
        <v>1364</v>
      </c>
      <c r="B682" s="57" t="s">
        <v>300</v>
      </c>
      <c r="C682" s="57" t="str">
        <f aca="false">Flights!$F$25</f>
        <v>MH1437</v>
      </c>
      <c r="D682" s="58" t="n">
        <f aca="false">Flights!$D$25</f>
        <v>46325</v>
      </c>
      <c r="E682" s="57" t="str">
        <f aca="false">Flights!$G$25&amp;"-"&amp;Flights!$H$25</f>
        <v>LGK-KUL</v>
      </c>
      <c r="F682" s="57" t="str">
        <f aca="false">Flights!$K$25</f>
        <v>BC</v>
      </c>
      <c r="G682" s="57" t="s">
        <v>383</v>
      </c>
      <c r="H682" s="57" t="s">
        <v>341</v>
      </c>
      <c r="I682" s="57" t="s">
        <v>391</v>
      </c>
      <c r="J682" s="57" t="s">
        <v>401</v>
      </c>
      <c r="K682" s="67"/>
      <c r="L682" s="67" t="s">
        <v>385</v>
      </c>
      <c r="M682" s="67"/>
      <c r="N682" s="67" t="s">
        <v>346</v>
      </c>
      <c r="O682" s="67" t="s">
        <v>938</v>
      </c>
      <c r="P682" s="57" t="s">
        <v>177</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IF(N682="N/A – rule","N/A – RULE",IF(TRIM(U682)="N/A",IF(AT682=0,"INVALID – N/A not permitted for this mandatory check",IF(AND(TRIM(AC682)&lt;&gt;"",TRIM(AE682)&lt;&gt;"",TRIM(T682)&lt;&gt;""),"N/A – JUSTIFIED","INVALID – N/A needs justification, PIC and verifier")),IF(OR(TRIM(U682)="Pass",TRIM(U682)="Pass after CA"),IF(NOT(ISNUMBER(AD682)),"INVALID – completion time missing",IF(TRIM(T682)="","INVALID – PIC missing",IF(TRIM(Z682)="","INVALID – evidence missing",IF(TRIM(AE682)="","INVALID – verifier missing",IF(AND(AQ682=1,TRIM(W682)=""),"INVALID – batch ID missing",IF(AND(AR682=1,OR(NOT(ISNUMBER(X682)),NOT(ISNUMBER(Y682)))),"INVALID – expected/actual qty missing",IF(IF(AND(TRIM(U682)="Pass",ISNUMBER(AF682)),IF(AF682&lt;&gt;0,"INVALID – qty variance: use Fail or Pass after CA",""),"")&amp;IF(AND(TRIM(U682)="Pass",AB682="Open"),"INVALID – corrective action still open: use Fail, then Pass after CA","")&amp;IF(AND(TRIM(U682)="Pass after CA",OR(TRIM(AA682)="",AB682&lt;&gt;"Closed")),"INVALID – corrective action not recorded/closed","")&lt;&gt;"",IF(AND(TRIM(U682)="Pass",ISNUMBER(AF682)),IF(AF682&lt;&gt;0,"INVALID – qty variance: use Fail or Pass after CA",""),"")&amp;IF(AND(TRIM(U682)="Pass",AB682="Open"),"INVALID – corrective action still open: use Fail, then Pass after CA","")&amp;IF(AND(TRIM(U682)="Pass after CA",OR(TRIM(AA682)="",AB682&lt;&gt;"Closed")),"INVALID – corrective action not recorded/closed",""),IF(AND(AS682=1,Documents!$J$25&lt;&gt;"ON FILE"),"INVALID – GLD not on file (Documents sheet)",IF(AND(AS682=2,Documents!$O$25&lt;&gt;"ON FILE"),"INVALID – menu checklist not on file (Documents sheet)",IF(AND(AS682=3,NOT(ISNUMBER(Flights!$AX$25))),"INVALID – enter carrying flight KUL departure (Flights AX)",IF(AG682&gt;AsOfUTC,"INVALID – completion time is in the future",IF(AND(ISNUMBER(S682),AG682&lt;S682),IF(H682="Physical uplift","INVALID – before uplift window (cannot confirm loading)","INVALID – before valid window"),IF(AG682&gt;Flights!$AA$25,"INVALID – completed after departure (cannot establish readiness)",IF(AND(H682="Physical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f>
        <v>OPEN</v>
      </c>
      <c r="AI682" s="61" t="n">
        <f aca="false">IF(OR(AH682="N/A – RULE",AH682="N/A – JUSTIFIED"),0,1)</f>
        <v>1</v>
      </c>
      <c r="AJ682" s="61" t="n">
        <f aca="false">IF(LEFT(AH682,8)="COMPLETE",1,0)</f>
        <v>0</v>
      </c>
      <c r="AK682" s="61" t="n">
        <f aca="false">IF(AND(AI682=1,AJ682=0,AsOfUTC&gt;Q682),1,0)</f>
        <v>0</v>
      </c>
      <c r="AL682" s="61" t="n">
        <f aca="false">IF(AND(AI682=1,OR(TRIM(U682)="Fail",AB682="Open",AND(ISNUMBER(AF682),AF682&lt;&gt;0,TRIM(U682)&lt;&gt;"Pass after CA"))),1,0)</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row>
    <row r="683" customFormat="false" ht="91.5" hidden="false" customHeight="true" outlineLevel="0" collapsed="false">
      <c r="A683" s="57" t="s">
        <v>1365</v>
      </c>
      <c r="B683" s="57" t="s">
        <v>300</v>
      </c>
      <c r="C683" s="57" t="str">
        <f aca="false">Flights!$F$25</f>
        <v>MH1437</v>
      </c>
      <c r="D683" s="58" t="n">
        <f aca="false">Flights!$D$25</f>
        <v>46325</v>
      </c>
      <c r="E683" s="57" t="str">
        <f aca="false">Flights!$G$25&amp;"-"&amp;Flights!$H$25</f>
        <v>LGK-KUL</v>
      </c>
      <c r="F683" s="57" t="str">
        <f aca="false">Flights!$K$25</f>
        <v>BC</v>
      </c>
      <c r="G683" s="57" t="s">
        <v>383</v>
      </c>
      <c r="H683" s="57" t="s">
        <v>341</v>
      </c>
      <c r="I683" s="57" t="s">
        <v>403</v>
      </c>
      <c r="J683" s="57" t="s">
        <v>457</v>
      </c>
      <c r="K683" s="67" t="s">
        <v>458</v>
      </c>
      <c r="L683" s="67" t="s">
        <v>1366</v>
      </c>
      <c r="M683" s="67" t="s">
        <v>414</v>
      </c>
      <c r="N683" s="67" t="s">
        <v>346</v>
      </c>
      <c r="O683" s="67" t="s">
        <v>1367</v>
      </c>
      <c r="P683" s="57" t="s">
        <v>177</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IF(N683="N/A – rule","N/A – RULE",IF(TRIM(U683)="N/A",IF(AT683=0,"INVALID – N/A not permitted for this mandatory check",IF(AND(TRIM(AC683)&lt;&gt;"",TRIM(AE683)&lt;&gt;"",TRIM(T683)&lt;&gt;""),"N/A – JUSTIFIED","INVALID – N/A needs justification, PIC and verifier")),IF(OR(TRIM(U683)="Pass",TRIM(U683)="Pass after CA"),IF(NOT(ISNUMBER(AD683)),"INVALID – completion time missing",IF(TRIM(T683)="","INVALID – PIC missing",IF(TRIM(Z683)="","INVALID – evidence missing",IF(TRIM(AE683)="","INVALID – verifier missing",IF(AND(AQ683=1,TRIM(W683)=""),"INVALID – batch ID missing",IF(AND(AR683=1,OR(NOT(ISNUMBER(X683)),NOT(ISNUMBER(Y683)))),"INVALID – expected/actual qty missing",IF(IF(AND(TRIM(U683)="Pass",ISNUMBER(AF683)),IF(AF683&lt;&gt;0,"INVALID – qty variance: use Fail or Pass after CA",""),"")&amp;IF(AND(TRIM(U683)="Pass",AB683="Open"),"INVALID – corrective action still open: use Fail, then Pass after CA","")&amp;IF(AND(TRIM(U683)="Pass after CA",OR(TRIM(AA683)="",AB683&lt;&gt;"Closed")),"INVALID – corrective action not recorded/closed","")&lt;&gt;"",IF(AND(TRIM(U683)="Pass",ISNUMBER(AF683)),IF(AF683&lt;&gt;0,"INVALID – qty variance: use Fail or Pass after CA",""),"")&amp;IF(AND(TRIM(U683)="Pass",AB683="Open"),"INVALID – corrective action still open: use Fail, then Pass after CA","")&amp;IF(AND(TRIM(U683)="Pass after CA",OR(TRIM(AA683)="",AB683&lt;&gt;"Closed")),"INVALID – corrective action not recorded/closed",""),IF(AND(AS683=1,Documents!$J$25&lt;&gt;"ON FILE"),"INVALID – GLD not on file (Documents sheet)",IF(AND(AS683=2,Documents!$O$25&lt;&gt;"ON FILE"),"INVALID – menu checklist not on file (Documents sheet)",IF(AND(AS683=3,NOT(ISNUMBER(Flights!$AX$25))),"INVALID – enter carrying flight KUL departure (Flights AX)",IF(AG683&gt;AsOfUTC,"INVALID – completion time is in the future",IF(AND(ISNUMBER(S683),AG683&lt;S683),IF(H683="Physical uplift","INVALID – before uplift window (cannot confirm loading)","INVALID – before valid window"),IF(AG683&gt;Flights!$AA$25,"INVALID – completed after departure (cannot establish readiness)",IF(AND(H683="Physical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f>
        <v>OPEN</v>
      </c>
      <c r="AI683" s="61" t="n">
        <f aca="false">IF(OR(AH683="N/A – RULE",AH683="N/A – JUSTIFIED"),0,1)</f>
        <v>1</v>
      </c>
      <c r="AJ683" s="61" t="n">
        <f aca="false">IF(LEFT(AH683,8)="COMPLETE",1,0)</f>
        <v>0</v>
      </c>
      <c r="AK683" s="61" t="n">
        <f aca="false">IF(AND(AI683=1,AJ683=0,AsOfUTC&gt;Q683),1,0)</f>
        <v>0</v>
      </c>
      <c r="AL683" s="61" t="n">
        <f aca="false">IF(AND(AI683=1,OR(TRIM(U683)="Fail",AB683="Open",AND(ISNUMBER(AF683),AF683&lt;&gt;0,TRIM(U683)&lt;&gt;"Pass after CA"))),1,0)</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1</v>
      </c>
    </row>
    <row r="684" customFormat="false" ht="66" hidden="false" customHeight="true" outlineLevel="0" collapsed="false">
      <c r="A684" s="57" t="s">
        <v>1368</v>
      </c>
      <c r="B684" s="57" t="s">
        <v>300</v>
      </c>
      <c r="C684" s="57" t="str">
        <f aca="false">Flights!$F$25</f>
        <v>MH1437</v>
      </c>
      <c r="D684" s="58" t="n">
        <f aca="false">Flights!$D$25</f>
        <v>46325</v>
      </c>
      <c r="E684" s="57" t="str">
        <f aca="false">Flights!$G$25&amp;"-"&amp;Flights!$H$25</f>
        <v>LGK-KUL</v>
      </c>
      <c r="F684" s="57" t="str">
        <f aca="false">Flights!$K$25</f>
        <v>BC</v>
      </c>
      <c r="G684" s="57" t="s">
        <v>383</v>
      </c>
      <c r="H684" s="57" t="s">
        <v>341</v>
      </c>
      <c r="I684" s="57" t="s">
        <v>462</v>
      </c>
      <c r="J684" s="57" t="s">
        <v>463</v>
      </c>
      <c r="K684" s="67" t="s">
        <v>464</v>
      </c>
      <c r="L684" s="67" t="s">
        <v>1369</v>
      </c>
      <c r="M684" s="67" t="s">
        <v>414</v>
      </c>
      <c r="N684" s="67" t="s">
        <v>346</v>
      </c>
      <c r="O684" s="67" t="s">
        <v>947</v>
      </c>
      <c r="P684" s="57" t="s">
        <v>177</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IF(N684="N/A – rule","N/A – RULE",IF(TRIM(U684)="N/A",IF(AT684=0,"INVALID – N/A not permitted for this mandatory check",IF(AND(TRIM(AC684)&lt;&gt;"",TRIM(AE684)&lt;&gt;"",TRIM(T684)&lt;&gt;""),"N/A – JUSTIFIED","INVALID – N/A needs justification, PIC and verifier")),IF(OR(TRIM(U684)="Pass",TRIM(U684)="Pass after CA"),IF(NOT(ISNUMBER(AD684)),"INVALID – completion time missing",IF(TRIM(T684)="","INVALID – PIC missing",IF(TRIM(Z684)="","INVALID – evidence missing",IF(TRIM(AE684)="","INVALID – verifier missing",IF(AND(AQ684=1,TRIM(W684)=""),"INVALID – batch ID missing",IF(AND(AR684=1,OR(NOT(ISNUMBER(X684)),NOT(ISNUMBER(Y684)))),"INVALID – expected/actual qty missing",IF(IF(AND(TRIM(U684)="Pass",ISNUMBER(AF684)),IF(AF684&lt;&gt;0,"INVALID – qty variance: use Fail or Pass after CA",""),"")&amp;IF(AND(TRIM(U684)="Pass",AB684="Open"),"INVALID – corrective action still open: use Fail, then Pass after CA","")&amp;IF(AND(TRIM(U684)="Pass after CA",OR(TRIM(AA684)="",AB684&lt;&gt;"Closed")),"INVALID – corrective action not recorded/closed","")&lt;&gt;"",IF(AND(TRIM(U684)="Pass",ISNUMBER(AF684)),IF(AF684&lt;&gt;0,"INVALID – qty variance: use Fail or Pass after CA",""),"")&amp;IF(AND(TRIM(U684)="Pass",AB684="Open"),"INVALID – corrective action still open: use Fail, then Pass after CA","")&amp;IF(AND(TRIM(U684)="Pass after CA",OR(TRIM(AA684)="",AB684&lt;&gt;"Closed")),"INVALID – corrective action not recorded/closed",""),IF(AND(AS684=1,Documents!$J$25&lt;&gt;"ON FILE"),"INVALID – GLD not on file (Documents sheet)",IF(AND(AS684=2,Documents!$O$25&lt;&gt;"ON FILE"),"INVALID – menu checklist not on file (Documents sheet)",IF(AND(AS684=3,NOT(ISNUMBER(Flights!$AX$25))),"INVALID – enter carrying flight KUL departure (Flights AX)",IF(AG684&gt;AsOfUTC,"INVALID – completion time is in the future",IF(AND(ISNUMBER(S684),AG684&lt;S684),IF(H684="Physical uplift","INVALID – before uplift window (cannot confirm loading)","INVALID – before valid window"),IF(AG684&gt;Flights!$AA$25,"INVALID – completed after departure (cannot establish readiness)",IF(AND(H684="Physical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f>
        <v>OPEN</v>
      </c>
      <c r="AI684" s="61" t="n">
        <f aca="false">IF(OR(AH684="N/A – RULE",AH684="N/A – JUSTIFIED"),0,1)</f>
        <v>1</v>
      </c>
      <c r="AJ684" s="61" t="n">
        <f aca="false">IF(LEFT(AH684,8)="COMPLETE",1,0)</f>
        <v>0</v>
      </c>
      <c r="AK684" s="61" t="n">
        <f aca="false">IF(AND(AI684=1,AJ684=0,AsOfUTC&gt;Q684),1,0)</f>
        <v>0</v>
      </c>
      <c r="AL684" s="61" t="n">
        <f aca="false">IF(AND(AI684=1,OR(TRIM(U684)="Fail",AB684="Open",AND(ISNUMBER(AF684),AF684&lt;&gt;0,TRIM(U684)&lt;&gt;"Pass after CA"))),1,0)</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1</v>
      </c>
    </row>
    <row r="685" customFormat="false" ht="66" hidden="false" customHeight="true" outlineLevel="0" collapsed="false">
      <c r="A685" s="57" t="s">
        <v>1370</v>
      </c>
      <c r="B685" s="57" t="s">
        <v>300</v>
      </c>
      <c r="C685" s="57" t="str">
        <f aca="false">Flights!$F$25</f>
        <v>MH1437</v>
      </c>
      <c r="D685" s="58" t="n">
        <f aca="false">Flights!$D$25</f>
        <v>46325</v>
      </c>
      <c r="E685" s="57" t="str">
        <f aca="false">Flights!$G$25&amp;"-"&amp;Flights!$H$25</f>
        <v>LGK-KUL</v>
      </c>
      <c r="F685" s="57" t="str">
        <f aca="false">Flights!$K$25</f>
        <v>BC</v>
      </c>
      <c r="G685" s="57" t="s">
        <v>383</v>
      </c>
      <c r="H685" s="57" t="s">
        <v>341</v>
      </c>
      <c r="I685" s="57" t="s">
        <v>462</v>
      </c>
      <c r="J685" s="57" t="s">
        <v>468</v>
      </c>
      <c r="K685" s="67" t="s">
        <v>464</v>
      </c>
      <c r="L685" s="67" t="s">
        <v>1371</v>
      </c>
      <c r="M685" s="67" t="s">
        <v>414</v>
      </c>
      <c r="N685" s="67" t="s">
        <v>346</v>
      </c>
      <c r="O685" s="67" t="s">
        <v>947</v>
      </c>
      <c r="P685" s="57" t="s">
        <v>177</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IF(N685="N/A – rule","N/A – RULE",IF(TRIM(U685)="N/A",IF(AT685=0,"INVALID – N/A not permitted for this mandatory check",IF(AND(TRIM(AC685)&lt;&gt;"",TRIM(AE685)&lt;&gt;"",TRIM(T685)&lt;&gt;""),"N/A – JUSTIFIED","INVALID – N/A needs justification, PIC and verifier")),IF(OR(TRIM(U685)="Pass",TRIM(U685)="Pass after CA"),IF(NOT(ISNUMBER(AD685)),"INVALID – completion time missing",IF(TRIM(T685)="","INVALID – PIC missing",IF(TRIM(Z685)="","INVALID – evidence missing",IF(TRIM(AE685)="","INVALID – verifier missing",IF(AND(AQ685=1,TRIM(W685)=""),"INVALID – batch ID missing",IF(AND(AR685=1,OR(NOT(ISNUMBER(X685)),NOT(ISNUMBER(Y685)))),"INVALID – expected/actual qty missing",IF(IF(AND(TRIM(U685)="Pass",ISNUMBER(AF685)),IF(AF685&lt;&gt;0,"INVALID – qty variance: use Fail or Pass after CA",""),"")&amp;IF(AND(TRIM(U685)="Pass",AB685="Open"),"INVALID – corrective action still open: use Fail, then Pass after CA","")&amp;IF(AND(TRIM(U685)="Pass after CA",OR(TRIM(AA685)="",AB685&lt;&gt;"Closed")),"INVALID – corrective action not recorded/closed","")&lt;&gt;"",IF(AND(TRIM(U685)="Pass",ISNUMBER(AF685)),IF(AF685&lt;&gt;0,"INVALID – qty variance: use Fail or Pass after CA",""),"")&amp;IF(AND(TRIM(U685)="Pass",AB685="Open"),"INVALID – corrective action still open: use Fail, then Pass after CA","")&amp;IF(AND(TRIM(U685)="Pass after CA",OR(TRIM(AA685)="",AB685&lt;&gt;"Closed")),"INVALID – corrective action not recorded/closed",""),IF(AND(AS685=1,Documents!$J$25&lt;&gt;"ON FILE"),"INVALID – GLD not on file (Documents sheet)",IF(AND(AS685=2,Documents!$O$25&lt;&gt;"ON FILE"),"INVALID – menu checklist not on file (Documents sheet)",IF(AND(AS685=3,NOT(ISNUMBER(Flights!$AX$25))),"INVALID – enter carrying flight KUL departure (Flights AX)",IF(AG685&gt;AsOfUTC,"INVALID – completion time is in the future",IF(AND(ISNUMBER(S685),AG685&lt;S685),IF(H685="Physical uplift","INVALID – before uplift window (cannot confirm loading)","INVALID – before valid window"),IF(AG685&gt;Flights!$AA$25,"INVALID – completed after departure (cannot establish readiness)",IF(AND(H685="Physical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f>
        <v>OPEN</v>
      </c>
      <c r="AI685" s="61" t="n">
        <f aca="false">IF(OR(AH685="N/A – RULE",AH685="N/A – JUSTIFIED"),0,1)</f>
        <v>1</v>
      </c>
      <c r="AJ685" s="61" t="n">
        <f aca="false">IF(LEFT(AH685,8)="COMPLETE",1,0)</f>
        <v>0</v>
      </c>
      <c r="AK685" s="61" t="n">
        <f aca="false">IF(AND(AI685=1,AJ685=0,AsOfUTC&gt;Q685),1,0)</f>
        <v>0</v>
      </c>
      <c r="AL685" s="61" t="n">
        <f aca="false">IF(AND(AI685=1,OR(TRIM(U685)="Fail",AB685="Open",AND(ISNUMBER(AF685),AF685&lt;&gt;0,TRIM(U685)&lt;&gt;"Pass after CA"))),1,0)</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1</v>
      </c>
    </row>
    <row r="686" customFormat="false" ht="66" hidden="false" customHeight="true" outlineLevel="0" collapsed="false">
      <c r="A686" s="57" t="s">
        <v>1372</v>
      </c>
      <c r="B686" s="57" t="s">
        <v>300</v>
      </c>
      <c r="C686" s="57" t="str">
        <f aca="false">Flights!$F$25</f>
        <v>MH1437</v>
      </c>
      <c r="D686" s="58" t="n">
        <f aca="false">Flights!$D$25</f>
        <v>46325</v>
      </c>
      <c r="E686" s="57" t="str">
        <f aca="false">Flights!$G$25&amp;"-"&amp;Flights!$H$25</f>
        <v>LGK-KUL</v>
      </c>
      <c r="F686" s="57" t="str">
        <f aca="false">Flights!$K$25</f>
        <v>BC</v>
      </c>
      <c r="G686" s="57" t="s">
        <v>383</v>
      </c>
      <c r="H686" s="57" t="s">
        <v>341</v>
      </c>
      <c r="I686" s="57" t="s">
        <v>462</v>
      </c>
      <c r="J686" s="57" t="s">
        <v>471</v>
      </c>
      <c r="K686" s="67" t="s">
        <v>464</v>
      </c>
      <c r="L686" s="67" t="s">
        <v>1373</v>
      </c>
      <c r="M686" s="67" t="s">
        <v>414</v>
      </c>
      <c r="N686" s="67" t="s">
        <v>346</v>
      </c>
      <c r="O686" s="67" t="s">
        <v>947</v>
      </c>
      <c r="P686" s="57" t="s">
        <v>177</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IF(N686="N/A – rule","N/A – RULE",IF(TRIM(U686)="N/A",IF(AT686=0,"INVALID – N/A not permitted for this mandatory check",IF(AND(TRIM(AC686)&lt;&gt;"",TRIM(AE686)&lt;&gt;"",TRIM(T686)&lt;&gt;""),"N/A – JUSTIFIED","INVALID – N/A needs justification, PIC and verifier")),IF(OR(TRIM(U686)="Pass",TRIM(U686)="Pass after CA"),IF(NOT(ISNUMBER(AD686)),"INVALID – completion time missing",IF(TRIM(T686)="","INVALID – PIC missing",IF(TRIM(Z686)="","INVALID – evidence missing",IF(TRIM(AE686)="","INVALID – verifier missing",IF(AND(AQ686=1,TRIM(W686)=""),"INVALID – batch ID missing",IF(AND(AR686=1,OR(NOT(ISNUMBER(X686)),NOT(ISNUMBER(Y686)))),"INVALID – expected/actual qty missing",IF(IF(AND(TRIM(U686)="Pass",ISNUMBER(AF686)),IF(AF686&lt;&gt;0,"INVALID – qty variance: use Fail or Pass after CA",""),"")&amp;IF(AND(TRIM(U686)="Pass",AB686="Open"),"INVALID – corrective action still open: use Fail, then Pass after CA","")&amp;IF(AND(TRIM(U686)="Pass after CA",OR(TRIM(AA686)="",AB686&lt;&gt;"Closed")),"INVALID – corrective action not recorded/closed","")&lt;&gt;"",IF(AND(TRIM(U686)="Pass",ISNUMBER(AF686)),IF(AF686&lt;&gt;0,"INVALID – qty variance: use Fail or Pass after CA",""),"")&amp;IF(AND(TRIM(U686)="Pass",AB686="Open"),"INVALID – corrective action still open: use Fail, then Pass after CA","")&amp;IF(AND(TRIM(U686)="Pass after CA",OR(TRIM(AA686)="",AB686&lt;&gt;"Closed")),"INVALID – corrective action not recorded/closed",""),IF(AND(AS686=1,Documents!$J$25&lt;&gt;"ON FILE"),"INVALID – GLD not on file (Documents sheet)",IF(AND(AS686=2,Documents!$O$25&lt;&gt;"ON FILE"),"INVALID – menu checklist not on file (Documents sheet)",IF(AND(AS686=3,NOT(ISNUMBER(Flights!$AX$25))),"INVALID – enter carrying flight KUL departure (Flights AX)",IF(AG686&gt;AsOfUTC,"INVALID – completion time is in the future",IF(AND(ISNUMBER(S686),AG686&lt;S686),IF(H686="Physical uplift","INVALID – before uplift window (cannot confirm loading)","INVALID – before valid window"),IF(AG686&gt;Flights!$AA$25,"INVALID – completed after departure (cannot establish readiness)",IF(AND(H686="Physical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f>
        <v>OPEN</v>
      </c>
      <c r="AI686" s="61" t="n">
        <f aca="false">IF(OR(AH686="N/A – RULE",AH686="N/A – JUSTIFIED"),0,1)</f>
        <v>1</v>
      </c>
      <c r="AJ686" s="61" t="n">
        <f aca="false">IF(LEFT(AH686,8)="COMPLETE",1,0)</f>
        <v>0</v>
      </c>
      <c r="AK686" s="61" t="n">
        <f aca="false">IF(AND(AI686=1,AJ686=0,AsOfUTC&gt;Q686),1,0)</f>
        <v>0</v>
      </c>
      <c r="AL686" s="61" t="n">
        <f aca="false">IF(AND(AI686=1,OR(TRIM(U686)="Fail",AB686="Open",AND(ISNUMBER(AF686),AF686&lt;&gt;0,TRIM(U686)&lt;&gt;"Pass after CA"))),1,0)</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1</v>
      </c>
    </row>
    <row r="687" customFormat="false" ht="66" hidden="false" customHeight="true" outlineLevel="0" collapsed="false">
      <c r="A687" s="57" t="s">
        <v>1374</v>
      </c>
      <c r="B687" s="57" t="s">
        <v>300</v>
      </c>
      <c r="C687" s="57" t="str">
        <f aca="false">Flights!$F$25</f>
        <v>MH1437</v>
      </c>
      <c r="D687" s="58" t="n">
        <f aca="false">Flights!$D$25</f>
        <v>46325</v>
      </c>
      <c r="E687" s="57" t="str">
        <f aca="false">Flights!$G$25&amp;"-"&amp;Flights!$H$25</f>
        <v>LGK-KUL</v>
      </c>
      <c r="F687" s="57" t="str">
        <f aca="false">Flights!$K$25</f>
        <v>BC</v>
      </c>
      <c r="G687" s="57" t="s">
        <v>383</v>
      </c>
      <c r="H687" s="57" t="s">
        <v>341</v>
      </c>
      <c r="I687" s="57" t="s">
        <v>462</v>
      </c>
      <c r="J687" s="57" t="s">
        <v>481</v>
      </c>
      <c r="K687" s="67" t="s">
        <v>482</v>
      </c>
      <c r="L687" s="67" t="s">
        <v>1375</v>
      </c>
      <c r="M687" s="67" t="s">
        <v>414</v>
      </c>
      <c r="N687" s="67" t="s">
        <v>346</v>
      </c>
      <c r="O687" s="67" t="s">
        <v>1376</v>
      </c>
      <c r="P687" s="57" t="s">
        <v>177</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IF(N687="N/A – rule","N/A – RULE",IF(TRIM(U687)="N/A",IF(AT687=0,"INVALID – N/A not permitted for this mandatory check",IF(AND(TRIM(AC687)&lt;&gt;"",TRIM(AE687)&lt;&gt;"",TRIM(T687)&lt;&gt;""),"N/A – JUSTIFIED","INVALID – N/A needs justification, PIC and verifier")),IF(OR(TRIM(U687)="Pass",TRIM(U687)="Pass after CA"),IF(NOT(ISNUMBER(AD687)),"INVALID – completion time missing",IF(TRIM(T687)="","INVALID – PIC missing",IF(TRIM(Z687)="","INVALID – evidence missing",IF(TRIM(AE687)="","INVALID – verifier missing",IF(AND(AQ687=1,TRIM(W687)=""),"INVALID – batch ID missing",IF(AND(AR687=1,OR(NOT(ISNUMBER(X687)),NOT(ISNUMBER(Y687)))),"INVALID – expected/actual qty missing",IF(IF(AND(TRIM(U687)="Pass",ISNUMBER(AF687)),IF(AF687&lt;&gt;0,"INVALID – qty variance: use Fail or Pass after CA",""),"")&amp;IF(AND(TRIM(U687)="Pass",AB687="Open"),"INVALID – corrective action still open: use Fail, then Pass after CA","")&amp;IF(AND(TRIM(U687)="Pass after CA",OR(TRIM(AA687)="",AB687&lt;&gt;"Closed")),"INVALID – corrective action not recorded/closed","")&lt;&gt;"",IF(AND(TRIM(U687)="Pass",ISNUMBER(AF687)),IF(AF687&lt;&gt;0,"INVALID – qty variance: use Fail or Pass after CA",""),"")&amp;IF(AND(TRIM(U687)="Pass",AB687="Open"),"INVALID – corrective action still open: use Fail, then Pass after CA","")&amp;IF(AND(TRIM(U687)="Pass after CA",OR(TRIM(AA687)="",AB687&lt;&gt;"Closed")),"INVALID – corrective action not recorded/closed",""),IF(AND(AS687=1,Documents!$J$25&lt;&gt;"ON FILE"),"INVALID – GLD not on file (Documents sheet)",IF(AND(AS687=2,Documents!$O$25&lt;&gt;"ON FILE"),"INVALID – menu checklist not on file (Documents sheet)",IF(AND(AS687=3,NOT(ISNUMBER(Flights!$AX$25))),"INVALID – enter carrying flight KUL departure (Flights AX)",IF(AG687&gt;AsOfUTC,"INVALID – completion time is in the future",IF(AND(ISNUMBER(S687),AG687&lt;S687),IF(H687="Physical uplift","INVALID – before uplift window (cannot confirm loading)","INVALID – before valid window"),IF(AG687&gt;Flights!$AA$25,"INVALID – completed after departure (cannot establish readiness)",IF(AND(H687="Physical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f>
        <v>OPEN</v>
      </c>
      <c r="AI687" s="61" t="n">
        <f aca="false">IF(OR(AH687="N/A – RULE",AH687="N/A – JUSTIFIED"),0,1)</f>
        <v>1</v>
      </c>
      <c r="AJ687" s="61" t="n">
        <f aca="false">IF(LEFT(AH687,8)="COMPLETE",1,0)</f>
        <v>0</v>
      </c>
      <c r="AK687" s="61" t="n">
        <f aca="false">IF(AND(AI687=1,AJ687=0,AsOfUTC&gt;Q687),1,0)</f>
        <v>0</v>
      </c>
      <c r="AL687" s="61" t="n">
        <f aca="false">IF(AND(AI687=1,OR(TRIM(U687)="Fail",AB687="Open",AND(ISNUMBER(AF687),AF687&lt;&gt;0,TRIM(U687)&lt;&gt;"Pass after CA"))),1,0)</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1</v>
      </c>
    </row>
    <row r="688" customFormat="false" ht="66" hidden="false" customHeight="true" outlineLevel="0" collapsed="false">
      <c r="A688" s="57" t="s">
        <v>1377</v>
      </c>
      <c r="B688" s="57" t="s">
        <v>300</v>
      </c>
      <c r="C688" s="57" t="str">
        <f aca="false">Flights!$F$25</f>
        <v>MH1437</v>
      </c>
      <c r="D688" s="58" t="n">
        <f aca="false">Flights!$D$25</f>
        <v>46325</v>
      </c>
      <c r="E688" s="57" t="str">
        <f aca="false">Flights!$G$25&amp;"-"&amp;Flights!$H$25</f>
        <v>LGK-KUL</v>
      </c>
      <c r="F688" s="57" t="str">
        <f aca="false">Flights!$K$25</f>
        <v>BC</v>
      </c>
      <c r="G688" s="57" t="s">
        <v>383</v>
      </c>
      <c r="H688" s="57" t="s">
        <v>341</v>
      </c>
      <c r="I688" s="57" t="s">
        <v>462</v>
      </c>
      <c r="J688" s="57" t="s">
        <v>486</v>
      </c>
      <c r="K688" s="67" t="s">
        <v>464</v>
      </c>
      <c r="L688" s="67" t="s">
        <v>1378</v>
      </c>
      <c r="M688" s="67" t="s">
        <v>414</v>
      </c>
      <c r="N688" s="67" t="s">
        <v>346</v>
      </c>
      <c r="O688" s="67" t="s">
        <v>947</v>
      </c>
      <c r="P688" s="57" t="s">
        <v>177</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IF(N688="N/A – rule","N/A – RULE",IF(TRIM(U688)="N/A",IF(AT688=0,"INVALID – N/A not permitted for this mandatory check",IF(AND(TRIM(AC688)&lt;&gt;"",TRIM(AE688)&lt;&gt;"",TRIM(T688)&lt;&gt;""),"N/A – JUSTIFIED","INVALID – N/A needs justification, PIC and verifier")),IF(OR(TRIM(U688)="Pass",TRIM(U688)="Pass after CA"),IF(NOT(ISNUMBER(AD688)),"INVALID – completion time missing",IF(TRIM(T688)="","INVALID – PIC missing",IF(TRIM(Z688)="","INVALID – evidence missing",IF(TRIM(AE688)="","INVALID – verifier missing",IF(AND(AQ688=1,TRIM(W688)=""),"INVALID – batch ID missing",IF(AND(AR688=1,OR(NOT(ISNUMBER(X688)),NOT(ISNUMBER(Y688)))),"INVALID – expected/actual qty missing",IF(IF(AND(TRIM(U688)="Pass",ISNUMBER(AF688)),IF(AF688&lt;&gt;0,"INVALID – qty variance: use Fail or Pass after CA",""),"")&amp;IF(AND(TRIM(U688)="Pass",AB688="Open"),"INVALID – corrective action still open: use Fail, then Pass after CA","")&amp;IF(AND(TRIM(U688)="Pass after CA",OR(TRIM(AA688)="",AB688&lt;&gt;"Closed")),"INVALID – corrective action not recorded/closed","")&lt;&gt;"",IF(AND(TRIM(U688)="Pass",ISNUMBER(AF688)),IF(AF688&lt;&gt;0,"INVALID – qty variance: use Fail or Pass after CA",""),"")&amp;IF(AND(TRIM(U688)="Pass",AB688="Open"),"INVALID – corrective action still open: use Fail, then Pass after CA","")&amp;IF(AND(TRIM(U688)="Pass after CA",OR(TRIM(AA688)="",AB688&lt;&gt;"Closed")),"INVALID – corrective action not recorded/closed",""),IF(AND(AS688=1,Documents!$J$25&lt;&gt;"ON FILE"),"INVALID – GLD not on file (Documents sheet)",IF(AND(AS688=2,Documents!$O$25&lt;&gt;"ON FILE"),"INVALID – menu checklist not on file (Documents sheet)",IF(AND(AS688=3,NOT(ISNUMBER(Flights!$AX$25))),"INVALID – enter carrying flight KUL departure (Flights AX)",IF(AG688&gt;AsOfUTC,"INVALID – completion time is in the future",IF(AND(ISNUMBER(S688),AG688&lt;S688),IF(H688="Physical uplift","INVALID – before uplift window (cannot confirm loading)","INVALID – before valid window"),IF(AG688&gt;Flights!$AA$25,"INVALID – completed after departure (cannot establish readiness)",IF(AND(H688="Physical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f>
        <v>OPEN</v>
      </c>
      <c r="AI688" s="61" t="n">
        <f aca="false">IF(OR(AH688="N/A – RULE",AH688="N/A – JUSTIFIED"),0,1)</f>
        <v>1</v>
      </c>
      <c r="AJ688" s="61" t="n">
        <f aca="false">IF(LEFT(AH688,8)="COMPLETE",1,0)</f>
        <v>0</v>
      </c>
      <c r="AK688" s="61" t="n">
        <f aca="false">IF(AND(AI688=1,AJ688=0,AsOfUTC&gt;Q688),1,0)</f>
        <v>0</v>
      </c>
      <c r="AL688" s="61" t="n">
        <f aca="false">IF(AND(AI688=1,OR(TRIM(U688)="Fail",AB688="Open",AND(ISNUMBER(AF688),AF688&lt;&gt;0,TRIM(U688)&lt;&gt;"Pass after CA"))),1,0)</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1</v>
      </c>
    </row>
    <row r="689" customFormat="false" ht="66" hidden="false" customHeight="true" outlineLevel="0" collapsed="false">
      <c r="A689" s="57" t="s">
        <v>1379</v>
      </c>
      <c r="B689" s="57" t="s">
        <v>300</v>
      </c>
      <c r="C689" s="57" t="str">
        <f aca="false">Flights!$F$25</f>
        <v>MH1437</v>
      </c>
      <c r="D689" s="58" t="n">
        <f aca="false">Flights!$D$25</f>
        <v>46325</v>
      </c>
      <c r="E689" s="57" t="str">
        <f aca="false">Flights!$G$25&amp;"-"&amp;Flights!$H$25</f>
        <v>LGK-KUL</v>
      </c>
      <c r="F689" s="57" t="str">
        <f aca="false">Flights!$K$25</f>
        <v>BC</v>
      </c>
      <c r="G689" s="57" t="s">
        <v>383</v>
      </c>
      <c r="H689" s="57" t="s">
        <v>341</v>
      </c>
      <c r="I689" s="57" t="s">
        <v>410</v>
      </c>
      <c r="J689" s="57" t="s">
        <v>489</v>
      </c>
      <c r="K689" s="67" t="s">
        <v>412</v>
      </c>
      <c r="L689" s="67" t="s">
        <v>1380</v>
      </c>
      <c r="M689" s="67" t="s">
        <v>414</v>
      </c>
      <c r="N689" s="67" t="s">
        <v>346</v>
      </c>
      <c r="O689" s="67" t="s">
        <v>947</v>
      </c>
      <c r="P689" s="57" t="s">
        <v>177</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IF(N689="N/A – rule","N/A – RULE",IF(TRIM(U689)="N/A",IF(AT689=0,"INVALID – N/A not permitted for this mandatory check",IF(AND(TRIM(AC689)&lt;&gt;"",TRIM(AE689)&lt;&gt;"",TRIM(T689)&lt;&gt;""),"N/A – JUSTIFIED","INVALID – N/A needs justification, PIC and verifier")),IF(OR(TRIM(U689)="Pass",TRIM(U689)="Pass after CA"),IF(NOT(ISNUMBER(AD689)),"INVALID – completion time missing",IF(TRIM(T689)="","INVALID – PIC missing",IF(TRIM(Z689)="","INVALID – evidence missing",IF(TRIM(AE689)="","INVALID – verifier missing",IF(AND(AQ689=1,TRIM(W689)=""),"INVALID – batch ID missing",IF(AND(AR689=1,OR(NOT(ISNUMBER(X689)),NOT(ISNUMBER(Y689)))),"INVALID – expected/actual qty missing",IF(IF(AND(TRIM(U689)="Pass",ISNUMBER(AF689)),IF(AF689&lt;&gt;0,"INVALID – qty variance: use Fail or Pass after CA",""),"")&amp;IF(AND(TRIM(U689)="Pass",AB689="Open"),"INVALID – corrective action still open: use Fail, then Pass after CA","")&amp;IF(AND(TRIM(U689)="Pass after CA",OR(TRIM(AA689)="",AB689&lt;&gt;"Closed")),"INVALID – corrective action not recorded/closed","")&lt;&gt;"",IF(AND(TRIM(U689)="Pass",ISNUMBER(AF689)),IF(AF689&lt;&gt;0,"INVALID – qty variance: use Fail or Pass after CA",""),"")&amp;IF(AND(TRIM(U689)="Pass",AB689="Open"),"INVALID – corrective action still open: use Fail, then Pass after CA","")&amp;IF(AND(TRIM(U689)="Pass after CA",OR(TRIM(AA689)="",AB689&lt;&gt;"Closed")),"INVALID – corrective action not recorded/closed",""),IF(AND(AS689=1,Documents!$J$25&lt;&gt;"ON FILE"),"INVALID – GLD not on file (Documents sheet)",IF(AND(AS689=2,Documents!$O$25&lt;&gt;"ON FILE"),"INVALID – menu checklist not on file (Documents sheet)",IF(AND(AS689=3,NOT(ISNUMBER(Flights!$AX$25))),"INVALID – enter carrying flight KUL departure (Flights AX)",IF(AG689&gt;AsOfUTC,"INVALID – completion time is in the future",IF(AND(ISNUMBER(S689),AG689&lt;S689),IF(H689="Physical uplift","INVALID – before uplift window (cannot confirm loading)","INVALID – before valid window"),IF(AG689&gt;Flights!$AA$25,"INVALID – completed after departure (cannot establish readiness)",IF(AND(H689="Physical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f>
        <v>OPEN</v>
      </c>
      <c r="AI689" s="61" t="n">
        <f aca="false">IF(OR(AH689="N/A – RULE",AH689="N/A – JUSTIFIED"),0,1)</f>
        <v>1</v>
      </c>
      <c r="AJ689" s="61" t="n">
        <f aca="false">IF(LEFT(AH689,8)="COMPLETE",1,0)</f>
        <v>0</v>
      </c>
      <c r="AK689" s="61" t="n">
        <f aca="false">IF(AND(AI689=1,AJ689=0,AsOfUTC&gt;Q689),1,0)</f>
        <v>0</v>
      </c>
      <c r="AL689" s="61" t="n">
        <f aca="false">IF(AND(AI689=1,OR(TRIM(U689)="Fail",AB689="Open",AND(ISNUMBER(AF689),AF689&lt;&gt;0,TRIM(U689)&lt;&gt;"Pass after CA"))),1,0)</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1</v>
      </c>
    </row>
    <row r="690" customFormat="false" ht="66" hidden="false" customHeight="true" outlineLevel="0" collapsed="false">
      <c r="A690" s="57" t="s">
        <v>1381</v>
      </c>
      <c r="B690" s="57" t="s">
        <v>300</v>
      </c>
      <c r="C690" s="57" t="str">
        <f aca="false">Flights!$F$25</f>
        <v>MH1437</v>
      </c>
      <c r="D690" s="58" t="n">
        <f aca="false">Flights!$D$25</f>
        <v>46325</v>
      </c>
      <c r="E690" s="57" t="str">
        <f aca="false">Flights!$G$25&amp;"-"&amp;Flights!$H$25</f>
        <v>LGK-KUL</v>
      </c>
      <c r="F690" s="57" t="str">
        <f aca="false">Flights!$K$25</f>
        <v>BC</v>
      </c>
      <c r="G690" s="57" t="s">
        <v>383</v>
      </c>
      <c r="H690" s="57" t="s">
        <v>341</v>
      </c>
      <c r="I690" s="57" t="s">
        <v>410</v>
      </c>
      <c r="J690" s="57" t="s">
        <v>492</v>
      </c>
      <c r="K690" s="67" t="s">
        <v>412</v>
      </c>
      <c r="L690" s="67" t="s">
        <v>1382</v>
      </c>
      <c r="M690" s="67" t="s">
        <v>414</v>
      </c>
      <c r="N690" s="67" t="s">
        <v>346</v>
      </c>
      <c r="O690" s="67" t="s">
        <v>947</v>
      </c>
      <c r="P690" s="57" t="s">
        <v>177</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IF(N690="N/A – rule","N/A – RULE",IF(TRIM(U690)="N/A",IF(AT690=0,"INVALID – N/A not permitted for this mandatory check",IF(AND(TRIM(AC690)&lt;&gt;"",TRIM(AE690)&lt;&gt;"",TRIM(T690)&lt;&gt;""),"N/A – JUSTIFIED","INVALID – N/A needs justification, PIC and verifier")),IF(OR(TRIM(U690)="Pass",TRIM(U690)="Pass after CA"),IF(NOT(ISNUMBER(AD690)),"INVALID – completion time missing",IF(TRIM(T690)="","INVALID – PIC missing",IF(TRIM(Z690)="","INVALID – evidence missing",IF(TRIM(AE690)="","INVALID – verifier missing",IF(AND(AQ690=1,TRIM(W690)=""),"INVALID – batch ID missing",IF(AND(AR690=1,OR(NOT(ISNUMBER(X690)),NOT(ISNUMBER(Y690)))),"INVALID – expected/actual qty missing",IF(IF(AND(TRIM(U690)="Pass",ISNUMBER(AF690)),IF(AF690&lt;&gt;0,"INVALID – qty variance: use Fail or Pass after CA",""),"")&amp;IF(AND(TRIM(U690)="Pass",AB690="Open"),"INVALID – corrective action still open: use Fail, then Pass after CA","")&amp;IF(AND(TRIM(U690)="Pass after CA",OR(TRIM(AA690)="",AB690&lt;&gt;"Closed")),"INVALID – corrective action not recorded/closed","")&lt;&gt;"",IF(AND(TRIM(U690)="Pass",ISNUMBER(AF690)),IF(AF690&lt;&gt;0,"INVALID – qty variance: use Fail or Pass after CA",""),"")&amp;IF(AND(TRIM(U690)="Pass",AB690="Open"),"INVALID – corrective action still open: use Fail, then Pass after CA","")&amp;IF(AND(TRIM(U690)="Pass after CA",OR(TRIM(AA690)="",AB690&lt;&gt;"Closed")),"INVALID – corrective action not recorded/closed",""),IF(AND(AS690=1,Documents!$J$25&lt;&gt;"ON FILE"),"INVALID – GLD not on file (Documents sheet)",IF(AND(AS690=2,Documents!$O$25&lt;&gt;"ON FILE"),"INVALID – menu checklist not on file (Documents sheet)",IF(AND(AS690=3,NOT(ISNUMBER(Flights!$AX$25))),"INVALID – enter carrying flight KUL departure (Flights AX)",IF(AG690&gt;AsOfUTC,"INVALID – completion time is in the future",IF(AND(ISNUMBER(S690),AG690&lt;S690),IF(H690="Physical uplift","INVALID – before uplift window (cannot confirm loading)","INVALID – before valid window"),IF(AG690&gt;Flights!$AA$25,"INVALID – completed after departure (cannot establish readiness)",IF(AND(H690="Physical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f>
        <v>OPEN</v>
      </c>
      <c r="AI690" s="61" t="n">
        <f aca="false">IF(OR(AH690="N/A – RULE",AH690="N/A – JUSTIFIED"),0,1)</f>
        <v>1</v>
      </c>
      <c r="AJ690" s="61" t="n">
        <f aca="false">IF(LEFT(AH690,8)="COMPLETE",1,0)</f>
        <v>0</v>
      </c>
      <c r="AK690" s="61" t="n">
        <f aca="false">IF(AND(AI690=1,AJ690=0,AsOfUTC&gt;Q690),1,0)</f>
        <v>0</v>
      </c>
      <c r="AL690" s="61" t="n">
        <f aca="false">IF(AND(AI690=1,OR(TRIM(U690)="Fail",AB690="Open",AND(ISNUMBER(AF690),AF690&lt;&gt;0,TRIM(U690)&lt;&gt;"Pass after CA"))),1,0)</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1</v>
      </c>
    </row>
    <row r="691" customFormat="false" ht="39.75" hidden="false" customHeight="true" outlineLevel="0" collapsed="false">
      <c r="A691" s="57" t="s">
        <v>1383</v>
      </c>
      <c r="B691" s="57" t="s">
        <v>300</v>
      </c>
      <c r="C691" s="57" t="str">
        <f aca="false">Flights!$F$25</f>
        <v>MH1437</v>
      </c>
      <c r="D691" s="58" t="n">
        <f aca="false">Flights!$D$25</f>
        <v>46325</v>
      </c>
      <c r="E691" s="57" t="str">
        <f aca="false">Flights!$G$25&amp;"-"&amp;Flights!$H$25</f>
        <v>LGK-KUL</v>
      </c>
      <c r="F691" s="57" t="str">
        <f aca="false">Flights!$K$25</f>
        <v>BC</v>
      </c>
      <c r="G691" s="57" t="s">
        <v>422</v>
      </c>
      <c r="H691" s="57" t="s">
        <v>423</v>
      </c>
      <c r="I691" s="57" t="s">
        <v>342</v>
      </c>
      <c r="J691" s="57" t="s">
        <v>424</v>
      </c>
      <c r="K691" s="67" t="s">
        <v>389</v>
      </c>
      <c r="L691" s="67" t="s">
        <v>425</v>
      </c>
      <c r="M691" s="67"/>
      <c r="N691" s="67" t="s">
        <v>346</v>
      </c>
      <c r="O691" s="67" t="s">
        <v>426</v>
      </c>
      <c r="P691" s="57" t="s">
        <v>296</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IF(N691="N/A – rule","N/A – RULE",IF(TRIM(U691)="N/A",IF(AT691=0,"INVALID – N/A not permitted for this mandatory check",IF(AND(TRIM(AC691)&lt;&gt;"",TRIM(AE691)&lt;&gt;"",TRIM(T691)&lt;&gt;""),"N/A – JUSTIFIED","INVALID – N/A needs justification, PIC and verifier")),IF(OR(TRIM(U691)="Pass",TRIM(U691)="Pass after CA"),IF(NOT(ISNUMBER(AD691)),"INVALID – completion time missing",IF(TRIM(T691)="","INVALID – PIC missing",IF(TRIM(Z691)="","INVALID – evidence missing",IF(TRIM(AE691)="","INVALID – verifier missing",IF(AND(AQ691=1,TRIM(W691)=""),"INVALID – batch ID missing",IF(AND(AR691=1,OR(NOT(ISNUMBER(X691)),NOT(ISNUMBER(Y691)))),"INVALID – expected/actual qty missing",IF(IF(AND(TRIM(U691)="Pass",ISNUMBER(AF691)),IF(AF691&lt;&gt;0,"INVALID – qty variance: use Fail or Pass after CA",""),"")&amp;IF(AND(TRIM(U691)="Pass",AB691="Open"),"INVALID – corrective action still open: use Fail, then Pass after CA","")&amp;IF(AND(TRIM(U691)="Pass after CA",OR(TRIM(AA691)="",AB691&lt;&gt;"Closed")),"INVALID – corrective action not recorded/closed","")&lt;&gt;"",IF(AND(TRIM(U691)="Pass",ISNUMBER(AF691)),IF(AF691&lt;&gt;0,"INVALID – qty variance: use Fail or Pass after CA",""),"")&amp;IF(AND(TRIM(U691)="Pass",AB691="Open"),"INVALID – corrective action still open: use Fail, then Pass after CA","")&amp;IF(AND(TRIM(U691)="Pass after CA",OR(TRIM(AA691)="",AB691&lt;&gt;"Closed")),"INVALID – corrective action not recorded/closed",""),IF(AND(AS691=1,Documents!$J$25&lt;&gt;"ON FILE"),"INVALID – GLD not on file (Documents sheet)",IF(AND(AS691=2,Documents!$O$25&lt;&gt;"ON FILE"),"INVALID – menu checklist not on file (Documents sheet)",IF(AND(AS691=3,NOT(ISNUMBER(Flights!$AX$25))),"INVALID – enter carrying flight KUL departure (Flights AX)",IF(AG691&gt;AsOfUTC,"INVALID – completion time is in the future",IF(AND(ISNUMBER(S691),AG691&lt;S691),IF(H691="Physical uplift","INVALID – before uplift window (cannot confirm loading)","INVALID – before valid window"),IF(AG691&gt;Flights!$AA$25,"INVALID – completed after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f>
        <v>OPEN</v>
      </c>
      <c r="AI691" s="61" t="n">
        <f aca="false">IF(OR(AH691="N/A – RULE",AH691="N/A – JUSTIFIED"),0,1)</f>
        <v>1</v>
      </c>
      <c r="AJ691" s="61" t="n">
        <f aca="false">IF(LEFT(AH691,8)="COMPLETE",1,0)</f>
        <v>0</v>
      </c>
      <c r="AK691" s="61" t="n">
        <f aca="false">IF(AND(AI691=1,AJ691=0,AsOfUTC&gt;Q691),1,0)</f>
        <v>0</v>
      </c>
      <c r="AL691" s="61" t="n">
        <f aca="false">IF(AND(AI691=1,OR(TRIM(U691)="Fail",AB691="Open",AND(ISNUMBER(AF691),AF691&lt;&gt;0,TRIM(U691)&lt;&gt;"Pass after CA"))),1,0)</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row>
    <row r="692" customFormat="false" ht="39.75" hidden="false" customHeight="true" outlineLevel="0" collapsed="false">
      <c r="A692" s="57" t="s">
        <v>1384</v>
      </c>
      <c r="B692" s="57" t="s">
        <v>300</v>
      </c>
      <c r="C692" s="57" t="str">
        <f aca="false">Flights!$F$25</f>
        <v>MH1437</v>
      </c>
      <c r="D692" s="58" t="n">
        <f aca="false">Flights!$D$25</f>
        <v>46325</v>
      </c>
      <c r="E692" s="57" t="str">
        <f aca="false">Flights!$G$25&amp;"-"&amp;Flights!$H$25</f>
        <v>LGK-KUL</v>
      </c>
      <c r="F692" s="57" t="str">
        <f aca="false">Flights!$K$25</f>
        <v>BC</v>
      </c>
      <c r="G692" s="57" t="s">
        <v>422</v>
      </c>
      <c r="H692" s="57" t="s">
        <v>423</v>
      </c>
      <c r="I692" s="57" t="s">
        <v>391</v>
      </c>
      <c r="J692" s="57" t="s">
        <v>428</v>
      </c>
      <c r="K692" s="67" t="s">
        <v>389</v>
      </c>
      <c r="L692" s="67" t="s">
        <v>425</v>
      </c>
      <c r="M692" s="67"/>
      <c r="N692" s="67" t="s">
        <v>346</v>
      </c>
      <c r="O692" s="67" t="s">
        <v>426</v>
      </c>
      <c r="P692" s="57" t="s">
        <v>296</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IF(N692="N/A – rule","N/A – RULE",IF(TRIM(U692)="N/A",IF(AT692=0,"INVALID – N/A not permitted for this mandatory check",IF(AND(TRIM(AC692)&lt;&gt;"",TRIM(AE692)&lt;&gt;"",TRIM(T692)&lt;&gt;""),"N/A – JUSTIFIED","INVALID – N/A needs justification, PIC and verifier")),IF(OR(TRIM(U692)="Pass",TRIM(U692)="Pass after CA"),IF(NOT(ISNUMBER(AD692)),"INVALID – completion time missing",IF(TRIM(T692)="","INVALID – PIC missing",IF(TRIM(Z692)="","INVALID – evidence missing",IF(TRIM(AE692)="","INVALID – verifier missing",IF(AND(AQ692=1,TRIM(W692)=""),"INVALID – batch ID missing",IF(AND(AR692=1,OR(NOT(ISNUMBER(X692)),NOT(ISNUMBER(Y692)))),"INVALID – expected/actual qty missing",IF(IF(AND(TRIM(U692)="Pass",ISNUMBER(AF692)),IF(AF692&lt;&gt;0,"INVALID – qty variance: use Fail or Pass after CA",""),"")&amp;IF(AND(TRIM(U692)="Pass",AB692="Open"),"INVALID – corrective action still open: use Fail, then Pass after CA","")&amp;IF(AND(TRIM(U692)="Pass after CA",OR(TRIM(AA692)="",AB692&lt;&gt;"Closed")),"INVALID – corrective action not recorded/closed","")&lt;&gt;"",IF(AND(TRIM(U692)="Pass",ISNUMBER(AF692)),IF(AF692&lt;&gt;0,"INVALID – qty variance: use Fail or Pass after CA",""),"")&amp;IF(AND(TRIM(U692)="Pass",AB692="Open"),"INVALID – corrective action still open: use Fail, then Pass after CA","")&amp;IF(AND(TRIM(U692)="Pass after CA",OR(TRIM(AA692)="",AB692&lt;&gt;"Closed")),"INVALID – corrective action not recorded/closed",""),IF(AND(AS692=1,Documents!$J$25&lt;&gt;"ON FILE"),"INVALID – GLD not on file (Documents sheet)",IF(AND(AS692=2,Documents!$O$25&lt;&gt;"ON FILE"),"INVALID – menu checklist not on file (Documents sheet)",IF(AND(AS692=3,NOT(ISNUMBER(Flights!$AX$25))),"INVALID – enter carrying flight KUL departure (Flights AX)",IF(AG692&gt;AsOfUTC,"INVALID – completion time is in the future",IF(AND(ISNUMBER(S692),AG692&lt;S692),IF(H692="Physical uplift","INVALID – before uplift window (cannot confirm loading)","INVALID – before valid window"),IF(AG692&gt;Flights!$AA$25,"INVALID – completed after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f>
        <v>OPEN</v>
      </c>
      <c r="AI692" s="61" t="n">
        <f aca="false">IF(OR(AH692="N/A – RULE",AH692="N/A – JUSTIFIED"),0,1)</f>
        <v>1</v>
      </c>
      <c r="AJ692" s="61" t="n">
        <f aca="false">IF(LEFT(AH692,8)="COMPLETE",1,0)</f>
        <v>0</v>
      </c>
      <c r="AK692" s="61" t="n">
        <f aca="false">IF(AND(AI692=1,AJ692=0,AsOfUTC&gt;Q692),1,0)</f>
        <v>0</v>
      </c>
      <c r="AL692" s="61" t="n">
        <f aca="false">IF(AND(AI692=1,OR(TRIM(U692)="Fail",AB692="Open",AND(ISNUMBER(AF692),AF692&lt;&gt;0,TRIM(U692)&lt;&gt;"Pass after CA"))),1,0)</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row>
    <row r="693" customFormat="false" ht="78.75" hidden="false" customHeight="true" outlineLevel="0" collapsed="false">
      <c r="A693" s="57" t="s">
        <v>1385</v>
      </c>
      <c r="B693" s="57" t="s">
        <v>300</v>
      </c>
      <c r="C693" s="57" t="str">
        <f aca="false">Flights!$F$25</f>
        <v>MH1437</v>
      </c>
      <c r="D693" s="58" t="n">
        <f aca="false">Flights!$D$25</f>
        <v>46325</v>
      </c>
      <c r="E693" s="57" t="str">
        <f aca="false">Flights!$G$25&amp;"-"&amp;Flights!$H$25</f>
        <v>LGK-KUL</v>
      </c>
      <c r="F693" s="57" t="str">
        <f aca="false">Flights!$K$25</f>
        <v>BC</v>
      </c>
      <c r="G693" s="57" t="s">
        <v>422</v>
      </c>
      <c r="H693" s="57" t="s">
        <v>423</v>
      </c>
      <c r="I693" s="57" t="s">
        <v>374</v>
      </c>
      <c r="J693" s="57" t="s">
        <v>1386</v>
      </c>
      <c r="K693" s="67" t="s">
        <v>1387</v>
      </c>
      <c r="L693" s="67" t="s">
        <v>953</v>
      </c>
      <c r="M693" s="67"/>
      <c r="N693" s="67" t="s">
        <v>346</v>
      </c>
      <c r="O693" s="67" t="s">
        <v>954</v>
      </c>
      <c r="P693" s="57" t="s">
        <v>177</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IF(N693="N/A – rule","N/A – RULE",IF(TRIM(U693)="N/A",IF(AT693=0,"INVALID – N/A not permitted for this mandatory check",IF(AND(TRIM(AC693)&lt;&gt;"",TRIM(AE693)&lt;&gt;"",TRIM(T693)&lt;&gt;""),"N/A – JUSTIFIED","INVALID – N/A needs justification, PIC and verifier")),IF(OR(TRIM(U693)="Pass",TRIM(U693)="Pass after CA"),IF(NOT(ISNUMBER(AD693)),"INVALID – completion time missing",IF(TRIM(T693)="","INVALID – PIC missing",IF(TRIM(Z693)="","INVALID – evidence missing",IF(TRIM(AE693)="","INVALID – verifier missing",IF(AND(AQ693=1,TRIM(W693)=""),"INVALID – batch ID missing",IF(AND(AR693=1,OR(NOT(ISNUMBER(X693)),NOT(ISNUMBER(Y693)))),"INVALID – expected/actual qty missing",IF(IF(AND(TRIM(U693)="Pass",ISNUMBER(AF693)),IF(AF693&lt;&gt;0,"INVALID – qty variance: use Fail or Pass after CA",""),"")&amp;IF(AND(TRIM(U693)="Pass",AB693="Open"),"INVALID – corrective action still open: use Fail, then Pass after CA","")&amp;IF(AND(TRIM(U693)="Pass after CA",OR(TRIM(AA693)="",AB693&lt;&gt;"Closed")),"INVALID – corrective action not recorded/closed","")&lt;&gt;"",IF(AND(TRIM(U693)="Pass",ISNUMBER(AF693)),IF(AF693&lt;&gt;0,"INVALID – qty variance: use Fail or Pass after CA",""),"")&amp;IF(AND(TRIM(U693)="Pass",AB693="Open"),"INVALID – corrective action still open: use Fail, then Pass after CA","")&amp;IF(AND(TRIM(U693)="Pass after CA",OR(TRIM(AA693)="",AB693&lt;&gt;"Closed")),"INVALID – corrective action not recorded/closed",""),IF(AND(AS693=1,Documents!$J$25&lt;&gt;"ON FILE"),"INVALID – GLD not on file (Documents sheet)",IF(AND(AS693=2,Documents!$O$25&lt;&gt;"ON FILE"),"INVALID – menu checklist not on file (Documents sheet)",IF(AND(AS693=3,NOT(ISNUMBER(Flights!$AX$25))),"INVALID – enter carrying flight KUL departure (Flights AX)",IF(AG693&gt;AsOfUTC,"INVALID – completion time is in the future",IF(AND(ISNUMBER(S693),AG693&lt;S693),IF(H693="Physical uplift","INVALID – before uplift window (cannot confirm loading)","INVALID – before valid window"),IF(AG693&gt;Flights!$AA$25,"INVALID – completed after departure (cannot establish readiness)",IF(AND(H693="Physical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f>
        <v>OPEN</v>
      </c>
      <c r="AI693" s="61" t="n">
        <f aca="false">IF(OR(AH693="N/A – RULE",AH693="N/A – JUSTIFIED"),0,1)</f>
        <v>1</v>
      </c>
      <c r="AJ693" s="61" t="n">
        <f aca="false">IF(LEFT(AH693,8)="COMPLETE",1,0)</f>
        <v>0</v>
      </c>
      <c r="AK693" s="61" t="n">
        <f aca="false">IF(AND(AI693=1,AJ693=0,AsOfUTC&gt;Q693),1,0)</f>
        <v>0</v>
      </c>
      <c r="AL693" s="61" t="n">
        <f aca="false">IF(AND(AI693=1,OR(TRIM(U693)="Fail",AB693="Open",AND(ISNUMBER(AF693),AF693&lt;&gt;0,TRIM(U693)&lt;&gt;"Pass after CA"))),1,0)</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row>
    <row r="694" customFormat="false" ht="41.25" hidden="false" customHeight="true" outlineLevel="0" collapsed="false">
      <c r="A694" s="57" t="s">
        <v>1388</v>
      </c>
      <c r="B694" s="57" t="s">
        <v>300</v>
      </c>
      <c r="C694" s="57" t="str">
        <f aca="false">Flights!$F$25</f>
        <v>MH1437</v>
      </c>
      <c r="D694" s="58" t="n">
        <f aca="false">Flights!$D$25</f>
        <v>46325</v>
      </c>
      <c r="E694" s="57" t="str">
        <f aca="false">Flights!$G$25&amp;"-"&amp;Flights!$H$25</f>
        <v>LGK-KUL</v>
      </c>
      <c r="F694" s="57" t="str">
        <f aca="false">Flights!$K$25</f>
        <v>BC</v>
      </c>
      <c r="G694" s="57" t="s">
        <v>422</v>
      </c>
      <c r="H694" s="57" t="s">
        <v>423</v>
      </c>
      <c r="I694" s="57" t="s">
        <v>403</v>
      </c>
      <c r="J694" s="57" t="s">
        <v>497</v>
      </c>
      <c r="K694" s="67" t="s">
        <v>458</v>
      </c>
      <c r="L694" s="67" t="s">
        <v>1366</v>
      </c>
      <c r="M694" s="67" t="s">
        <v>414</v>
      </c>
      <c r="N694" s="67" t="s">
        <v>346</v>
      </c>
      <c r="O694" s="67" t="s">
        <v>498</v>
      </c>
      <c r="P694" s="57" t="s">
        <v>296</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IF(N694="N/A – rule","N/A – RULE",IF(TRIM(U694)="N/A",IF(AT694=0,"INVALID – N/A not permitted for this mandatory check",IF(AND(TRIM(AC694)&lt;&gt;"",TRIM(AE694)&lt;&gt;"",TRIM(T694)&lt;&gt;""),"N/A – JUSTIFIED","INVALID – N/A needs justification, PIC and verifier")),IF(OR(TRIM(U694)="Pass",TRIM(U694)="Pass after CA"),IF(NOT(ISNUMBER(AD694)),"INVALID – completion time missing",IF(TRIM(T694)="","INVALID – PIC missing",IF(TRIM(Z694)="","INVALID – evidence missing",IF(TRIM(AE694)="","INVALID – verifier missing",IF(AND(AQ694=1,TRIM(W694)=""),"INVALID – batch ID missing",IF(AND(AR694=1,OR(NOT(ISNUMBER(X694)),NOT(ISNUMBER(Y694)))),"INVALID – expected/actual qty missing",IF(IF(AND(TRIM(U694)="Pass",ISNUMBER(AF694)),IF(AF694&lt;&gt;0,"INVALID – qty variance: use Fail or Pass after CA",""),"")&amp;IF(AND(TRIM(U694)="Pass",AB694="Open"),"INVALID – corrective action still open: use Fail, then Pass after CA","")&amp;IF(AND(TRIM(U694)="Pass after CA",OR(TRIM(AA694)="",AB694&lt;&gt;"Closed")),"INVALID – corrective action not recorded/closed","")&lt;&gt;"",IF(AND(TRIM(U694)="Pass",ISNUMBER(AF694)),IF(AF694&lt;&gt;0,"INVALID – qty variance: use Fail or Pass after CA",""),"")&amp;IF(AND(TRIM(U694)="Pass",AB694="Open"),"INVALID – corrective action still open: use Fail, then Pass after CA","")&amp;IF(AND(TRIM(U694)="Pass after CA",OR(TRIM(AA694)="",AB694&lt;&gt;"Closed")),"INVALID – corrective action not recorded/closed",""),IF(AND(AS694=1,Documents!$J$25&lt;&gt;"ON FILE"),"INVALID – GLD not on file (Documents sheet)",IF(AND(AS694=2,Documents!$O$25&lt;&gt;"ON FILE"),"INVALID – menu checklist not on file (Documents sheet)",IF(AND(AS694=3,NOT(ISNUMBER(Flights!$AX$25))),"INVALID – enter carrying flight KUL departure (Flights AX)",IF(AG694&gt;AsOfUTC,"INVALID – completion time is in the future",IF(AND(ISNUMBER(S694),AG694&lt;S694),IF(H694="Physical uplift","INVALID – before uplift window (cannot confirm loading)","INVALID – before valid window"),IF(AG694&gt;Flights!$AA$25,"INVALID – completed after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f>
        <v>OPEN</v>
      </c>
      <c r="AI694" s="61" t="n">
        <f aca="false">IF(OR(AH694="N/A – RULE",AH694="N/A – JUSTIFIED"),0,1)</f>
        <v>1</v>
      </c>
      <c r="AJ694" s="61" t="n">
        <f aca="false">IF(LEFT(AH694,8)="COMPLETE",1,0)</f>
        <v>0</v>
      </c>
      <c r="AK694" s="61" t="n">
        <f aca="false">IF(AND(AI694=1,AJ694=0,AsOfUTC&gt;Q694),1,0)</f>
        <v>0</v>
      </c>
      <c r="AL694" s="61" t="n">
        <f aca="false">IF(AND(AI694=1,OR(TRIM(U694)="Fail",AB694="Open",AND(ISNUMBER(AF694),AF694&lt;&gt;0,TRIM(U694)&lt;&gt;"Pass after CA"))),1,0)</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1</v>
      </c>
    </row>
    <row r="695" customFormat="false" ht="39.75" hidden="false" customHeight="true" outlineLevel="0" collapsed="false">
      <c r="A695" s="57" t="s">
        <v>1389</v>
      </c>
      <c r="B695" s="57" t="s">
        <v>300</v>
      </c>
      <c r="C695" s="57" t="str">
        <f aca="false">Flights!$F$25</f>
        <v>MH1437</v>
      </c>
      <c r="D695" s="58" t="n">
        <f aca="false">Flights!$D$25</f>
        <v>46325</v>
      </c>
      <c r="E695" s="57" t="str">
        <f aca="false">Flights!$G$25&amp;"-"&amp;Flights!$H$25</f>
        <v>LGK-KUL</v>
      </c>
      <c r="F695" s="57" t="str">
        <f aca="false">Flights!$K$25</f>
        <v>BC</v>
      </c>
      <c r="G695" s="57" t="s">
        <v>422</v>
      </c>
      <c r="H695" s="57" t="s">
        <v>423</v>
      </c>
      <c r="I695" s="57" t="s">
        <v>462</v>
      </c>
      <c r="J695" s="57" t="s">
        <v>500</v>
      </c>
      <c r="K695" s="67" t="s">
        <v>464</v>
      </c>
      <c r="L695" s="67" t="s">
        <v>1369</v>
      </c>
      <c r="M695" s="67" t="s">
        <v>414</v>
      </c>
      <c r="N695" s="67" t="s">
        <v>346</v>
      </c>
      <c r="O695" s="67"/>
      <c r="P695" s="57" t="s">
        <v>296</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IF(N695="N/A – rule","N/A – RULE",IF(TRIM(U695)="N/A",IF(AT695=0,"INVALID – N/A not permitted for this mandatory check",IF(AND(TRIM(AC695)&lt;&gt;"",TRIM(AE695)&lt;&gt;"",TRIM(T695)&lt;&gt;""),"N/A – JUSTIFIED","INVALID – N/A needs justification, PIC and verifier")),IF(OR(TRIM(U695)="Pass",TRIM(U695)="Pass after CA"),IF(NOT(ISNUMBER(AD695)),"INVALID – completion time missing",IF(TRIM(T695)="","INVALID – PIC missing",IF(TRIM(Z695)="","INVALID – evidence missing",IF(TRIM(AE695)="","INVALID – verifier missing",IF(AND(AQ695=1,TRIM(W695)=""),"INVALID – batch ID missing",IF(AND(AR695=1,OR(NOT(ISNUMBER(X695)),NOT(ISNUMBER(Y695)))),"INVALID – expected/actual qty missing",IF(IF(AND(TRIM(U695)="Pass",ISNUMBER(AF695)),IF(AF695&lt;&gt;0,"INVALID – qty variance: use Fail or Pass after CA",""),"")&amp;IF(AND(TRIM(U695)="Pass",AB695="Open"),"INVALID – corrective action still open: use Fail, then Pass after CA","")&amp;IF(AND(TRIM(U695)="Pass after CA",OR(TRIM(AA695)="",AB695&lt;&gt;"Closed")),"INVALID – corrective action not recorded/closed","")&lt;&gt;"",IF(AND(TRIM(U695)="Pass",ISNUMBER(AF695)),IF(AF695&lt;&gt;0,"INVALID – qty variance: use Fail or Pass after CA",""),"")&amp;IF(AND(TRIM(U695)="Pass",AB695="Open"),"INVALID – corrective action still open: use Fail, then Pass after CA","")&amp;IF(AND(TRIM(U695)="Pass after CA",OR(TRIM(AA695)="",AB695&lt;&gt;"Closed")),"INVALID – corrective action not recorded/closed",""),IF(AND(AS695=1,Documents!$J$25&lt;&gt;"ON FILE"),"INVALID – GLD not on file (Documents sheet)",IF(AND(AS695=2,Documents!$O$25&lt;&gt;"ON FILE"),"INVALID – menu checklist not on file (Documents sheet)",IF(AND(AS695=3,NOT(ISNUMBER(Flights!$AX$25))),"INVALID – enter carrying flight KUL departure (Flights AX)",IF(AG695&gt;AsOfUTC,"INVALID – completion time is in the future",IF(AND(ISNUMBER(S695),AG695&lt;S695),IF(H695="Physical uplift","INVALID – before uplift window (cannot confirm loading)","INVALID – before valid window"),IF(AG695&gt;Flights!$AA$25,"INVALID – completed after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f>
        <v>OPEN</v>
      </c>
      <c r="AI695" s="61" t="n">
        <f aca="false">IF(OR(AH695="N/A – RULE",AH695="N/A – JUSTIFIED"),0,1)</f>
        <v>1</v>
      </c>
      <c r="AJ695" s="61" t="n">
        <f aca="false">IF(LEFT(AH695,8)="COMPLETE",1,0)</f>
        <v>0</v>
      </c>
      <c r="AK695" s="61" t="n">
        <f aca="false">IF(AND(AI695=1,AJ695=0,AsOfUTC&gt;Q695),1,0)</f>
        <v>0</v>
      </c>
      <c r="AL695" s="61" t="n">
        <f aca="false">IF(AND(AI695=1,OR(TRIM(U695)="Fail",AB695="Open",AND(ISNUMBER(AF695),AF695&lt;&gt;0,TRIM(U695)&lt;&gt;"Pass after CA"))),1,0)</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1</v>
      </c>
    </row>
    <row r="696" customFormat="false" ht="39.75" hidden="false" customHeight="true" outlineLevel="0" collapsed="false">
      <c r="A696" s="57" t="s">
        <v>1390</v>
      </c>
      <c r="B696" s="57" t="s">
        <v>300</v>
      </c>
      <c r="C696" s="57" t="str">
        <f aca="false">Flights!$F$25</f>
        <v>MH1437</v>
      </c>
      <c r="D696" s="58" t="n">
        <f aca="false">Flights!$D$25</f>
        <v>46325</v>
      </c>
      <c r="E696" s="57" t="str">
        <f aca="false">Flights!$G$25&amp;"-"&amp;Flights!$H$25</f>
        <v>LGK-KUL</v>
      </c>
      <c r="F696" s="57" t="str">
        <f aca="false">Flights!$K$25</f>
        <v>BC</v>
      </c>
      <c r="G696" s="57" t="s">
        <v>422</v>
      </c>
      <c r="H696" s="57" t="s">
        <v>423</v>
      </c>
      <c r="I696" s="57" t="s">
        <v>462</v>
      </c>
      <c r="J696" s="57" t="s">
        <v>502</v>
      </c>
      <c r="K696" s="67" t="s">
        <v>464</v>
      </c>
      <c r="L696" s="67" t="s">
        <v>1371</v>
      </c>
      <c r="M696" s="67" t="s">
        <v>414</v>
      </c>
      <c r="N696" s="67" t="s">
        <v>346</v>
      </c>
      <c r="O696" s="67"/>
      <c r="P696" s="57" t="s">
        <v>296</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IF(N696="N/A – rule","N/A – RULE",IF(TRIM(U696)="N/A",IF(AT696=0,"INVALID – N/A not permitted for this mandatory check",IF(AND(TRIM(AC696)&lt;&gt;"",TRIM(AE696)&lt;&gt;"",TRIM(T696)&lt;&gt;""),"N/A – JUSTIFIED","INVALID – N/A needs justification, PIC and verifier")),IF(OR(TRIM(U696)="Pass",TRIM(U696)="Pass after CA"),IF(NOT(ISNUMBER(AD696)),"INVALID – completion time missing",IF(TRIM(T696)="","INVALID – PIC missing",IF(TRIM(Z696)="","INVALID – evidence missing",IF(TRIM(AE696)="","INVALID – verifier missing",IF(AND(AQ696=1,TRIM(W696)=""),"INVALID – batch ID missing",IF(AND(AR696=1,OR(NOT(ISNUMBER(X696)),NOT(ISNUMBER(Y696)))),"INVALID – expected/actual qty missing",IF(IF(AND(TRIM(U696)="Pass",ISNUMBER(AF696)),IF(AF696&lt;&gt;0,"INVALID – qty variance: use Fail or Pass after CA",""),"")&amp;IF(AND(TRIM(U696)="Pass",AB696="Open"),"INVALID – corrective action still open: use Fail, then Pass after CA","")&amp;IF(AND(TRIM(U696)="Pass after CA",OR(TRIM(AA696)="",AB696&lt;&gt;"Closed")),"INVALID – corrective action not recorded/closed","")&lt;&gt;"",IF(AND(TRIM(U696)="Pass",ISNUMBER(AF696)),IF(AF696&lt;&gt;0,"INVALID – qty variance: use Fail or Pass after CA",""),"")&amp;IF(AND(TRIM(U696)="Pass",AB696="Open"),"INVALID – corrective action still open: use Fail, then Pass after CA","")&amp;IF(AND(TRIM(U696)="Pass after CA",OR(TRIM(AA696)="",AB696&lt;&gt;"Closed")),"INVALID – corrective action not recorded/closed",""),IF(AND(AS696=1,Documents!$J$25&lt;&gt;"ON FILE"),"INVALID – GLD not on file (Documents sheet)",IF(AND(AS696=2,Documents!$O$25&lt;&gt;"ON FILE"),"INVALID – menu checklist not on file (Documents sheet)",IF(AND(AS696=3,NOT(ISNUMBER(Flights!$AX$25))),"INVALID – enter carrying flight KUL departure (Flights AX)",IF(AG696&gt;AsOfUTC,"INVALID – completion time is in the future",IF(AND(ISNUMBER(S696),AG696&lt;S696),IF(H696="Physical uplift","INVALID – before uplift window (cannot confirm loading)","INVALID – before valid window"),IF(AG696&gt;Flights!$AA$25,"INVALID – completed after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f>
        <v>OPEN</v>
      </c>
      <c r="AI696" s="61" t="n">
        <f aca="false">IF(OR(AH696="N/A – RULE",AH696="N/A – JUSTIFIED"),0,1)</f>
        <v>1</v>
      </c>
      <c r="AJ696" s="61" t="n">
        <f aca="false">IF(LEFT(AH696,8)="COMPLETE",1,0)</f>
        <v>0</v>
      </c>
      <c r="AK696" s="61" t="n">
        <f aca="false">IF(AND(AI696=1,AJ696=0,AsOfUTC&gt;Q696),1,0)</f>
        <v>0</v>
      </c>
      <c r="AL696" s="61" t="n">
        <f aca="false">IF(AND(AI696=1,OR(TRIM(U696)="Fail",AB696="Open",AND(ISNUMBER(AF696),AF696&lt;&gt;0,TRIM(U696)&lt;&gt;"Pass after CA"))),1,0)</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1</v>
      </c>
    </row>
    <row r="697" customFormat="false" ht="39.75" hidden="false" customHeight="true" outlineLevel="0" collapsed="false">
      <c r="A697" s="57" t="s">
        <v>1391</v>
      </c>
      <c r="B697" s="57" t="s">
        <v>300</v>
      </c>
      <c r="C697" s="57" t="str">
        <f aca="false">Flights!$F$25</f>
        <v>MH1437</v>
      </c>
      <c r="D697" s="58" t="n">
        <f aca="false">Flights!$D$25</f>
        <v>46325</v>
      </c>
      <c r="E697" s="57" t="str">
        <f aca="false">Flights!$G$25&amp;"-"&amp;Flights!$H$25</f>
        <v>LGK-KUL</v>
      </c>
      <c r="F697" s="57" t="str">
        <f aca="false">Flights!$K$25</f>
        <v>BC</v>
      </c>
      <c r="G697" s="57" t="s">
        <v>422</v>
      </c>
      <c r="H697" s="57" t="s">
        <v>423</v>
      </c>
      <c r="I697" s="57" t="s">
        <v>462</v>
      </c>
      <c r="J697" s="57" t="s">
        <v>504</v>
      </c>
      <c r="K697" s="67" t="s">
        <v>464</v>
      </c>
      <c r="L697" s="67" t="s">
        <v>1373</v>
      </c>
      <c r="M697" s="67" t="s">
        <v>414</v>
      </c>
      <c r="N697" s="67" t="s">
        <v>346</v>
      </c>
      <c r="O697" s="67"/>
      <c r="P697" s="57" t="s">
        <v>296</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IF(N697="N/A – rule","N/A – RULE",IF(TRIM(U697)="N/A",IF(AT697=0,"INVALID – N/A not permitted for this mandatory check",IF(AND(TRIM(AC697)&lt;&gt;"",TRIM(AE697)&lt;&gt;"",TRIM(T697)&lt;&gt;""),"N/A – JUSTIFIED","INVALID – N/A needs justification, PIC and verifier")),IF(OR(TRIM(U697)="Pass",TRIM(U697)="Pass after CA"),IF(NOT(ISNUMBER(AD697)),"INVALID – completion time missing",IF(TRIM(T697)="","INVALID – PIC missing",IF(TRIM(Z697)="","INVALID – evidence missing",IF(TRIM(AE697)="","INVALID – verifier missing",IF(AND(AQ697=1,TRIM(W697)=""),"INVALID – batch ID missing",IF(AND(AR697=1,OR(NOT(ISNUMBER(X697)),NOT(ISNUMBER(Y697)))),"INVALID – expected/actual qty missing",IF(IF(AND(TRIM(U697)="Pass",ISNUMBER(AF697)),IF(AF697&lt;&gt;0,"INVALID – qty variance: use Fail or Pass after CA",""),"")&amp;IF(AND(TRIM(U697)="Pass",AB697="Open"),"INVALID – corrective action still open: use Fail, then Pass after CA","")&amp;IF(AND(TRIM(U697)="Pass after CA",OR(TRIM(AA697)="",AB697&lt;&gt;"Closed")),"INVALID – corrective action not recorded/closed","")&lt;&gt;"",IF(AND(TRIM(U697)="Pass",ISNUMBER(AF697)),IF(AF697&lt;&gt;0,"INVALID – qty variance: use Fail or Pass after CA",""),"")&amp;IF(AND(TRIM(U697)="Pass",AB697="Open"),"INVALID – corrective action still open: use Fail, then Pass after CA","")&amp;IF(AND(TRIM(U697)="Pass after CA",OR(TRIM(AA697)="",AB697&lt;&gt;"Closed")),"INVALID – corrective action not recorded/closed",""),IF(AND(AS697=1,Documents!$J$25&lt;&gt;"ON FILE"),"INVALID – GLD not on file (Documents sheet)",IF(AND(AS697=2,Documents!$O$25&lt;&gt;"ON FILE"),"INVALID – menu checklist not on file (Documents sheet)",IF(AND(AS697=3,NOT(ISNUMBER(Flights!$AX$25))),"INVALID – enter carrying flight KUL departure (Flights AX)",IF(AG697&gt;AsOfUTC,"INVALID – completion time is in the future",IF(AND(ISNUMBER(S697),AG697&lt;S697),IF(H697="Physical uplift","INVALID – before uplift window (cannot confirm loading)","INVALID – before valid window"),IF(AG697&gt;Flights!$AA$25,"INVALID – completed after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f>
        <v>OPEN</v>
      </c>
      <c r="AI697" s="61" t="n">
        <f aca="false">IF(OR(AH697="N/A – RULE",AH697="N/A – JUSTIFIED"),0,1)</f>
        <v>1</v>
      </c>
      <c r="AJ697" s="61" t="n">
        <f aca="false">IF(LEFT(AH697,8)="COMPLETE",1,0)</f>
        <v>0</v>
      </c>
      <c r="AK697" s="61" t="n">
        <f aca="false">IF(AND(AI697=1,AJ697=0,AsOfUTC&gt;Q697),1,0)</f>
        <v>0</v>
      </c>
      <c r="AL697" s="61" t="n">
        <f aca="false">IF(AND(AI697=1,OR(TRIM(U697)="Fail",AB697="Open",AND(ISNUMBER(AF697),AF697&lt;&gt;0,TRIM(U697)&lt;&gt;"Pass after CA"))),1,0)</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1</v>
      </c>
    </row>
    <row r="698" customFormat="false" ht="39.75" hidden="false" customHeight="true" outlineLevel="0" collapsed="false">
      <c r="A698" s="57" t="s">
        <v>1392</v>
      </c>
      <c r="B698" s="57" t="s">
        <v>300</v>
      </c>
      <c r="C698" s="57" t="str">
        <f aca="false">Flights!$F$25</f>
        <v>MH1437</v>
      </c>
      <c r="D698" s="58" t="n">
        <f aca="false">Flights!$D$25</f>
        <v>46325</v>
      </c>
      <c r="E698" s="57" t="str">
        <f aca="false">Flights!$G$25&amp;"-"&amp;Flights!$H$25</f>
        <v>LGK-KUL</v>
      </c>
      <c r="F698" s="57" t="str">
        <f aca="false">Flights!$K$25</f>
        <v>BC</v>
      </c>
      <c r="G698" s="57" t="s">
        <v>422</v>
      </c>
      <c r="H698" s="57" t="s">
        <v>423</v>
      </c>
      <c r="I698" s="57" t="s">
        <v>462</v>
      </c>
      <c r="J698" s="57" t="s">
        <v>511</v>
      </c>
      <c r="K698" s="67" t="s">
        <v>482</v>
      </c>
      <c r="L698" s="67" t="s">
        <v>1375</v>
      </c>
      <c r="M698" s="67" t="s">
        <v>414</v>
      </c>
      <c r="N698" s="67" t="s">
        <v>346</v>
      </c>
      <c r="O698" s="67" t="s">
        <v>512</v>
      </c>
      <c r="P698" s="57" t="s">
        <v>296</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IF(N698="N/A – rule","N/A – RULE",IF(TRIM(U698)="N/A",IF(AT698=0,"INVALID – N/A not permitted for this mandatory check",IF(AND(TRIM(AC698)&lt;&gt;"",TRIM(AE698)&lt;&gt;"",TRIM(T698)&lt;&gt;""),"N/A – JUSTIFIED","INVALID – N/A needs justification, PIC and verifier")),IF(OR(TRIM(U698)="Pass",TRIM(U698)="Pass after CA"),IF(NOT(ISNUMBER(AD698)),"INVALID – completion time missing",IF(TRIM(T698)="","INVALID – PIC missing",IF(TRIM(Z698)="","INVALID – evidence missing",IF(TRIM(AE698)="","INVALID – verifier missing",IF(AND(AQ698=1,TRIM(W698)=""),"INVALID – batch ID missing",IF(AND(AR698=1,OR(NOT(ISNUMBER(X698)),NOT(ISNUMBER(Y698)))),"INVALID – expected/actual qty missing",IF(IF(AND(TRIM(U698)="Pass",ISNUMBER(AF698)),IF(AF698&lt;&gt;0,"INVALID – qty variance: use Fail or Pass after CA",""),"")&amp;IF(AND(TRIM(U698)="Pass",AB698="Open"),"INVALID – corrective action still open: use Fail, then Pass after CA","")&amp;IF(AND(TRIM(U698)="Pass after CA",OR(TRIM(AA698)="",AB698&lt;&gt;"Closed")),"INVALID – corrective action not recorded/closed","")&lt;&gt;"",IF(AND(TRIM(U698)="Pass",ISNUMBER(AF698)),IF(AF698&lt;&gt;0,"INVALID – qty variance: use Fail or Pass after CA",""),"")&amp;IF(AND(TRIM(U698)="Pass",AB698="Open"),"INVALID – corrective action still open: use Fail, then Pass after CA","")&amp;IF(AND(TRIM(U698)="Pass after CA",OR(TRIM(AA698)="",AB698&lt;&gt;"Closed")),"INVALID – corrective action not recorded/closed",""),IF(AND(AS698=1,Documents!$J$25&lt;&gt;"ON FILE"),"INVALID – GLD not on file (Documents sheet)",IF(AND(AS698=2,Documents!$O$25&lt;&gt;"ON FILE"),"INVALID – menu checklist not on file (Documents sheet)",IF(AND(AS698=3,NOT(ISNUMBER(Flights!$AX$25))),"INVALID – enter carrying flight KUL departure (Flights AX)",IF(AG698&gt;AsOfUTC,"INVALID – completion time is in the future",IF(AND(ISNUMBER(S698),AG698&lt;S698),IF(H698="Physical uplift","INVALID – before uplift window (cannot confirm loading)","INVALID – before valid window"),IF(AG698&gt;Flights!$AA$25,"INVALID – completed after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f>
        <v>OPEN</v>
      </c>
      <c r="AI698" s="61" t="n">
        <f aca="false">IF(OR(AH698="N/A – RULE",AH698="N/A – JUSTIFIED"),0,1)</f>
        <v>1</v>
      </c>
      <c r="AJ698" s="61" t="n">
        <f aca="false">IF(LEFT(AH698,8)="COMPLETE",1,0)</f>
        <v>0</v>
      </c>
      <c r="AK698" s="61" t="n">
        <f aca="false">IF(AND(AI698=1,AJ698=0,AsOfUTC&gt;Q698),1,0)</f>
        <v>0</v>
      </c>
      <c r="AL698" s="61" t="n">
        <f aca="false">IF(AND(AI698=1,OR(TRIM(U698)="Fail",AB698="Open",AND(ISNUMBER(AF698),AF698&lt;&gt;0,TRIM(U698)&lt;&gt;"Pass after CA"))),1,0)</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1</v>
      </c>
    </row>
    <row r="699" customFormat="false" ht="39.75" hidden="false" customHeight="true" outlineLevel="0" collapsed="false">
      <c r="A699" s="57" t="s">
        <v>1393</v>
      </c>
      <c r="B699" s="57" t="s">
        <v>300</v>
      </c>
      <c r="C699" s="57" t="str">
        <f aca="false">Flights!$F$25</f>
        <v>MH1437</v>
      </c>
      <c r="D699" s="58" t="n">
        <f aca="false">Flights!$D$25</f>
        <v>46325</v>
      </c>
      <c r="E699" s="57" t="str">
        <f aca="false">Flights!$G$25&amp;"-"&amp;Flights!$H$25</f>
        <v>LGK-KUL</v>
      </c>
      <c r="F699" s="57" t="str">
        <f aca="false">Flights!$K$25</f>
        <v>BC</v>
      </c>
      <c r="G699" s="57" t="s">
        <v>422</v>
      </c>
      <c r="H699" s="57" t="s">
        <v>423</v>
      </c>
      <c r="I699" s="57" t="s">
        <v>462</v>
      </c>
      <c r="J699" s="57" t="s">
        <v>514</v>
      </c>
      <c r="K699" s="67" t="s">
        <v>464</v>
      </c>
      <c r="L699" s="67" t="s">
        <v>1378</v>
      </c>
      <c r="M699" s="67" t="s">
        <v>414</v>
      </c>
      <c r="N699" s="67" t="s">
        <v>346</v>
      </c>
      <c r="O699" s="67"/>
      <c r="P699" s="57" t="s">
        <v>296</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IF(N699="N/A – rule","N/A – RULE",IF(TRIM(U699)="N/A",IF(AT699=0,"INVALID – N/A not permitted for this mandatory check",IF(AND(TRIM(AC699)&lt;&gt;"",TRIM(AE699)&lt;&gt;"",TRIM(T699)&lt;&gt;""),"N/A – JUSTIFIED","INVALID – N/A needs justification, PIC and verifier")),IF(OR(TRIM(U699)="Pass",TRIM(U699)="Pass after CA"),IF(NOT(ISNUMBER(AD699)),"INVALID – completion time missing",IF(TRIM(T699)="","INVALID – PIC missing",IF(TRIM(Z699)="","INVALID – evidence missing",IF(TRIM(AE699)="","INVALID – verifier missing",IF(AND(AQ699=1,TRIM(W699)=""),"INVALID – batch ID missing",IF(AND(AR699=1,OR(NOT(ISNUMBER(X699)),NOT(ISNUMBER(Y699)))),"INVALID – expected/actual qty missing",IF(IF(AND(TRIM(U699)="Pass",ISNUMBER(AF699)),IF(AF699&lt;&gt;0,"INVALID – qty variance: use Fail or Pass after CA",""),"")&amp;IF(AND(TRIM(U699)="Pass",AB699="Open"),"INVALID – corrective action still open: use Fail, then Pass after CA","")&amp;IF(AND(TRIM(U699)="Pass after CA",OR(TRIM(AA699)="",AB699&lt;&gt;"Closed")),"INVALID – corrective action not recorded/closed","")&lt;&gt;"",IF(AND(TRIM(U699)="Pass",ISNUMBER(AF699)),IF(AF699&lt;&gt;0,"INVALID – qty variance: use Fail or Pass after CA",""),"")&amp;IF(AND(TRIM(U699)="Pass",AB699="Open"),"INVALID – corrective action still open: use Fail, then Pass after CA","")&amp;IF(AND(TRIM(U699)="Pass after CA",OR(TRIM(AA699)="",AB699&lt;&gt;"Closed")),"INVALID – corrective action not recorded/closed",""),IF(AND(AS699=1,Documents!$J$25&lt;&gt;"ON FILE"),"INVALID – GLD not on file (Documents sheet)",IF(AND(AS699=2,Documents!$O$25&lt;&gt;"ON FILE"),"INVALID – menu checklist not on file (Documents sheet)",IF(AND(AS699=3,NOT(ISNUMBER(Flights!$AX$25))),"INVALID – enter carrying flight KUL departure (Flights AX)",IF(AG699&gt;AsOfUTC,"INVALID – completion time is in the future",IF(AND(ISNUMBER(S699),AG699&lt;S699),IF(H699="Physical uplift","INVALID – before uplift window (cannot confirm loading)","INVALID – before valid window"),IF(AG699&gt;Flights!$AA$25,"INVALID – completed after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f>
        <v>OPEN</v>
      </c>
      <c r="AI699" s="61" t="n">
        <f aca="false">IF(OR(AH699="N/A – RULE",AH699="N/A – JUSTIFIED"),0,1)</f>
        <v>1</v>
      </c>
      <c r="AJ699" s="61" t="n">
        <f aca="false">IF(LEFT(AH699,8)="COMPLETE",1,0)</f>
        <v>0</v>
      </c>
      <c r="AK699" s="61" t="n">
        <f aca="false">IF(AND(AI699=1,AJ699=0,AsOfUTC&gt;Q699),1,0)</f>
        <v>0</v>
      </c>
      <c r="AL699" s="61" t="n">
        <f aca="false">IF(AND(AI699=1,OR(TRIM(U699)="Fail",AB699="Open",AND(ISNUMBER(AF699),AF699&lt;&gt;0,TRIM(U699)&lt;&gt;"Pass after CA"))),1,0)</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1</v>
      </c>
    </row>
    <row r="700" customFormat="false" ht="39.75" hidden="false" customHeight="true" outlineLevel="0" collapsed="false">
      <c r="A700" s="57" t="s">
        <v>1394</v>
      </c>
      <c r="B700" s="57" t="s">
        <v>300</v>
      </c>
      <c r="C700" s="57" t="str">
        <f aca="false">Flights!$F$25</f>
        <v>MH1437</v>
      </c>
      <c r="D700" s="58" t="n">
        <f aca="false">Flights!$D$25</f>
        <v>46325</v>
      </c>
      <c r="E700" s="57" t="str">
        <f aca="false">Flights!$G$25&amp;"-"&amp;Flights!$H$25</f>
        <v>LGK-KUL</v>
      </c>
      <c r="F700" s="57" t="str">
        <f aca="false">Flights!$K$25</f>
        <v>BC</v>
      </c>
      <c r="G700" s="57" t="s">
        <v>422</v>
      </c>
      <c r="H700" s="57" t="s">
        <v>423</v>
      </c>
      <c r="I700" s="57" t="s">
        <v>410</v>
      </c>
      <c r="J700" s="57" t="s">
        <v>516</v>
      </c>
      <c r="K700" s="67" t="s">
        <v>412</v>
      </c>
      <c r="L700" s="67" t="s">
        <v>1380</v>
      </c>
      <c r="M700" s="67" t="s">
        <v>414</v>
      </c>
      <c r="N700" s="67" t="s">
        <v>346</v>
      </c>
      <c r="O700" s="67"/>
      <c r="P700" s="57" t="s">
        <v>296</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IF(N700="N/A – rule","N/A – RULE",IF(TRIM(U700)="N/A",IF(AT700=0,"INVALID – N/A not permitted for this mandatory check",IF(AND(TRIM(AC700)&lt;&gt;"",TRIM(AE700)&lt;&gt;"",TRIM(T700)&lt;&gt;""),"N/A – JUSTIFIED","INVALID – N/A needs justification, PIC and verifier")),IF(OR(TRIM(U700)="Pass",TRIM(U700)="Pass after CA"),IF(NOT(ISNUMBER(AD700)),"INVALID – completion time missing",IF(TRIM(T700)="","INVALID – PIC missing",IF(TRIM(Z700)="","INVALID – evidence missing",IF(TRIM(AE700)="","INVALID – verifier missing",IF(AND(AQ700=1,TRIM(W700)=""),"INVALID – batch ID missing",IF(AND(AR700=1,OR(NOT(ISNUMBER(X700)),NOT(ISNUMBER(Y700)))),"INVALID – expected/actual qty missing",IF(IF(AND(TRIM(U700)="Pass",ISNUMBER(AF700)),IF(AF700&lt;&gt;0,"INVALID – qty variance: use Fail or Pass after CA",""),"")&amp;IF(AND(TRIM(U700)="Pass",AB700="Open"),"INVALID – corrective action still open: use Fail, then Pass after CA","")&amp;IF(AND(TRIM(U700)="Pass after CA",OR(TRIM(AA700)="",AB700&lt;&gt;"Closed")),"INVALID – corrective action not recorded/closed","")&lt;&gt;"",IF(AND(TRIM(U700)="Pass",ISNUMBER(AF700)),IF(AF700&lt;&gt;0,"INVALID – qty variance: use Fail or Pass after CA",""),"")&amp;IF(AND(TRIM(U700)="Pass",AB700="Open"),"INVALID – corrective action still open: use Fail, then Pass after CA","")&amp;IF(AND(TRIM(U700)="Pass after CA",OR(TRIM(AA700)="",AB700&lt;&gt;"Closed")),"INVALID – corrective action not recorded/closed",""),IF(AND(AS700=1,Documents!$J$25&lt;&gt;"ON FILE"),"INVALID – GLD not on file (Documents sheet)",IF(AND(AS700=2,Documents!$O$25&lt;&gt;"ON FILE"),"INVALID – menu checklist not on file (Documents sheet)",IF(AND(AS700=3,NOT(ISNUMBER(Flights!$AX$25))),"INVALID – enter carrying flight KUL departure (Flights AX)",IF(AG700&gt;AsOfUTC,"INVALID – completion time is in the future",IF(AND(ISNUMBER(S700),AG700&lt;S700),IF(H700="Physical uplift","INVALID – before uplift window (cannot confirm loading)","INVALID – before valid window"),IF(AG700&gt;Flights!$AA$25,"INVALID – completed after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f>
        <v>OPEN</v>
      </c>
      <c r="AI700" s="61" t="n">
        <f aca="false">IF(OR(AH700="N/A – RULE",AH700="N/A – JUSTIFIED"),0,1)</f>
        <v>1</v>
      </c>
      <c r="AJ700" s="61" t="n">
        <f aca="false">IF(LEFT(AH700,8)="COMPLETE",1,0)</f>
        <v>0</v>
      </c>
      <c r="AK700" s="61" t="n">
        <f aca="false">IF(AND(AI700=1,AJ700=0,AsOfUTC&gt;Q700),1,0)</f>
        <v>0</v>
      </c>
      <c r="AL700" s="61" t="n">
        <f aca="false">IF(AND(AI700=1,OR(TRIM(U700)="Fail",AB700="Open",AND(ISNUMBER(AF700),AF700&lt;&gt;0,TRIM(U700)&lt;&gt;"Pass after CA"))),1,0)</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1</v>
      </c>
    </row>
    <row r="701" customFormat="false" ht="39.75" hidden="false" customHeight="true" outlineLevel="0" collapsed="false">
      <c r="A701" s="57" t="s">
        <v>1395</v>
      </c>
      <c r="B701" s="57" t="s">
        <v>300</v>
      </c>
      <c r="C701" s="57" t="str">
        <f aca="false">Flights!$F$25</f>
        <v>MH1437</v>
      </c>
      <c r="D701" s="58" t="n">
        <f aca="false">Flights!$D$25</f>
        <v>46325</v>
      </c>
      <c r="E701" s="57" t="str">
        <f aca="false">Flights!$G$25&amp;"-"&amp;Flights!$H$25</f>
        <v>LGK-KUL</v>
      </c>
      <c r="F701" s="57" t="str">
        <f aca="false">Flights!$K$25</f>
        <v>BC</v>
      </c>
      <c r="G701" s="57" t="s">
        <v>422</v>
      </c>
      <c r="H701" s="57" t="s">
        <v>423</v>
      </c>
      <c r="I701" s="57" t="s">
        <v>410</v>
      </c>
      <c r="J701" s="57" t="s">
        <v>518</v>
      </c>
      <c r="K701" s="67" t="s">
        <v>412</v>
      </c>
      <c r="L701" s="67" t="s">
        <v>1382</v>
      </c>
      <c r="M701" s="67" t="s">
        <v>414</v>
      </c>
      <c r="N701" s="67" t="s">
        <v>346</v>
      </c>
      <c r="O701" s="67"/>
      <c r="P701" s="57" t="s">
        <v>296</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IF(N701="N/A – rule","N/A – RULE",IF(TRIM(U701)="N/A",IF(AT701=0,"INVALID – N/A not permitted for this mandatory check",IF(AND(TRIM(AC701)&lt;&gt;"",TRIM(AE701)&lt;&gt;"",TRIM(T701)&lt;&gt;""),"N/A – JUSTIFIED","INVALID – N/A needs justification, PIC and verifier")),IF(OR(TRIM(U701)="Pass",TRIM(U701)="Pass after CA"),IF(NOT(ISNUMBER(AD701)),"INVALID – completion time missing",IF(TRIM(T701)="","INVALID – PIC missing",IF(TRIM(Z701)="","INVALID – evidence missing",IF(TRIM(AE701)="","INVALID – verifier missing",IF(AND(AQ701=1,TRIM(W701)=""),"INVALID – batch ID missing",IF(AND(AR701=1,OR(NOT(ISNUMBER(X701)),NOT(ISNUMBER(Y701)))),"INVALID – expected/actual qty missing",IF(IF(AND(TRIM(U701)="Pass",ISNUMBER(AF701)),IF(AF701&lt;&gt;0,"INVALID – qty variance: use Fail or Pass after CA",""),"")&amp;IF(AND(TRIM(U701)="Pass",AB701="Open"),"INVALID – corrective action still open: use Fail, then Pass after CA","")&amp;IF(AND(TRIM(U701)="Pass after CA",OR(TRIM(AA701)="",AB701&lt;&gt;"Closed")),"INVALID – corrective action not recorded/closed","")&lt;&gt;"",IF(AND(TRIM(U701)="Pass",ISNUMBER(AF701)),IF(AF701&lt;&gt;0,"INVALID – qty variance: use Fail or Pass after CA",""),"")&amp;IF(AND(TRIM(U701)="Pass",AB701="Open"),"INVALID – corrective action still open: use Fail, then Pass after CA","")&amp;IF(AND(TRIM(U701)="Pass after CA",OR(TRIM(AA701)="",AB701&lt;&gt;"Closed")),"INVALID – corrective action not recorded/closed",""),IF(AND(AS701=1,Documents!$J$25&lt;&gt;"ON FILE"),"INVALID – GLD not on file (Documents sheet)",IF(AND(AS701=2,Documents!$O$25&lt;&gt;"ON FILE"),"INVALID – menu checklist not on file (Documents sheet)",IF(AND(AS701=3,NOT(ISNUMBER(Flights!$AX$25))),"INVALID – enter carrying flight KUL departure (Flights AX)",IF(AG701&gt;AsOfUTC,"INVALID – completion time is in the future",IF(AND(ISNUMBER(S701),AG701&lt;S701),IF(H701="Physical uplift","INVALID – before uplift window (cannot confirm loading)","INVALID – before valid window"),IF(AG701&gt;Flights!$AA$25,"INVALID – completed after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f>
        <v>OPEN</v>
      </c>
      <c r="AI701" s="61" t="n">
        <f aca="false">IF(OR(AH701="N/A – RULE",AH701="N/A – JUSTIFIED"),0,1)</f>
        <v>1</v>
      </c>
      <c r="AJ701" s="61" t="n">
        <f aca="false">IF(LEFT(AH701,8)="COMPLETE",1,0)</f>
        <v>0</v>
      </c>
      <c r="AK701" s="61" t="n">
        <f aca="false">IF(AND(AI701=1,AJ701=0,AsOfUTC&gt;Q701),1,0)</f>
        <v>0</v>
      </c>
      <c r="AL701" s="61" t="n">
        <f aca="false">IF(AND(AI701=1,OR(TRIM(U701)="Fail",AB701="Open",AND(ISNUMBER(AF701),AF701&lt;&gt;0,TRIM(U701)&lt;&gt;"Pass after CA"))),1,0)</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1</v>
      </c>
    </row>
    <row r="702" customFormat="false" ht="39.75" hidden="false" customHeight="true" outlineLevel="0" collapsed="false">
      <c r="A702" s="57" t="s">
        <v>1396</v>
      </c>
      <c r="B702" s="57" t="s">
        <v>302</v>
      </c>
      <c r="C702" s="57" t="str">
        <f aca="false">Flights!$F$26</f>
        <v>MH0002</v>
      </c>
      <c r="D702" s="58" t="n">
        <f aca="false">Flights!$D$26</f>
        <v>46325</v>
      </c>
      <c r="E702" s="57" t="str">
        <f aca="false">Flights!$G$26&amp;"-"&amp;Flights!$H$26</f>
        <v>KUL-LHR</v>
      </c>
      <c r="F702" s="57" t="str">
        <f aca="false">Flights!$K$26</f>
        <v>BC</v>
      </c>
      <c r="G702" s="57" t="s">
        <v>74</v>
      </c>
      <c r="H702" s="57" t="s">
        <v>341</v>
      </c>
      <c r="I702" s="57" t="s">
        <v>342</v>
      </c>
      <c r="J702" s="57" t="s">
        <v>343</v>
      </c>
      <c r="K702" s="67" t="s">
        <v>344</v>
      </c>
      <c r="L702" s="67" t="s">
        <v>345</v>
      </c>
      <c r="M702" s="67"/>
      <c r="N702" s="67" t="s">
        <v>346</v>
      </c>
      <c r="O702" s="67"/>
      <c r="P702" s="57" t="s">
        <v>177</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IF(N702="N/A – rule","N/A – RULE",IF(TRIM(U702)="N/A",IF(AT702=0,"INVALID – N/A not permitted for this mandatory check",IF(AND(TRIM(AC702)&lt;&gt;"",TRIM(AE702)&lt;&gt;"",TRIM(T702)&lt;&gt;""),"N/A – JUSTIFIED","INVALID – N/A needs justification, PIC and verifier")),IF(OR(TRIM(U702)="Pass",TRIM(U702)="Pass after CA"),IF(NOT(ISNUMBER(AD702)),"INVALID – completion time missing",IF(TRIM(T702)="","INVALID – PIC missing",IF(TRIM(Z702)="","INVALID – evidence missing",IF(TRIM(AE702)="","INVALID – verifier missing",IF(AND(AQ702=1,TRIM(W702)=""),"INVALID – batch ID missing",IF(AND(AR702=1,OR(NOT(ISNUMBER(X702)),NOT(ISNUMBER(Y702)))),"INVALID – expected/actual qty missing",IF(IF(AND(TRIM(U702)="Pass",ISNUMBER(AF702)),IF(AF702&lt;&gt;0,"INVALID – qty variance: use Fail or Pass after CA",""),"")&amp;IF(AND(TRIM(U702)="Pass",AB702="Open"),"INVALID – corrective action still open: use Fail, then Pass after CA","")&amp;IF(AND(TRIM(U702)="Pass after CA",OR(TRIM(AA702)="",AB702&lt;&gt;"Closed")),"INVALID – corrective action not recorded/closed","")&lt;&gt;"",IF(AND(TRIM(U702)="Pass",ISNUMBER(AF702)),IF(AF702&lt;&gt;0,"INVALID – qty variance: use Fail or Pass after CA",""),"")&amp;IF(AND(TRIM(U702)="Pass",AB702="Open"),"INVALID – corrective action still open: use Fail, then Pass after CA","")&amp;IF(AND(TRIM(U702)="Pass after CA",OR(TRIM(AA702)="",AB702&lt;&gt;"Closed")),"INVALID – corrective action not recorded/closed",""),IF(AND(AS702=1,Documents!$J$26&lt;&gt;"ON FILE"),"INVALID – GLD not on file (Documents sheet)",IF(AND(AS702=2,Documents!$O$26&lt;&gt;"ON FILE"),"INVALID – menu checklist not on file (Documents sheet)",IF(AND(AS702=3,NOT(ISNUMBER(Flights!$AX$26))),"INVALID – enter carrying flight KUL departure (Flights AX)",IF(AG702&gt;AsOfUTC,"INVALID – completion time is in the future",IF(AND(ISNUMBER(S702),AG702&lt;S702),IF(H702="Physical uplift","INVALID – before uplift window (cannot confirm loading)","INVALID – before valid window"),IF(AG702&gt;Flights!$AA$26,"INVALID – completed after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f>
        <v>OPEN</v>
      </c>
      <c r="AI702" s="61" t="n">
        <f aca="false">IF(OR(AH702="N/A – RULE",AH702="N/A – JUSTIFIED"),0,1)</f>
        <v>1</v>
      </c>
      <c r="AJ702" s="61" t="n">
        <f aca="false">IF(LEFT(AH702,8)="COMPLETE",1,0)</f>
        <v>0</v>
      </c>
      <c r="AK702" s="61" t="n">
        <f aca="false">IF(AND(AI702=1,AJ702=0,AsOfUTC&gt;Q702),1,0)</f>
        <v>0</v>
      </c>
      <c r="AL702" s="61" t="n">
        <f aca="false">IF(AND(AI702=1,OR(TRIM(U702)="Fail",AB702="Open",AND(ISNUMBER(AF702),AF702&lt;&gt;0,TRIM(U702)&lt;&gt;"Pass after CA"))),1,0)</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row>
    <row r="703" customFormat="false" ht="39.75" hidden="false" customHeight="true" outlineLevel="0" collapsed="false">
      <c r="A703" s="57" t="s">
        <v>1397</v>
      </c>
      <c r="B703" s="57" t="s">
        <v>302</v>
      </c>
      <c r="C703" s="57" t="str">
        <f aca="false">Flights!$F$26</f>
        <v>MH0002</v>
      </c>
      <c r="D703" s="58" t="n">
        <f aca="false">Flights!$D$26</f>
        <v>46325</v>
      </c>
      <c r="E703" s="57" t="str">
        <f aca="false">Flights!$G$26&amp;"-"&amp;Flights!$H$26</f>
        <v>KUL-LHR</v>
      </c>
      <c r="F703" s="57" t="str">
        <f aca="false">Flights!$K$26</f>
        <v>BC</v>
      </c>
      <c r="G703" s="57" t="s">
        <v>74</v>
      </c>
      <c r="H703" s="57" t="s">
        <v>341</v>
      </c>
      <c r="I703" s="57" t="s">
        <v>348</v>
      </c>
      <c r="J703" s="57" t="s">
        <v>349</v>
      </c>
      <c r="K703" s="67" t="s">
        <v>350</v>
      </c>
      <c r="L703" s="67" t="s">
        <v>345</v>
      </c>
      <c r="M703" s="67"/>
      <c r="N703" s="67" t="s">
        <v>346</v>
      </c>
      <c r="O703" s="67"/>
      <c r="P703" s="57" t="s">
        <v>177</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IF(N703="N/A – rule","N/A – RULE",IF(TRIM(U703)="N/A",IF(AT703=0,"INVALID – N/A not permitted for this mandatory check",IF(AND(TRIM(AC703)&lt;&gt;"",TRIM(AE703)&lt;&gt;"",TRIM(T703)&lt;&gt;""),"N/A – JUSTIFIED","INVALID – N/A needs justification, PIC and verifier")),IF(OR(TRIM(U703)="Pass",TRIM(U703)="Pass after CA"),IF(NOT(ISNUMBER(AD703)),"INVALID – completion time missing",IF(TRIM(T703)="","INVALID – PIC missing",IF(TRIM(Z703)="","INVALID – evidence missing",IF(TRIM(AE703)="","INVALID – verifier missing",IF(AND(AQ703=1,TRIM(W703)=""),"INVALID – batch ID missing",IF(AND(AR703=1,OR(NOT(ISNUMBER(X703)),NOT(ISNUMBER(Y703)))),"INVALID – expected/actual qty missing",IF(IF(AND(TRIM(U703)="Pass",ISNUMBER(AF703)),IF(AF703&lt;&gt;0,"INVALID – qty variance: use Fail or Pass after CA",""),"")&amp;IF(AND(TRIM(U703)="Pass",AB703="Open"),"INVALID – corrective action still open: use Fail, then Pass after CA","")&amp;IF(AND(TRIM(U703)="Pass after CA",OR(TRIM(AA703)="",AB703&lt;&gt;"Closed")),"INVALID – corrective action not recorded/closed","")&lt;&gt;"",IF(AND(TRIM(U703)="Pass",ISNUMBER(AF703)),IF(AF703&lt;&gt;0,"INVALID – qty variance: use Fail or Pass after CA",""),"")&amp;IF(AND(TRIM(U703)="Pass",AB703="Open"),"INVALID – corrective action still open: use Fail, then Pass after CA","")&amp;IF(AND(TRIM(U703)="Pass after CA",OR(TRIM(AA703)="",AB703&lt;&gt;"Closed")),"INVALID – corrective action not recorded/closed",""),IF(AND(AS703=1,Documents!$J$26&lt;&gt;"ON FILE"),"INVALID – GLD not on file (Documents sheet)",IF(AND(AS703=2,Documents!$O$26&lt;&gt;"ON FILE"),"INVALID – menu checklist not on file (Documents sheet)",IF(AND(AS703=3,NOT(ISNUMBER(Flights!$AX$26))),"INVALID – enter carrying flight KUL departure (Flights AX)",IF(AG703&gt;AsOfUTC,"INVALID – completion time is in the future",IF(AND(ISNUMBER(S703),AG703&lt;S703),IF(H703="Physical uplift","INVALID – before uplift window (cannot confirm loading)","INVALID – before valid window"),IF(AG703&gt;Flights!$AA$26,"INVALID – completed after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f>
        <v>OPEN</v>
      </c>
      <c r="AI703" s="61" t="n">
        <f aca="false">IF(OR(AH703="N/A – RULE",AH703="N/A – JUSTIFIED"),0,1)</f>
        <v>1</v>
      </c>
      <c r="AJ703" s="61" t="n">
        <f aca="false">IF(LEFT(AH703,8)="COMPLETE",1,0)</f>
        <v>0</v>
      </c>
      <c r="AK703" s="61" t="n">
        <f aca="false">IF(AND(AI703=1,AJ703=0,AsOfUTC&gt;Q703),1,0)</f>
        <v>0</v>
      </c>
      <c r="AL703" s="61" t="n">
        <f aca="false">IF(AND(AI703=1,OR(TRIM(U703)="Fail",AB703="Open",AND(ISNUMBER(AF703),AF703&lt;&gt;0,TRIM(U703)&lt;&gt;"Pass after CA"))),1,0)</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1</v>
      </c>
    </row>
    <row r="704" customFormat="false" ht="41.25" hidden="false" customHeight="true" outlineLevel="0" collapsed="false">
      <c r="A704" s="57" t="s">
        <v>1398</v>
      </c>
      <c r="B704" s="57" t="s">
        <v>302</v>
      </c>
      <c r="C704" s="57" t="str">
        <f aca="false">Flights!$F$26</f>
        <v>MH0002</v>
      </c>
      <c r="D704" s="58" t="n">
        <f aca="false">Flights!$D$26</f>
        <v>46325</v>
      </c>
      <c r="E704" s="57" t="str">
        <f aca="false">Flights!$G$26&amp;"-"&amp;Flights!$H$26</f>
        <v>KUL-LHR</v>
      </c>
      <c r="F704" s="57" t="str">
        <f aca="false">Flights!$K$26</f>
        <v>BC</v>
      </c>
      <c r="G704" s="57" t="s">
        <v>74</v>
      </c>
      <c r="H704" s="57" t="s">
        <v>341</v>
      </c>
      <c r="I704" s="57" t="s">
        <v>352</v>
      </c>
      <c r="J704" s="57" t="s">
        <v>353</v>
      </c>
      <c r="K704" s="67" t="s">
        <v>354</v>
      </c>
      <c r="L704" s="67" t="s">
        <v>345</v>
      </c>
      <c r="M704" s="67"/>
      <c r="N704" s="67" t="str">
        <f aca="false">IF(TRIM(Flights!$L$26)="A339","Required","N/A – rule")</f>
        <v>N/A – rule</v>
      </c>
      <c r="O704" s="67" t="s">
        <v>355</v>
      </c>
      <c r="P704" s="57" t="s">
        <v>177</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IF(N704="N/A – rule","N/A – RULE",IF(TRIM(U704)="N/A",IF(AT704=0,"INVALID – N/A not permitted for this mandatory check",IF(AND(TRIM(AC704)&lt;&gt;"",TRIM(AE704)&lt;&gt;"",TRIM(T704)&lt;&gt;""),"N/A – JUSTIFIED","INVALID – N/A needs justification, PIC and verifier")),IF(OR(TRIM(U704)="Pass",TRIM(U704)="Pass after CA"),IF(NOT(ISNUMBER(AD704)),"INVALID – completion time missing",IF(TRIM(T704)="","INVALID – PIC missing",IF(TRIM(Z704)="","INVALID – evidence missing",IF(TRIM(AE704)="","INVALID – verifier missing",IF(AND(AQ704=1,TRIM(W704)=""),"INVALID – batch ID missing",IF(AND(AR704=1,OR(NOT(ISNUMBER(X704)),NOT(ISNUMBER(Y704)))),"INVALID – expected/actual qty missing",IF(IF(AND(TRIM(U704)="Pass",ISNUMBER(AF704)),IF(AF704&lt;&gt;0,"INVALID – qty variance: use Fail or Pass after CA",""),"")&amp;IF(AND(TRIM(U704)="Pass",AB704="Open"),"INVALID – corrective action still open: use Fail, then Pass after CA","")&amp;IF(AND(TRIM(U704)="Pass after CA",OR(TRIM(AA704)="",AB704&lt;&gt;"Closed")),"INVALID – corrective action not recorded/closed","")&lt;&gt;"",IF(AND(TRIM(U704)="Pass",ISNUMBER(AF704)),IF(AF704&lt;&gt;0,"INVALID – qty variance: use Fail or Pass after CA",""),"")&amp;IF(AND(TRIM(U704)="Pass",AB704="Open"),"INVALID – corrective action still open: use Fail, then Pass after CA","")&amp;IF(AND(TRIM(U704)="Pass after CA",OR(TRIM(AA704)="",AB704&lt;&gt;"Closed")),"INVALID – corrective action not recorded/closed",""),IF(AND(AS704=1,Documents!$J$26&lt;&gt;"ON FILE"),"INVALID – GLD not on file (Documents sheet)",IF(AND(AS704=2,Documents!$O$26&lt;&gt;"ON FILE"),"INVALID – menu checklist not on file (Documents sheet)",IF(AND(AS704=3,NOT(ISNUMBER(Flights!$AX$26))),"INVALID – enter carrying flight KUL departure (Flights AX)",IF(AG704&gt;AsOfUTC,"INVALID – completion time is in the future",IF(AND(ISNUMBER(S704),AG704&lt;S704),IF(H704="Physical uplift","INVALID – before uplift window (cannot confirm loading)","INVALID – before valid window"),IF(AG704&gt;Flights!$AA$26,"INVALID – completed after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f>
        <v>N/A – RULE</v>
      </c>
      <c r="AI704" s="61" t="n">
        <f aca="false">IF(OR(AH704="N/A – RULE",AH704="N/A – JUSTIFIED"),0,1)</f>
        <v>0</v>
      </c>
      <c r="AJ704" s="61" t="n">
        <f aca="false">IF(LEFT(AH704,8)="COMPLETE",1,0)</f>
        <v>0</v>
      </c>
      <c r="AK704" s="61" t="n">
        <f aca="false">IF(AND(AI704=1,AJ704=0,AsOfUTC&gt;Q704),1,0)</f>
        <v>0</v>
      </c>
      <c r="AL704" s="61" t="n">
        <f aca="false">IF(AND(AI704=1,OR(TRIM(U704)="Fail",AB704="Open",AND(ISNUMBER(AF704),AF704&lt;&gt;0,TRIM(U704)&lt;&gt;"Pass after CA"))),1,0)</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row>
    <row r="705" customFormat="false" ht="39.75" hidden="false" customHeight="true" outlineLevel="0" collapsed="false">
      <c r="A705" s="57" t="s">
        <v>1399</v>
      </c>
      <c r="B705" s="57" t="s">
        <v>302</v>
      </c>
      <c r="C705" s="57" t="str">
        <f aca="false">Flights!$F$26</f>
        <v>MH0002</v>
      </c>
      <c r="D705" s="58" t="n">
        <f aca="false">Flights!$D$26</f>
        <v>46325</v>
      </c>
      <c r="E705" s="57" t="str">
        <f aca="false">Flights!$G$26&amp;"-"&amp;Flights!$H$26</f>
        <v>KUL-LHR</v>
      </c>
      <c r="F705" s="57" t="str">
        <f aca="false">Flights!$K$26</f>
        <v>BC</v>
      </c>
      <c r="G705" s="57" t="s">
        <v>74</v>
      </c>
      <c r="H705" s="57" t="s">
        <v>341</v>
      </c>
      <c r="I705" s="57" t="s">
        <v>357</v>
      </c>
      <c r="J705" s="57" t="s">
        <v>358</v>
      </c>
      <c r="K705" s="67" t="s">
        <v>359</v>
      </c>
      <c r="L705" s="67" t="s">
        <v>345</v>
      </c>
      <c r="M705" s="67"/>
      <c r="N705" s="67" t="s">
        <v>346</v>
      </c>
      <c r="O705" s="67"/>
      <c r="P705" s="57" t="s">
        <v>177</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IF(N705="N/A – rule","N/A – RULE",IF(TRIM(U705)="N/A",IF(AT705=0,"INVALID – N/A not permitted for this mandatory check",IF(AND(TRIM(AC705)&lt;&gt;"",TRIM(AE705)&lt;&gt;"",TRIM(T705)&lt;&gt;""),"N/A – JUSTIFIED","INVALID – N/A needs justification, PIC and verifier")),IF(OR(TRIM(U705)="Pass",TRIM(U705)="Pass after CA"),IF(NOT(ISNUMBER(AD705)),"INVALID – completion time missing",IF(TRIM(T705)="","INVALID – PIC missing",IF(TRIM(Z705)="","INVALID – evidence missing",IF(TRIM(AE705)="","INVALID – verifier missing",IF(AND(AQ705=1,TRIM(W705)=""),"INVALID – batch ID missing",IF(AND(AR705=1,OR(NOT(ISNUMBER(X705)),NOT(ISNUMBER(Y705)))),"INVALID – expected/actual qty missing",IF(IF(AND(TRIM(U705)="Pass",ISNUMBER(AF705)),IF(AF705&lt;&gt;0,"INVALID – qty variance: use Fail or Pass after CA",""),"")&amp;IF(AND(TRIM(U705)="Pass",AB705="Open"),"INVALID – corrective action still open: use Fail, then Pass after CA","")&amp;IF(AND(TRIM(U705)="Pass after CA",OR(TRIM(AA705)="",AB705&lt;&gt;"Closed")),"INVALID – corrective action not recorded/closed","")&lt;&gt;"",IF(AND(TRIM(U705)="Pass",ISNUMBER(AF705)),IF(AF705&lt;&gt;0,"INVALID – qty variance: use Fail or Pass after CA",""),"")&amp;IF(AND(TRIM(U705)="Pass",AB705="Open"),"INVALID – corrective action still open: use Fail, then Pass after CA","")&amp;IF(AND(TRIM(U705)="Pass after CA",OR(TRIM(AA705)="",AB705&lt;&gt;"Closed")),"INVALID – corrective action not recorded/closed",""),IF(AND(AS705=1,Documents!$J$26&lt;&gt;"ON FILE"),"INVALID – GLD not on file (Documents sheet)",IF(AND(AS705=2,Documents!$O$26&lt;&gt;"ON FILE"),"INVALID – menu checklist not on file (Documents sheet)",IF(AND(AS705=3,NOT(ISNUMBER(Flights!$AX$26))),"INVALID – enter carrying flight KUL departure (Flights AX)",IF(AG705&gt;AsOfUTC,"INVALID – completion time is in the future",IF(AND(ISNUMBER(S705),AG705&lt;S705),IF(H705="Physical uplift","INVALID – before uplift window (cannot confirm loading)","INVALID – before valid window"),IF(AG705&gt;Flights!$AA$26,"INVALID – completed after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f>
        <v>OPEN</v>
      </c>
      <c r="AI705" s="61" t="n">
        <f aca="false">IF(OR(AH705="N/A – RULE",AH705="N/A – JUSTIFIED"),0,1)</f>
        <v>1</v>
      </c>
      <c r="AJ705" s="61" t="n">
        <f aca="false">IF(LEFT(AH705,8)="COMPLETE",1,0)</f>
        <v>0</v>
      </c>
      <c r="AK705" s="61" t="n">
        <f aca="false">IF(AND(AI705=1,AJ705=0,AsOfUTC&gt;Q705),1,0)</f>
        <v>0</v>
      </c>
      <c r="AL705" s="61" t="n">
        <f aca="false">IF(AND(AI705=1,OR(TRIM(U705)="Fail",AB705="Open",AND(ISNUMBER(AF705),AF705&lt;&gt;0,TRIM(U705)&lt;&gt;"Pass after CA"))),1,0)</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row>
    <row r="706" customFormat="false" ht="39.75" hidden="false" customHeight="true" outlineLevel="0" collapsed="false">
      <c r="A706" s="57" t="s">
        <v>1400</v>
      </c>
      <c r="B706" s="57" t="s">
        <v>302</v>
      </c>
      <c r="C706" s="57" t="str">
        <f aca="false">Flights!$F$26</f>
        <v>MH0002</v>
      </c>
      <c r="D706" s="58" t="n">
        <f aca="false">Flights!$D$26</f>
        <v>46325</v>
      </c>
      <c r="E706" s="57" t="str">
        <f aca="false">Flights!$G$26&amp;"-"&amp;Flights!$H$26</f>
        <v>KUL-LHR</v>
      </c>
      <c r="F706" s="57" t="str">
        <f aca="false">Flights!$K$26</f>
        <v>BC</v>
      </c>
      <c r="G706" s="57" t="s">
        <v>74</v>
      </c>
      <c r="H706" s="57" t="s">
        <v>341</v>
      </c>
      <c r="I706" s="57" t="s">
        <v>361</v>
      </c>
      <c r="J706" s="57" t="s">
        <v>362</v>
      </c>
      <c r="K706" s="67" t="s">
        <v>363</v>
      </c>
      <c r="L706" s="67" t="s">
        <v>345</v>
      </c>
      <c r="M706" s="67"/>
      <c r="N706" s="67" t="s">
        <v>346</v>
      </c>
      <c r="O706" s="67"/>
      <c r="P706" s="57" t="s">
        <v>177</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IF(N706="N/A – rule","N/A – RULE",IF(TRIM(U706)="N/A",IF(AT706=0,"INVALID – N/A not permitted for this mandatory check",IF(AND(TRIM(AC706)&lt;&gt;"",TRIM(AE706)&lt;&gt;"",TRIM(T706)&lt;&gt;""),"N/A – JUSTIFIED","INVALID – N/A needs justification, PIC and verifier")),IF(OR(TRIM(U706)="Pass",TRIM(U706)="Pass after CA"),IF(NOT(ISNUMBER(AD706)),"INVALID – completion time missing",IF(TRIM(T706)="","INVALID – PIC missing",IF(TRIM(Z706)="","INVALID – evidence missing",IF(TRIM(AE706)="","INVALID – verifier missing",IF(AND(AQ706=1,TRIM(W706)=""),"INVALID – batch ID missing",IF(AND(AR706=1,OR(NOT(ISNUMBER(X706)),NOT(ISNUMBER(Y706)))),"INVALID – expected/actual qty missing",IF(IF(AND(TRIM(U706)="Pass",ISNUMBER(AF706)),IF(AF706&lt;&gt;0,"INVALID – qty variance: use Fail or Pass after CA",""),"")&amp;IF(AND(TRIM(U706)="Pass",AB706="Open"),"INVALID – corrective action still open: use Fail, then Pass after CA","")&amp;IF(AND(TRIM(U706)="Pass after CA",OR(TRIM(AA706)="",AB706&lt;&gt;"Closed")),"INVALID – corrective action not recorded/closed","")&lt;&gt;"",IF(AND(TRIM(U706)="Pass",ISNUMBER(AF706)),IF(AF706&lt;&gt;0,"INVALID – qty variance: use Fail or Pass after CA",""),"")&amp;IF(AND(TRIM(U706)="Pass",AB706="Open"),"INVALID – corrective action still open: use Fail, then Pass after CA","")&amp;IF(AND(TRIM(U706)="Pass after CA",OR(TRIM(AA706)="",AB706&lt;&gt;"Closed")),"INVALID – corrective action not recorded/closed",""),IF(AND(AS706=1,Documents!$J$26&lt;&gt;"ON FILE"),"INVALID – GLD not on file (Documents sheet)",IF(AND(AS706=2,Documents!$O$26&lt;&gt;"ON FILE"),"INVALID – menu checklist not on file (Documents sheet)",IF(AND(AS706=3,NOT(ISNUMBER(Flights!$AX$26))),"INVALID – enter carrying flight KUL departure (Flights AX)",IF(AG706&gt;AsOfUTC,"INVALID – completion time is in the future",IF(AND(ISNUMBER(S706),AG706&lt;S706),IF(H706="Physical uplift","INVALID – before uplift window (cannot confirm loading)","INVALID – before valid window"),IF(AG706&gt;Flights!$AA$26,"INVALID – completed after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f>
        <v>OPEN</v>
      </c>
      <c r="AI706" s="61" t="n">
        <f aca="false">IF(OR(AH706="N/A – RULE",AH706="N/A – JUSTIFIED"),0,1)</f>
        <v>1</v>
      </c>
      <c r="AJ706" s="61" t="n">
        <f aca="false">IF(LEFT(AH706,8)="COMPLETE",1,0)</f>
        <v>0</v>
      </c>
      <c r="AK706" s="61" t="n">
        <f aca="false">IF(AND(AI706=1,AJ706=0,AsOfUTC&gt;Q706),1,0)</f>
        <v>0</v>
      </c>
      <c r="AL706" s="61" t="n">
        <f aca="false">IF(AND(AI706=1,OR(TRIM(U706)="Fail",AB706="Open",AND(ISNUMBER(AF706),AF706&lt;&gt;0,TRIM(U706)&lt;&gt;"Pass after CA"))),1,0)</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row>
    <row r="707" customFormat="false" ht="39.75" hidden="false" customHeight="true" outlineLevel="0" collapsed="false">
      <c r="A707" s="57" t="s">
        <v>1401</v>
      </c>
      <c r="B707" s="57" t="s">
        <v>302</v>
      </c>
      <c r="C707" s="57" t="str">
        <f aca="false">Flights!$F$26</f>
        <v>MH0002</v>
      </c>
      <c r="D707" s="58" t="n">
        <f aca="false">Flights!$D$26</f>
        <v>46325</v>
      </c>
      <c r="E707" s="57" t="str">
        <f aca="false">Flights!$G$26&amp;"-"&amp;Flights!$H$26</f>
        <v>KUL-LHR</v>
      </c>
      <c r="F707" s="57" t="str">
        <f aca="false">Flights!$K$26</f>
        <v>BC</v>
      </c>
      <c r="G707" s="57" t="s">
        <v>74</v>
      </c>
      <c r="H707" s="57" t="s">
        <v>341</v>
      </c>
      <c r="I707" s="57" t="s">
        <v>361</v>
      </c>
      <c r="J707" s="57" t="s">
        <v>365</v>
      </c>
      <c r="K707" s="67" t="s">
        <v>366</v>
      </c>
      <c r="L707" s="67" t="s">
        <v>345</v>
      </c>
      <c r="M707" s="67"/>
      <c r="N707" s="67" t="s">
        <v>346</v>
      </c>
      <c r="O707" s="67"/>
      <c r="P707" s="57" t="s">
        <v>177</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IF(N707="N/A – rule","N/A – RULE",IF(TRIM(U707)="N/A",IF(AT707=0,"INVALID – N/A not permitted for this mandatory check",IF(AND(TRIM(AC707)&lt;&gt;"",TRIM(AE707)&lt;&gt;"",TRIM(T707)&lt;&gt;""),"N/A – JUSTIFIED","INVALID – N/A needs justification, PIC and verifier")),IF(OR(TRIM(U707)="Pass",TRIM(U707)="Pass after CA"),IF(NOT(ISNUMBER(AD707)),"INVALID – completion time missing",IF(TRIM(T707)="","INVALID – PIC missing",IF(TRIM(Z707)="","INVALID – evidence missing",IF(TRIM(AE707)="","INVALID – verifier missing",IF(AND(AQ707=1,TRIM(W707)=""),"INVALID – batch ID missing",IF(AND(AR707=1,OR(NOT(ISNUMBER(X707)),NOT(ISNUMBER(Y707)))),"INVALID – expected/actual qty missing",IF(IF(AND(TRIM(U707)="Pass",ISNUMBER(AF707)),IF(AF707&lt;&gt;0,"INVALID – qty variance: use Fail or Pass after CA",""),"")&amp;IF(AND(TRIM(U707)="Pass",AB707="Open"),"INVALID – corrective action still open: use Fail, then Pass after CA","")&amp;IF(AND(TRIM(U707)="Pass after CA",OR(TRIM(AA707)="",AB707&lt;&gt;"Closed")),"INVALID – corrective action not recorded/closed","")&lt;&gt;"",IF(AND(TRIM(U707)="Pass",ISNUMBER(AF707)),IF(AF707&lt;&gt;0,"INVALID – qty variance: use Fail or Pass after CA",""),"")&amp;IF(AND(TRIM(U707)="Pass",AB707="Open"),"INVALID – corrective action still open: use Fail, then Pass after CA","")&amp;IF(AND(TRIM(U707)="Pass after CA",OR(TRIM(AA707)="",AB707&lt;&gt;"Closed")),"INVALID – corrective action not recorded/closed",""),IF(AND(AS707=1,Documents!$J$26&lt;&gt;"ON FILE"),"INVALID – GLD not on file (Documents sheet)",IF(AND(AS707=2,Documents!$O$26&lt;&gt;"ON FILE"),"INVALID – menu checklist not on file (Documents sheet)",IF(AND(AS707=3,NOT(ISNUMBER(Flights!$AX$26))),"INVALID – enter carrying flight KUL departure (Flights AX)",IF(AG707&gt;AsOfUTC,"INVALID – completion time is in the future",IF(AND(ISNUMBER(S707),AG707&lt;S707),IF(H707="Physical uplift","INVALID – before uplift window (cannot confirm loading)","INVALID – before valid window"),IF(AG707&gt;Flights!$AA$26,"INVALID – completed after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f>
        <v>OPEN</v>
      </c>
      <c r="AI707" s="61" t="n">
        <f aca="false">IF(OR(AH707="N/A – RULE",AH707="N/A – JUSTIFIED"),0,1)</f>
        <v>1</v>
      </c>
      <c r="AJ707" s="61" t="n">
        <f aca="false">IF(LEFT(AH707,8)="COMPLETE",1,0)</f>
        <v>0</v>
      </c>
      <c r="AK707" s="61" t="n">
        <f aca="false">IF(AND(AI707=1,AJ707=0,AsOfUTC&gt;Q707),1,0)</f>
        <v>0</v>
      </c>
      <c r="AL707" s="61" t="n">
        <f aca="false">IF(AND(AI707=1,OR(TRIM(U707)="Fail",AB707="Open",AND(ISNUMBER(AF707),AF707&lt;&gt;0,TRIM(U707)&lt;&gt;"Pass after CA"))),1,0)</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row>
    <row r="708" customFormat="false" ht="39.75" hidden="false" customHeight="true" outlineLevel="0" collapsed="false">
      <c r="A708" s="57" t="s">
        <v>1402</v>
      </c>
      <c r="B708" s="57" t="s">
        <v>302</v>
      </c>
      <c r="C708" s="57" t="str">
        <f aca="false">Flights!$F$26</f>
        <v>MH0002</v>
      </c>
      <c r="D708" s="58" t="n">
        <f aca="false">Flights!$D$26</f>
        <v>46325</v>
      </c>
      <c r="E708" s="57" t="str">
        <f aca="false">Flights!$G$26&amp;"-"&amp;Flights!$H$26</f>
        <v>KUL-LHR</v>
      </c>
      <c r="F708" s="57" t="str">
        <f aca="false">Flights!$K$26</f>
        <v>BC</v>
      </c>
      <c r="G708" s="57" t="s">
        <v>74</v>
      </c>
      <c r="H708" s="57" t="s">
        <v>341</v>
      </c>
      <c r="I708" s="57" t="s">
        <v>368</v>
      </c>
      <c r="J708" s="57" t="s">
        <v>369</v>
      </c>
      <c r="K708" s="67" t="s">
        <v>370</v>
      </c>
      <c r="L708" s="67" t="s">
        <v>345</v>
      </c>
      <c r="M708" s="67"/>
      <c r="N708" s="67" t="s">
        <v>346</v>
      </c>
      <c r="O708" s="67"/>
      <c r="P708" s="57" t="s">
        <v>177</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IF(N708="N/A – rule","N/A – RULE",IF(TRIM(U708)="N/A",IF(AT708=0,"INVALID – N/A not permitted for this mandatory check",IF(AND(TRIM(AC708)&lt;&gt;"",TRIM(AE708)&lt;&gt;"",TRIM(T708)&lt;&gt;""),"N/A – JUSTIFIED","INVALID – N/A needs justification, PIC and verifier")),IF(OR(TRIM(U708)="Pass",TRIM(U708)="Pass after CA"),IF(NOT(ISNUMBER(AD708)),"INVALID – completion time missing",IF(TRIM(T708)="","INVALID – PIC missing",IF(TRIM(Z708)="","INVALID – evidence missing",IF(TRIM(AE708)="","INVALID – verifier missing",IF(AND(AQ708=1,TRIM(W708)=""),"INVALID – batch ID missing",IF(AND(AR708=1,OR(NOT(ISNUMBER(X708)),NOT(ISNUMBER(Y708)))),"INVALID – expected/actual qty missing",IF(IF(AND(TRIM(U708)="Pass",ISNUMBER(AF708)),IF(AF708&lt;&gt;0,"INVALID – qty variance: use Fail or Pass after CA",""),"")&amp;IF(AND(TRIM(U708)="Pass",AB708="Open"),"INVALID – corrective action still open: use Fail, then Pass after CA","")&amp;IF(AND(TRIM(U708)="Pass after CA",OR(TRIM(AA708)="",AB708&lt;&gt;"Closed")),"INVALID – corrective action not recorded/closed","")&lt;&gt;"",IF(AND(TRIM(U708)="Pass",ISNUMBER(AF708)),IF(AF708&lt;&gt;0,"INVALID – qty variance: use Fail or Pass after CA",""),"")&amp;IF(AND(TRIM(U708)="Pass",AB708="Open"),"INVALID – corrective action still open: use Fail, then Pass after CA","")&amp;IF(AND(TRIM(U708)="Pass after CA",OR(TRIM(AA708)="",AB708&lt;&gt;"Closed")),"INVALID – corrective action not recorded/closed",""),IF(AND(AS708=1,Documents!$J$26&lt;&gt;"ON FILE"),"INVALID – GLD not on file (Documents sheet)",IF(AND(AS708=2,Documents!$O$26&lt;&gt;"ON FILE"),"INVALID – menu checklist not on file (Documents sheet)",IF(AND(AS708=3,NOT(ISNUMBER(Flights!$AX$26))),"INVALID – enter carrying flight KUL departure (Flights AX)",IF(AG708&gt;AsOfUTC,"INVALID – completion time is in the future",IF(AND(ISNUMBER(S708),AG708&lt;S708),IF(H708="Physical uplift","INVALID – before uplift window (cannot confirm loading)","INVALID – before valid window"),IF(AG708&gt;Flights!$AA$26,"INVALID – completed after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f>
        <v>OPEN</v>
      </c>
      <c r="AI708" s="61" t="n">
        <f aca="false">IF(OR(AH708="N/A – RULE",AH708="N/A – JUSTIFIED"),0,1)</f>
        <v>1</v>
      </c>
      <c r="AJ708" s="61" t="n">
        <f aca="false">IF(LEFT(AH708,8)="COMPLETE",1,0)</f>
        <v>0</v>
      </c>
      <c r="AK708" s="61" t="n">
        <f aca="false">IF(AND(AI708=1,AJ708=0,AsOfUTC&gt;Q708),1,0)</f>
        <v>0</v>
      </c>
      <c r="AL708" s="61" t="n">
        <f aca="false">IF(AND(AI708=1,OR(TRIM(U708)="Fail",AB708="Open",AND(ISNUMBER(AF708),AF708&lt;&gt;0,TRIM(U708)&lt;&gt;"Pass after CA"))),1,0)</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row>
    <row r="709" customFormat="false" ht="39.75" hidden="false" customHeight="true" outlineLevel="0" collapsed="false">
      <c r="A709" s="57" t="s">
        <v>1403</v>
      </c>
      <c r="B709" s="57" t="s">
        <v>302</v>
      </c>
      <c r="C709" s="57" t="str">
        <f aca="false">Flights!$F$26</f>
        <v>MH0002</v>
      </c>
      <c r="D709" s="58" t="n">
        <f aca="false">Flights!$D$26</f>
        <v>46325</v>
      </c>
      <c r="E709" s="57" t="str">
        <f aca="false">Flights!$G$26&amp;"-"&amp;Flights!$H$26</f>
        <v>KUL-LHR</v>
      </c>
      <c r="F709" s="57" t="str">
        <f aca="false">Flights!$K$26</f>
        <v>BC</v>
      </c>
      <c r="G709" s="57" t="s">
        <v>74</v>
      </c>
      <c r="H709" s="57" t="s">
        <v>341</v>
      </c>
      <c r="I709" s="57" t="s">
        <v>368</v>
      </c>
      <c r="J709" s="57" t="s">
        <v>372</v>
      </c>
      <c r="K709" s="67" t="s">
        <v>370</v>
      </c>
      <c r="L709" s="67" t="s">
        <v>345</v>
      </c>
      <c r="M709" s="67"/>
      <c r="N709" s="67" t="s">
        <v>346</v>
      </c>
      <c r="O709" s="67"/>
      <c r="P709" s="57" t="s">
        <v>177</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IF(N709="N/A – rule","N/A – RULE",IF(TRIM(U709)="N/A",IF(AT709=0,"INVALID – N/A not permitted for this mandatory check",IF(AND(TRIM(AC709)&lt;&gt;"",TRIM(AE709)&lt;&gt;"",TRIM(T709)&lt;&gt;""),"N/A – JUSTIFIED","INVALID – N/A needs justification, PIC and verifier")),IF(OR(TRIM(U709)="Pass",TRIM(U709)="Pass after CA"),IF(NOT(ISNUMBER(AD709)),"INVALID – completion time missing",IF(TRIM(T709)="","INVALID – PIC missing",IF(TRIM(Z709)="","INVALID – evidence missing",IF(TRIM(AE709)="","INVALID – verifier missing",IF(AND(AQ709=1,TRIM(W709)=""),"INVALID – batch ID missing",IF(AND(AR709=1,OR(NOT(ISNUMBER(X709)),NOT(ISNUMBER(Y709)))),"INVALID – expected/actual qty missing",IF(IF(AND(TRIM(U709)="Pass",ISNUMBER(AF709)),IF(AF709&lt;&gt;0,"INVALID – qty variance: use Fail or Pass after CA",""),"")&amp;IF(AND(TRIM(U709)="Pass",AB709="Open"),"INVALID – corrective action still open: use Fail, then Pass after CA","")&amp;IF(AND(TRIM(U709)="Pass after CA",OR(TRIM(AA709)="",AB709&lt;&gt;"Closed")),"INVALID – corrective action not recorded/closed","")&lt;&gt;"",IF(AND(TRIM(U709)="Pass",ISNUMBER(AF709)),IF(AF709&lt;&gt;0,"INVALID – qty variance: use Fail or Pass after CA",""),"")&amp;IF(AND(TRIM(U709)="Pass",AB709="Open"),"INVALID – corrective action still open: use Fail, then Pass after CA","")&amp;IF(AND(TRIM(U709)="Pass after CA",OR(TRIM(AA709)="",AB709&lt;&gt;"Closed")),"INVALID – corrective action not recorded/closed",""),IF(AND(AS709=1,Documents!$J$26&lt;&gt;"ON FILE"),"INVALID – GLD not on file (Documents sheet)",IF(AND(AS709=2,Documents!$O$26&lt;&gt;"ON FILE"),"INVALID – menu checklist not on file (Documents sheet)",IF(AND(AS709=3,NOT(ISNUMBER(Flights!$AX$26))),"INVALID – enter carrying flight KUL departure (Flights AX)",IF(AG709&gt;AsOfUTC,"INVALID – completion time is in the future",IF(AND(ISNUMBER(S709),AG709&lt;S709),IF(H709="Physical uplift","INVALID – before uplift window (cannot confirm loading)","INVALID – before valid window"),IF(AG709&gt;Flights!$AA$26,"INVALID – completed after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f>
        <v>OPEN</v>
      </c>
      <c r="AI709" s="61" t="n">
        <f aca="false">IF(OR(AH709="N/A – RULE",AH709="N/A – JUSTIFIED"),0,1)</f>
        <v>1</v>
      </c>
      <c r="AJ709" s="61" t="n">
        <f aca="false">IF(LEFT(AH709,8)="COMPLETE",1,0)</f>
        <v>0</v>
      </c>
      <c r="AK709" s="61" t="n">
        <f aca="false">IF(AND(AI709=1,AJ709=0,AsOfUTC&gt;Q709),1,0)</f>
        <v>0</v>
      </c>
      <c r="AL709" s="61" t="n">
        <f aca="false">IF(AND(AI709=1,OR(TRIM(U709)="Fail",AB709="Open",AND(ISNUMBER(AF709),AF709&lt;&gt;0,TRIM(U709)&lt;&gt;"Pass after CA"))),1,0)</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row>
    <row r="710" customFormat="false" ht="39.75" hidden="false" customHeight="true" outlineLevel="0" collapsed="false">
      <c r="A710" s="57" t="s">
        <v>1404</v>
      </c>
      <c r="B710" s="57" t="s">
        <v>302</v>
      </c>
      <c r="C710" s="57" t="str">
        <f aca="false">Flights!$F$26</f>
        <v>MH0002</v>
      </c>
      <c r="D710" s="58" t="n">
        <f aca="false">Flights!$D$26</f>
        <v>46325</v>
      </c>
      <c r="E710" s="57" t="str">
        <f aca="false">Flights!$G$26&amp;"-"&amp;Flights!$H$26</f>
        <v>KUL-LHR</v>
      </c>
      <c r="F710" s="57" t="str">
        <f aca="false">Flights!$K$26</f>
        <v>BC</v>
      </c>
      <c r="G710" s="57" t="s">
        <v>74</v>
      </c>
      <c r="H710" s="57" t="s">
        <v>341</v>
      </c>
      <c r="I710" s="57" t="s">
        <v>374</v>
      </c>
      <c r="J710" s="57" t="s">
        <v>375</v>
      </c>
      <c r="K710" s="67" t="s">
        <v>679</v>
      </c>
      <c r="L710" s="67" t="s">
        <v>377</v>
      </c>
      <c r="M710" s="67"/>
      <c r="N710" s="67" t="s">
        <v>346</v>
      </c>
      <c r="O710" s="67"/>
      <c r="P710" s="57" t="s">
        <v>177</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IF(N710="N/A – rule","N/A – RULE",IF(TRIM(U710)="N/A",IF(AT710=0,"INVALID – N/A not permitted for this mandatory check",IF(AND(TRIM(AC710)&lt;&gt;"",TRIM(AE710)&lt;&gt;"",TRIM(T710)&lt;&gt;""),"N/A – JUSTIFIED","INVALID – N/A needs justification, PIC and verifier")),IF(OR(TRIM(U710)="Pass",TRIM(U710)="Pass after CA"),IF(NOT(ISNUMBER(AD710)),"INVALID – completion time missing",IF(TRIM(T710)="","INVALID – PIC missing",IF(TRIM(Z710)="","INVALID – evidence missing",IF(TRIM(AE710)="","INVALID – verifier missing",IF(AND(AQ710=1,TRIM(W710)=""),"INVALID – batch ID missing",IF(AND(AR710=1,OR(NOT(ISNUMBER(X710)),NOT(ISNUMBER(Y710)))),"INVALID – expected/actual qty missing",IF(IF(AND(TRIM(U710)="Pass",ISNUMBER(AF710)),IF(AF710&lt;&gt;0,"INVALID – qty variance: use Fail or Pass after CA",""),"")&amp;IF(AND(TRIM(U710)="Pass",AB710="Open"),"INVALID – corrective action still open: use Fail, then Pass after CA","")&amp;IF(AND(TRIM(U710)="Pass after CA",OR(TRIM(AA710)="",AB710&lt;&gt;"Closed")),"INVALID – corrective action not recorded/closed","")&lt;&gt;"",IF(AND(TRIM(U710)="Pass",ISNUMBER(AF710)),IF(AF710&lt;&gt;0,"INVALID – qty variance: use Fail or Pass after CA",""),"")&amp;IF(AND(TRIM(U710)="Pass",AB710="Open"),"INVALID – corrective action still open: use Fail, then Pass after CA","")&amp;IF(AND(TRIM(U710)="Pass after CA",OR(TRIM(AA710)="",AB710&lt;&gt;"Closed")),"INVALID – corrective action not recorded/closed",""),IF(AND(AS710=1,Documents!$J$26&lt;&gt;"ON FILE"),"INVALID – GLD not on file (Documents sheet)",IF(AND(AS710=2,Documents!$O$26&lt;&gt;"ON FILE"),"INVALID – menu checklist not on file (Documents sheet)",IF(AND(AS710=3,NOT(ISNUMBER(Flights!$AX$26))),"INVALID – enter carrying flight KUL departure (Flights AX)",IF(AG710&gt;AsOfUTC,"INVALID – completion time is in the future",IF(AND(ISNUMBER(S710),AG710&lt;S710),IF(H710="Physical uplift","INVALID – before uplift window (cannot confirm loading)","INVALID – before valid window"),IF(AG710&gt;Flights!$AA$26,"INVALID – completed after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f>
        <v>OPEN</v>
      </c>
      <c r="AI710" s="61" t="n">
        <f aca="false">IF(OR(AH710="N/A – RULE",AH710="N/A – JUSTIFIED"),0,1)</f>
        <v>1</v>
      </c>
      <c r="AJ710" s="61" t="n">
        <f aca="false">IF(LEFT(AH710,8)="COMPLETE",1,0)</f>
        <v>0</v>
      </c>
      <c r="AK710" s="61" t="n">
        <f aca="false">IF(AND(AI710=1,AJ710=0,AsOfUTC&gt;Q710),1,0)</f>
        <v>0</v>
      </c>
      <c r="AL710" s="61" t="n">
        <f aca="false">IF(AND(AI710=1,OR(TRIM(U710)="Fail",AB710="Open",AND(ISNUMBER(AF710),AF710&lt;&gt;0,TRIM(U710)&lt;&gt;"Pass after CA"))),1,0)</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row>
    <row r="711" customFormat="false" ht="39.75" hidden="false" customHeight="true" outlineLevel="0" collapsed="false">
      <c r="A711" s="57" t="s">
        <v>1405</v>
      </c>
      <c r="B711" s="57" t="s">
        <v>302</v>
      </c>
      <c r="C711" s="57" t="str">
        <f aca="false">Flights!$F$26</f>
        <v>MH0002</v>
      </c>
      <c r="D711" s="58" t="n">
        <f aca="false">Flights!$D$26</f>
        <v>46325</v>
      </c>
      <c r="E711" s="57" t="str">
        <f aca="false">Flights!$G$26&amp;"-"&amp;Flights!$H$26</f>
        <v>KUL-LHR</v>
      </c>
      <c r="F711" s="57" t="str">
        <f aca="false">Flights!$K$26</f>
        <v>BC</v>
      </c>
      <c r="G711" s="57" t="s">
        <v>76</v>
      </c>
      <c r="H711" s="57" t="s">
        <v>341</v>
      </c>
      <c r="I711" s="57" t="s">
        <v>342</v>
      </c>
      <c r="J711" s="57" t="s">
        <v>379</v>
      </c>
      <c r="K711" s="67" t="s">
        <v>380</v>
      </c>
      <c r="L711" s="67" t="s">
        <v>381</v>
      </c>
      <c r="M711" s="67"/>
      <c r="N711" s="67" t="s">
        <v>346</v>
      </c>
      <c r="O711" s="67"/>
      <c r="P711" s="57" t="s">
        <v>177</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IF(N711="N/A – rule","N/A – RULE",IF(TRIM(U711)="N/A",IF(AT711=0,"INVALID – N/A not permitted for this mandatory check",IF(AND(TRIM(AC711)&lt;&gt;"",TRIM(AE711)&lt;&gt;"",TRIM(T711)&lt;&gt;""),"N/A – JUSTIFIED","INVALID – N/A needs justification, PIC and verifier")),IF(OR(TRIM(U711)="Pass",TRIM(U711)="Pass after CA"),IF(NOT(ISNUMBER(AD711)),"INVALID – completion time missing",IF(TRIM(T711)="","INVALID – PIC missing",IF(TRIM(Z711)="","INVALID – evidence missing",IF(TRIM(AE711)="","INVALID – verifier missing",IF(AND(AQ711=1,TRIM(W711)=""),"INVALID – batch ID missing",IF(AND(AR711=1,OR(NOT(ISNUMBER(X711)),NOT(ISNUMBER(Y711)))),"INVALID – expected/actual qty missing",IF(IF(AND(TRIM(U711)="Pass",ISNUMBER(AF711)),IF(AF711&lt;&gt;0,"INVALID – qty variance: use Fail or Pass after CA",""),"")&amp;IF(AND(TRIM(U711)="Pass",AB711="Open"),"INVALID – corrective action still open: use Fail, then Pass after CA","")&amp;IF(AND(TRIM(U711)="Pass after CA",OR(TRIM(AA711)="",AB711&lt;&gt;"Closed")),"INVALID – corrective action not recorded/closed","")&lt;&gt;"",IF(AND(TRIM(U711)="Pass",ISNUMBER(AF711)),IF(AF711&lt;&gt;0,"INVALID – qty variance: use Fail or Pass after CA",""),"")&amp;IF(AND(TRIM(U711)="Pass",AB711="Open"),"INVALID – corrective action still open: use Fail, then Pass after CA","")&amp;IF(AND(TRIM(U711)="Pass after CA",OR(TRIM(AA711)="",AB711&lt;&gt;"Closed")),"INVALID – corrective action not recorded/closed",""),IF(AND(AS711=1,Documents!$J$26&lt;&gt;"ON FILE"),"INVALID – GLD not on file (Documents sheet)",IF(AND(AS711=2,Documents!$O$26&lt;&gt;"ON FILE"),"INVALID – menu checklist not on file (Documents sheet)",IF(AND(AS711=3,NOT(ISNUMBER(Flights!$AX$26))),"INVALID – enter carrying flight KUL departure (Flights AX)",IF(AG711&gt;AsOfUTC,"INVALID – completion time is in the future",IF(AND(ISNUMBER(S711),AG711&lt;S711),IF(H711="Physical uplift","INVALID – before uplift window (cannot confirm loading)","INVALID – before valid window"),IF(AG711&gt;Flights!$AA$26,"INVALID – completed after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f>
        <v>OPEN</v>
      </c>
      <c r="AI711" s="61" t="n">
        <f aca="false">IF(OR(AH711="N/A – RULE",AH711="N/A – JUSTIFIED"),0,1)</f>
        <v>1</v>
      </c>
      <c r="AJ711" s="61" t="n">
        <f aca="false">IF(LEFT(AH711,8)="COMPLETE",1,0)</f>
        <v>0</v>
      </c>
      <c r="AK711" s="61" t="n">
        <f aca="false">IF(AND(AI711=1,AJ711=0,AsOfUTC&gt;Q711),1,0)</f>
        <v>0</v>
      </c>
      <c r="AL711" s="61" t="n">
        <f aca="false">IF(AND(AI711=1,OR(TRIM(U711)="Fail",AB711="Open",AND(ISNUMBER(AF711),AF711&lt;&gt;0,TRIM(U711)&lt;&gt;"Pass after CA"))),1,0)</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row>
    <row r="712" customFormat="false" ht="39.75" hidden="false" customHeight="true" outlineLevel="0" collapsed="false">
      <c r="A712" s="57" t="s">
        <v>1406</v>
      </c>
      <c r="B712" s="57" t="s">
        <v>302</v>
      </c>
      <c r="C712" s="57" t="str">
        <f aca="false">Flights!$F$26</f>
        <v>MH0002</v>
      </c>
      <c r="D712" s="58" t="n">
        <f aca="false">Flights!$D$26</f>
        <v>46325</v>
      </c>
      <c r="E712" s="57" t="str">
        <f aca="false">Flights!$G$26&amp;"-"&amp;Flights!$H$26</f>
        <v>KUL-LHR</v>
      </c>
      <c r="F712" s="57" t="str">
        <f aca="false">Flights!$K$26</f>
        <v>BC</v>
      </c>
      <c r="G712" s="57" t="s">
        <v>383</v>
      </c>
      <c r="H712" s="57" t="s">
        <v>341</v>
      </c>
      <c r="I712" s="57" t="s">
        <v>342</v>
      </c>
      <c r="J712" s="57" t="s">
        <v>384</v>
      </c>
      <c r="K712" s="67"/>
      <c r="L712" s="67" t="s">
        <v>385</v>
      </c>
      <c r="M712" s="67"/>
      <c r="N712" s="67" t="s">
        <v>346</v>
      </c>
      <c r="O712" s="67" t="s">
        <v>386</v>
      </c>
      <c r="P712" s="57" t="s">
        <v>177</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IF(N712="N/A – rule","N/A – RULE",IF(TRIM(U712)="N/A",IF(AT712=0,"INVALID – N/A not permitted for this mandatory check",IF(AND(TRIM(AC712)&lt;&gt;"",TRIM(AE712)&lt;&gt;"",TRIM(T712)&lt;&gt;""),"N/A – JUSTIFIED","INVALID – N/A needs justification, PIC and verifier")),IF(OR(TRIM(U712)="Pass",TRIM(U712)="Pass after CA"),IF(NOT(ISNUMBER(AD712)),"INVALID – completion time missing",IF(TRIM(T712)="","INVALID – PIC missing",IF(TRIM(Z712)="","INVALID – evidence missing",IF(TRIM(AE712)="","INVALID – verifier missing",IF(AND(AQ712=1,TRIM(W712)=""),"INVALID – batch ID missing",IF(AND(AR712=1,OR(NOT(ISNUMBER(X712)),NOT(ISNUMBER(Y712)))),"INVALID – expected/actual qty missing",IF(IF(AND(TRIM(U712)="Pass",ISNUMBER(AF712)),IF(AF712&lt;&gt;0,"INVALID – qty variance: use Fail or Pass after CA",""),"")&amp;IF(AND(TRIM(U712)="Pass",AB712="Open"),"INVALID – corrective action still open: use Fail, then Pass after CA","")&amp;IF(AND(TRIM(U712)="Pass after CA",OR(TRIM(AA712)="",AB712&lt;&gt;"Closed")),"INVALID – corrective action not recorded/closed","")&lt;&gt;"",IF(AND(TRIM(U712)="Pass",ISNUMBER(AF712)),IF(AF712&lt;&gt;0,"INVALID – qty variance: use Fail or Pass after CA",""),"")&amp;IF(AND(TRIM(U712)="Pass",AB712="Open"),"INVALID – corrective action still open: use Fail, then Pass after CA","")&amp;IF(AND(TRIM(U712)="Pass after CA",OR(TRIM(AA712)="",AB712&lt;&gt;"Closed")),"INVALID – corrective action not recorded/closed",""),IF(AND(AS712=1,Documents!$J$26&lt;&gt;"ON FILE"),"INVALID – GLD not on file (Documents sheet)",IF(AND(AS712=2,Documents!$O$26&lt;&gt;"ON FILE"),"INVALID – menu checklist not on file (Documents sheet)",IF(AND(AS712=3,NOT(ISNUMBER(Flights!$AX$26))),"INVALID – enter carrying flight KUL departure (Flights AX)",IF(AG712&gt;AsOfUTC,"INVALID – completion time is in the future",IF(AND(ISNUMBER(S712),AG712&lt;S712),IF(H712="Physical uplift","INVALID – before uplift window (cannot confirm loading)","INVALID – before valid window"),IF(AG712&gt;Flights!$AA$26,"INVALID – completed after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f>
        <v>OPEN</v>
      </c>
      <c r="AI712" s="61" t="n">
        <f aca="false">IF(OR(AH712="N/A – RULE",AH712="N/A – JUSTIFIED"),0,1)</f>
        <v>1</v>
      </c>
      <c r="AJ712" s="61" t="n">
        <f aca="false">IF(LEFT(AH712,8)="COMPLETE",1,0)</f>
        <v>0</v>
      </c>
      <c r="AK712" s="61" t="n">
        <f aca="false">IF(AND(AI712=1,AJ712=0,AsOfUTC&gt;Q712),1,0)</f>
        <v>0</v>
      </c>
      <c r="AL712" s="61" t="n">
        <f aca="false">IF(AND(AI712=1,OR(TRIM(U712)="Fail",AB712="Open",AND(ISNUMBER(AF712),AF712&lt;&gt;0,TRIM(U712)&lt;&gt;"Pass after CA"))),1,0)</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row>
    <row r="713" customFormat="false" ht="39.75" hidden="false" customHeight="true" outlineLevel="0" collapsed="false">
      <c r="A713" s="57" t="s">
        <v>1407</v>
      </c>
      <c r="B713" s="57" t="s">
        <v>302</v>
      </c>
      <c r="C713" s="57" t="str">
        <f aca="false">Flights!$F$26</f>
        <v>MH0002</v>
      </c>
      <c r="D713" s="58" t="n">
        <f aca="false">Flights!$D$26</f>
        <v>46325</v>
      </c>
      <c r="E713" s="57" t="str">
        <f aca="false">Flights!$G$26&amp;"-"&amp;Flights!$H$26</f>
        <v>KUL-LHR</v>
      </c>
      <c r="F713" s="57" t="str">
        <f aca="false">Flights!$K$26</f>
        <v>BC</v>
      </c>
      <c r="G713" s="57" t="s">
        <v>383</v>
      </c>
      <c r="H713" s="57" t="s">
        <v>341</v>
      </c>
      <c r="I713" s="57" t="s">
        <v>342</v>
      </c>
      <c r="J713" s="57" t="s">
        <v>388</v>
      </c>
      <c r="K713" s="67" t="s">
        <v>389</v>
      </c>
      <c r="L713" s="67" t="s">
        <v>385</v>
      </c>
      <c r="M713" s="67"/>
      <c r="N713" s="67" t="s">
        <v>346</v>
      </c>
      <c r="O713" s="67" t="s">
        <v>386</v>
      </c>
      <c r="P713" s="57" t="s">
        <v>177</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IF(N713="N/A – rule","N/A – RULE",IF(TRIM(U713)="N/A",IF(AT713=0,"INVALID – N/A not permitted for this mandatory check",IF(AND(TRIM(AC713)&lt;&gt;"",TRIM(AE713)&lt;&gt;"",TRIM(T713)&lt;&gt;""),"N/A – JUSTIFIED","INVALID – N/A needs justification, PIC and verifier")),IF(OR(TRIM(U713)="Pass",TRIM(U713)="Pass after CA"),IF(NOT(ISNUMBER(AD713)),"INVALID – completion time missing",IF(TRIM(T713)="","INVALID – PIC missing",IF(TRIM(Z713)="","INVALID – evidence missing",IF(TRIM(AE713)="","INVALID – verifier missing",IF(AND(AQ713=1,TRIM(W713)=""),"INVALID – batch ID missing",IF(AND(AR713=1,OR(NOT(ISNUMBER(X713)),NOT(ISNUMBER(Y713)))),"INVALID – expected/actual qty missing",IF(IF(AND(TRIM(U713)="Pass",ISNUMBER(AF713)),IF(AF713&lt;&gt;0,"INVALID – qty variance: use Fail or Pass after CA",""),"")&amp;IF(AND(TRIM(U713)="Pass",AB713="Open"),"INVALID – corrective action still open: use Fail, then Pass after CA","")&amp;IF(AND(TRIM(U713)="Pass after CA",OR(TRIM(AA713)="",AB713&lt;&gt;"Closed")),"INVALID – corrective action not recorded/closed","")&lt;&gt;"",IF(AND(TRIM(U713)="Pass",ISNUMBER(AF713)),IF(AF713&lt;&gt;0,"INVALID – qty variance: use Fail or Pass after CA",""),"")&amp;IF(AND(TRIM(U713)="Pass",AB713="Open"),"INVALID – corrective action still open: use Fail, then Pass after CA","")&amp;IF(AND(TRIM(U713)="Pass after CA",OR(TRIM(AA713)="",AB713&lt;&gt;"Closed")),"INVALID – corrective action not recorded/closed",""),IF(AND(AS713=1,Documents!$J$26&lt;&gt;"ON FILE"),"INVALID – GLD not on file (Documents sheet)",IF(AND(AS713=2,Documents!$O$26&lt;&gt;"ON FILE"),"INVALID – menu checklist not on file (Documents sheet)",IF(AND(AS713=3,NOT(ISNUMBER(Flights!$AX$26))),"INVALID – enter carrying flight KUL departure (Flights AX)",IF(AG713&gt;AsOfUTC,"INVALID – completion time is in the future",IF(AND(ISNUMBER(S713),AG713&lt;S713),IF(H713="Physical uplift","INVALID – before uplift window (cannot confirm loading)","INVALID – before valid window"),IF(AG713&gt;Flights!$AA$26,"INVALID – completed after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f>
        <v>OPEN</v>
      </c>
      <c r="AI713" s="61" t="n">
        <f aca="false">IF(OR(AH713="N/A – RULE",AH713="N/A – JUSTIFIED"),0,1)</f>
        <v>1</v>
      </c>
      <c r="AJ713" s="61" t="n">
        <f aca="false">IF(LEFT(AH713,8)="COMPLETE",1,0)</f>
        <v>0</v>
      </c>
      <c r="AK713" s="61" t="n">
        <f aca="false">IF(AND(AI713=1,AJ713=0,AsOfUTC&gt;Q713),1,0)</f>
        <v>0</v>
      </c>
      <c r="AL713" s="61" t="n">
        <f aca="false">IF(AND(AI713=1,OR(TRIM(U713)="Fail",AB713="Open",AND(ISNUMBER(AF713),AF713&lt;&gt;0,TRIM(U713)&lt;&gt;"Pass after CA"))),1,0)</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row>
    <row r="714" customFormat="false" ht="39.75" hidden="false" customHeight="true" outlineLevel="0" collapsed="false">
      <c r="A714" s="57" t="s">
        <v>1408</v>
      </c>
      <c r="B714" s="57" t="s">
        <v>302</v>
      </c>
      <c r="C714" s="57" t="str">
        <f aca="false">Flights!$F$26</f>
        <v>MH0002</v>
      </c>
      <c r="D714" s="58" t="n">
        <f aca="false">Flights!$D$26</f>
        <v>46325</v>
      </c>
      <c r="E714" s="57" t="str">
        <f aca="false">Flights!$G$26&amp;"-"&amp;Flights!$H$26</f>
        <v>KUL-LHR</v>
      </c>
      <c r="F714" s="57" t="str">
        <f aca="false">Flights!$K$26</f>
        <v>BC</v>
      </c>
      <c r="G714" s="57" t="s">
        <v>383</v>
      </c>
      <c r="H714" s="57" t="s">
        <v>341</v>
      </c>
      <c r="I714" s="57" t="s">
        <v>391</v>
      </c>
      <c r="J714" s="57" t="s">
        <v>392</v>
      </c>
      <c r="K714" s="67"/>
      <c r="L714" s="67" t="s">
        <v>385</v>
      </c>
      <c r="M714" s="67"/>
      <c r="N714" s="67" t="s">
        <v>346</v>
      </c>
      <c r="O714" s="67" t="s">
        <v>386</v>
      </c>
      <c r="P714" s="57" t="s">
        <v>177</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IF(N714="N/A – rule","N/A – RULE",IF(TRIM(U714)="N/A",IF(AT714=0,"INVALID – N/A not permitted for this mandatory check",IF(AND(TRIM(AC714)&lt;&gt;"",TRIM(AE714)&lt;&gt;"",TRIM(T714)&lt;&gt;""),"N/A – JUSTIFIED","INVALID – N/A needs justification, PIC and verifier")),IF(OR(TRIM(U714)="Pass",TRIM(U714)="Pass after CA"),IF(NOT(ISNUMBER(AD714)),"INVALID – completion time missing",IF(TRIM(T714)="","INVALID – PIC missing",IF(TRIM(Z714)="","INVALID – evidence missing",IF(TRIM(AE714)="","INVALID – verifier missing",IF(AND(AQ714=1,TRIM(W714)=""),"INVALID – batch ID missing",IF(AND(AR714=1,OR(NOT(ISNUMBER(X714)),NOT(ISNUMBER(Y714)))),"INVALID – expected/actual qty missing",IF(IF(AND(TRIM(U714)="Pass",ISNUMBER(AF714)),IF(AF714&lt;&gt;0,"INVALID – qty variance: use Fail or Pass after CA",""),"")&amp;IF(AND(TRIM(U714)="Pass",AB714="Open"),"INVALID – corrective action still open: use Fail, then Pass after CA","")&amp;IF(AND(TRIM(U714)="Pass after CA",OR(TRIM(AA714)="",AB714&lt;&gt;"Closed")),"INVALID – corrective action not recorded/closed","")&lt;&gt;"",IF(AND(TRIM(U714)="Pass",ISNUMBER(AF714)),IF(AF714&lt;&gt;0,"INVALID – qty variance: use Fail or Pass after CA",""),"")&amp;IF(AND(TRIM(U714)="Pass",AB714="Open"),"INVALID – corrective action still open: use Fail, then Pass after CA","")&amp;IF(AND(TRIM(U714)="Pass after CA",OR(TRIM(AA714)="",AB714&lt;&gt;"Closed")),"INVALID – corrective action not recorded/closed",""),IF(AND(AS714=1,Documents!$J$26&lt;&gt;"ON FILE"),"INVALID – GLD not on file (Documents sheet)",IF(AND(AS714=2,Documents!$O$26&lt;&gt;"ON FILE"),"INVALID – menu checklist not on file (Documents sheet)",IF(AND(AS714=3,NOT(ISNUMBER(Flights!$AX$26))),"INVALID – enter carrying flight KUL departure (Flights AX)",IF(AG714&gt;AsOfUTC,"INVALID – completion time is in the future",IF(AND(ISNUMBER(S714),AG714&lt;S714),IF(H714="Physical uplift","INVALID – before uplift window (cannot confirm loading)","INVALID – before valid window"),IF(AG714&gt;Flights!$AA$26,"INVALID – completed after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f>
        <v>OPEN</v>
      </c>
      <c r="AI714" s="61" t="n">
        <f aca="false">IF(OR(AH714="N/A – RULE",AH714="N/A – JUSTIFIED"),0,1)</f>
        <v>1</v>
      </c>
      <c r="AJ714" s="61" t="n">
        <f aca="false">IF(LEFT(AH714,8)="COMPLETE",1,0)</f>
        <v>0</v>
      </c>
      <c r="AK714" s="61" t="n">
        <f aca="false">IF(AND(AI714=1,AJ714=0,AsOfUTC&gt;Q714),1,0)</f>
        <v>0</v>
      </c>
      <c r="AL714" s="61" t="n">
        <f aca="false">IF(AND(AI714=1,OR(TRIM(U714)="Fail",AB714="Open",AND(ISNUMBER(AF714),AF714&lt;&gt;0,TRIM(U714)&lt;&gt;"Pass after CA"))),1,0)</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row>
    <row r="715" customFormat="false" ht="39.75" hidden="false" customHeight="true" outlineLevel="0" collapsed="false">
      <c r="A715" s="57" t="s">
        <v>1409</v>
      </c>
      <c r="B715" s="57" t="s">
        <v>302</v>
      </c>
      <c r="C715" s="57" t="str">
        <f aca="false">Flights!$F$26</f>
        <v>MH0002</v>
      </c>
      <c r="D715" s="58" t="n">
        <f aca="false">Flights!$D$26</f>
        <v>46325</v>
      </c>
      <c r="E715" s="57" t="str">
        <f aca="false">Flights!$G$26&amp;"-"&amp;Flights!$H$26</f>
        <v>KUL-LHR</v>
      </c>
      <c r="F715" s="57" t="str">
        <f aca="false">Flights!$K$26</f>
        <v>BC</v>
      </c>
      <c r="G715" s="57" t="s">
        <v>383</v>
      </c>
      <c r="H715" s="57" t="s">
        <v>341</v>
      </c>
      <c r="I715" s="57" t="s">
        <v>391</v>
      </c>
      <c r="J715" s="57" t="s">
        <v>394</v>
      </c>
      <c r="K715" s="67"/>
      <c r="L715" s="67" t="s">
        <v>385</v>
      </c>
      <c r="M715" s="67"/>
      <c r="N715" s="67" t="s">
        <v>346</v>
      </c>
      <c r="O715" s="67" t="s">
        <v>386</v>
      </c>
      <c r="P715" s="57" t="s">
        <v>177</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IF(N715="N/A – rule","N/A – RULE",IF(TRIM(U715)="N/A",IF(AT715=0,"INVALID – N/A not permitted for this mandatory check",IF(AND(TRIM(AC715)&lt;&gt;"",TRIM(AE715)&lt;&gt;"",TRIM(T715)&lt;&gt;""),"N/A – JUSTIFIED","INVALID – N/A needs justification, PIC and verifier")),IF(OR(TRIM(U715)="Pass",TRIM(U715)="Pass after CA"),IF(NOT(ISNUMBER(AD715)),"INVALID – completion time missing",IF(TRIM(T715)="","INVALID – PIC missing",IF(TRIM(Z715)="","INVALID – evidence missing",IF(TRIM(AE715)="","INVALID – verifier missing",IF(AND(AQ715=1,TRIM(W715)=""),"INVALID – batch ID missing",IF(AND(AR715=1,OR(NOT(ISNUMBER(X715)),NOT(ISNUMBER(Y715)))),"INVALID – expected/actual qty missing",IF(IF(AND(TRIM(U715)="Pass",ISNUMBER(AF715)),IF(AF715&lt;&gt;0,"INVALID – qty variance: use Fail or Pass after CA",""),"")&amp;IF(AND(TRIM(U715)="Pass",AB715="Open"),"INVALID – corrective action still open: use Fail, then Pass after CA","")&amp;IF(AND(TRIM(U715)="Pass after CA",OR(TRIM(AA715)="",AB715&lt;&gt;"Closed")),"INVALID – corrective action not recorded/closed","")&lt;&gt;"",IF(AND(TRIM(U715)="Pass",ISNUMBER(AF715)),IF(AF715&lt;&gt;0,"INVALID – qty variance: use Fail or Pass after CA",""),"")&amp;IF(AND(TRIM(U715)="Pass",AB715="Open"),"INVALID – corrective action still open: use Fail, then Pass after CA","")&amp;IF(AND(TRIM(U715)="Pass after CA",OR(TRIM(AA715)="",AB715&lt;&gt;"Closed")),"INVALID – corrective action not recorded/closed",""),IF(AND(AS715=1,Documents!$J$26&lt;&gt;"ON FILE"),"INVALID – GLD not on file (Documents sheet)",IF(AND(AS715=2,Documents!$O$26&lt;&gt;"ON FILE"),"INVALID – menu checklist not on file (Documents sheet)",IF(AND(AS715=3,NOT(ISNUMBER(Flights!$AX$26))),"INVALID – enter carrying flight KUL departure (Flights AX)",IF(AG715&gt;AsOfUTC,"INVALID – completion time is in the future",IF(AND(ISNUMBER(S715),AG715&lt;S715),IF(H715="Physical uplift","INVALID – before uplift window (cannot confirm loading)","INVALID – before valid window"),IF(AG715&gt;Flights!$AA$26,"INVALID – completed after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f>
        <v>OPEN</v>
      </c>
      <c r="AI715" s="61" t="n">
        <f aca="false">IF(OR(AH715="N/A – RULE",AH715="N/A – JUSTIFIED"),0,1)</f>
        <v>1</v>
      </c>
      <c r="AJ715" s="61" t="n">
        <f aca="false">IF(LEFT(AH715,8)="COMPLETE",1,0)</f>
        <v>0</v>
      </c>
      <c r="AK715" s="61" t="n">
        <f aca="false">IF(AND(AI715=1,AJ715=0,AsOfUTC&gt;Q715),1,0)</f>
        <v>0</v>
      </c>
      <c r="AL715" s="61" t="n">
        <f aca="false">IF(AND(AI715=1,OR(TRIM(U715)="Fail",AB715="Open",AND(ISNUMBER(AF715),AF715&lt;&gt;0,TRIM(U715)&lt;&gt;"Pass after CA"))),1,0)</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row>
    <row r="716" customFormat="false" ht="39.75" hidden="false" customHeight="true" outlineLevel="0" collapsed="false">
      <c r="A716" s="57" t="s">
        <v>1410</v>
      </c>
      <c r="B716" s="57" t="s">
        <v>302</v>
      </c>
      <c r="C716" s="57" t="str">
        <f aca="false">Flights!$F$26</f>
        <v>MH0002</v>
      </c>
      <c r="D716" s="58" t="n">
        <f aca="false">Flights!$D$26</f>
        <v>46325</v>
      </c>
      <c r="E716" s="57" t="str">
        <f aca="false">Flights!$G$26&amp;"-"&amp;Flights!$H$26</f>
        <v>KUL-LHR</v>
      </c>
      <c r="F716" s="57" t="str">
        <f aca="false">Flights!$K$26</f>
        <v>BC</v>
      </c>
      <c r="G716" s="57" t="s">
        <v>383</v>
      </c>
      <c r="H716" s="57" t="s">
        <v>341</v>
      </c>
      <c r="I716" s="57" t="s">
        <v>391</v>
      </c>
      <c r="J716" s="57" t="s">
        <v>396</v>
      </c>
      <c r="K716" s="67"/>
      <c r="L716" s="67" t="s">
        <v>385</v>
      </c>
      <c r="M716" s="67"/>
      <c r="N716" s="67" t="s">
        <v>346</v>
      </c>
      <c r="O716" s="67" t="s">
        <v>386</v>
      </c>
      <c r="P716" s="57" t="s">
        <v>177</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IF(N716="N/A – rule","N/A – RULE",IF(TRIM(U716)="N/A",IF(AT716=0,"INVALID – N/A not permitted for this mandatory check",IF(AND(TRIM(AC716)&lt;&gt;"",TRIM(AE716)&lt;&gt;"",TRIM(T716)&lt;&gt;""),"N/A – JUSTIFIED","INVALID – N/A needs justification, PIC and verifier")),IF(OR(TRIM(U716)="Pass",TRIM(U716)="Pass after CA"),IF(NOT(ISNUMBER(AD716)),"INVALID – completion time missing",IF(TRIM(T716)="","INVALID – PIC missing",IF(TRIM(Z716)="","INVALID – evidence missing",IF(TRIM(AE716)="","INVALID – verifier missing",IF(AND(AQ716=1,TRIM(W716)=""),"INVALID – batch ID missing",IF(AND(AR716=1,OR(NOT(ISNUMBER(X716)),NOT(ISNUMBER(Y716)))),"INVALID – expected/actual qty missing",IF(IF(AND(TRIM(U716)="Pass",ISNUMBER(AF716)),IF(AF716&lt;&gt;0,"INVALID – qty variance: use Fail or Pass after CA",""),"")&amp;IF(AND(TRIM(U716)="Pass",AB716="Open"),"INVALID – corrective action still open: use Fail, then Pass after CA","")&amp;IF(AND(TRIM(U716)="Pass after CA",OR(TRIM(AA716)="",AB716&lt;&gt;"Closed")),"INVALID – corrective action not recorded/closed","")&lt;&gt;"",IF(AND(TRIM(U716)="Pass",ISNUMBER(AF716)),IF(AF716&lt;&gt;0,"INVALID – qty variance: use Fail or Pass after CA",""),"")&amp;IF(AND(TRIM(U716)="Pass",AB716="Open"),"INVALID – corrective action still open: use Fail, then Pass after CA","")&amp;IF(AND(TRIM(U716)="Pass after CA",OR(TRIM(AA716)="",AB716&lt;&gt;"Closed")),"INVALID – corrective action not recorded/closed",""),IF(AND(AS716=1,Documents!$J$26&lt;&gt;"ON FILE"),"INVALID – GLD not on file (Documents sheet)",IF(AND(AS716=2,Documents!$O$26&lt;&gt;"ON FILE"),"INVALID – menu checklist not on file (Documents sheet)",IF(AND(AS716=3,NOT(ISNUMBER(Flights!$AX$26))),"INVALID – enter carrying flight KUL departure (Flights AX)",IF(AG716&gt;AsOfUTC,"INVALID – completion time is in the future",IF(AND(ISNUMBER(S716),AG716&lt;S716),IF(H716="Physical uplift","INVALID – before uplift window (cannot confirm loading)","INVALID – before valid window"),IF(AG716&gt;Flights!$AA$26,"INVALID – completed after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f>
        <v>OPEN</v>
      </c>
      <c r="AI716" s="61" t="n">
        <f aca="false">IF(OR(AH716="N/A – RULE",AH716="N/A – JUSTIFIED"),0,1)</f>
        <v>1</v>
      </c>
      <c r="AJ716" s="61" t="n">
        <f aca="false">IF(LEFT(AH716,8)="COMPLETE",1,0)</f>
        <v>0</v>
      </c>
      <c r="AK716" s="61" t="n">
        <f aca="false">IF(AND(AI716=1,AJ716=0,AsOfUTC&gt;Q716),1,0)</f>
        <v>0</v>
      </c>
      <c r="AL716" s="61" t="n">
        <f aca="false">IF(AND(AI716=1,OR(TRIM(U716)="Fail",AB716="Open",AND(ISNUMBER(AF716),AF716&lt;&gt;0,TRIM(U716)&lt;&gt;"Pass after CA"))),1,0)</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row>
    <row r="717" customFormat="false" ht="141" hidden="false" customHeight="true" outlineLevel="0" collapsed="false">
      <c r="A717" s="57" t="s">
        <v>1411</v>
      </c>
      <c r="B717" s="57" t="s">
        <v>302</v>
      </c>
      <c r="C717" s="57" t="str">
        <f aca="false">Flights!$F$26</f>
        <v>MH0002</v>
      </c>
      <c r="D717" s="58" t="n">
        <f aca="false">Flights!$D$26</f>
        <v>46325</v>
      </c>
      <c r="E717" s="57" t="str">
        <f aca="false">Flights!$G$26&amp;"-"&amp;Flights!$H$26</f>
        <v>KUL-LHR</v>
      </c>
      <c r="F717" s="57" t="str">
        <f aca="false">Flights!$K$26</f>
        <v>BC</v>
      </c>
      <c r="G717" s="57" t="s">
        <v>383</v>
      </c>
      <c r="H717" s="57" t="s">
        <v>341</v>
      </c>
      <c r="I717" s="57" t="s">
        <v>391</v>
      </c>
      <c r="J717" s="57" t="s">
        <v>398</v>
      </c>
      <c r="K717" s="67" t="s">
        <v>399</v>
      </c>
      <c r="L717" s="67" t="s">
        <v>385</v>
      </c>
      <c r="M717" s="67"/>
      <c r="N717" s="67" t="s">
        <v>346</v>
      </c>
      <c r="O717" s="67" t="s">
        <v>386</v>
      </c>
      <c r="P717" s="57" t="s">
        <v>177</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IF(N717="N/A – rule","N/A – RULE",IF(TRIM(U717)="N/A",IF(AT717=0,"INVALID – N/A not permitted for this mandatory check",IF(AND(TRIM(AC717)&lt;&gt;"",TRIM(AE717)&lt;&gt;"",TRIM(T717)&lt;&gt;""),"N/A – JUSTIFIED","INVALID – N/A needs justification, PIC and verifier")),IF(OR(TRIM(U717)="Pass",TRIM(U717)="Pass after CA"),IF(NOT(ISNUMBER(AD717)),"INVALID – completion time missing",IF(TRIM(T717)="","INVALID – PIC missing",IF(TRIM(Z717)="","INVALID – evidence missing",IF(TRIM(AE717)="","INVALID – verifier missing",IF(AND(AQ717=1,TRIM(W717)=""),"INVALID – batch ID missing",IF(AND(AR717=1,OR(NOT(ISNUMBER(X717)),NOT(ISNUMBER(Y717)))),"INVALID – expected/actual qty missing",IF(IF(AND(TRIM(U717)="Pass",ISNUMBER(AF717)),IF(AF717&lt;&gt;0,"INVALID – qty variance: use Fail or Pass after CA",""),"")&amp;IF(AND(TRIM(U717)="Pass",AB717="Open"),"INVALID – corrective action still open: use Fail, then Pass after CA","")&amp;IF(AND(TRIM(U717)="Pass after CA",OR(TRIM(AA717)="",AB717&lt;&gt;"Closed")),"INVALID – corrective action not recorded/closed","")&lt;&gt;"",IF(AND(TRIM(U717)="Pass",ISNUMBER(AF717)),IF(AF717&lt;&gt;0,"INVALID – qty variance: use Fail or Pass after CA",""),"")&amp;IF(AND(TRIM(U717)="Pass",AB717="Open"),"INVALID – corrective action still open: use Fail, then Pass after CA","")&amp;IF(AND(TRIM(U717)="Pass after CA",OR(TRIM(AA717)="",AB717&lt;&gt;"Closed")),"INVALID – corrective action not recorded/closed",""),IF(AND(AS717=1,Documents!$J$26&lt;&gt;"ON FILE"),"INVALID – GLD not on file (Documents sheet)",IF(AND(AS717=2,Documents!$O$26&lt;&gt;"ON FILE"),"INVALID – menu checklist not on file (Documents sheet)",IF(AND(AS717=3,NOT(ISNUMBER(Flights!$AX$26))),"INVALID – enter carrying flight KUL departure (Flights AX)",IF(AG717&gt;AsOfUTC,"INVALID – completion time is in the future",IF(AND(ISNUMBER(S717),AG717&lt;S717),IF(H717="Physical uplift","INVALID – before uplift window (cannot confirm loading)","INVALID – before valid window"),IF(AG717&gt;Flights!$AA$26,"INVALID – completed after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f>
        <v>OPEN</v>
      </c>
      <c r="AI717" s="61" t="n">
        <f aca="false">IF(OR(AH717="N/A – RULE",AH717="N/A – JUSTIFIED"),0,1)</f>
        <v>1</v>
      </c>
      <c r="AJ717" s="61" t="n">
        <f aca="false">IF(LEFT(AH717,8)="COMPLETE",1,0)</f>
        <v>0</v>
      </c>
      <c r="AK717" s="61" t="n">
        <f aca="false">IF(AND(AI717=1,AJ717=0,AsOfUTC&gt;Q717),1,0)</f>
        <v>0</v>
      </c>
      <c r="AL717" s="61" t="n">
        <f aca="false">IF(AND(AI717=1,OR(TRIM(U717)="Fail",AB717="Open",AND(ISNUMBER(AF717),AF717&lt;&gt;0,TRIM(U717)&lt;&gt;"Pass after CA"))),1,0)</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row>
    <row r="718" customFormat="false" ht="39.75" hidden="false" customHeight="true" outlineLevel="0" collapsed="false">
      <c r="A718" s="57" t="s">
        <v>1412</v>
      </c>
      <c r="B718" s="57" t="s">
        <v>302</v>
      </c>
      <c r="C718" s="57" t="str">
        <f aca="false">Flights!$F$26</f>
        <v>MH0002</v>
      </c>
      <c r="D718" s="58" t="n">
        <f aca="false">Flights!$D$26</f>
        <v>46325</v>
      </c>
      <c r="E718" s="57" t="str">
        <f aca="false">Flights!$G$26&amp;"-"&amp;Flights!$H$26</f>
        <v>KUL-LHR</v>
      </c>
      <c r="F718" s="57" t="str">
        <f aca="false">Flights!$K$26</f>
        <v>BC</v>
      </c>
      <c r="G718" s="57" t="s">
        <v>383</v>
      </c>
      <c r="H718" s="57" t="s">
        <v>341</v>
      </c>
      <c r="I718" s="57" t="s">
        <v>391</v>
      </c>
      <c r="J718" s="57" t="s">
        <v>401</v>
      </c>
      <c r="K718" s="67"/>
      <c r="L718" s="67" t="s">
        <v>385</v>
      </c>
      <c r="M718" s="67"/>
      <c r="N718" s="67" t="s">
        <v>346</v>
      </c>
      <c r="O718" s="67" t="s">
        <v>386</v>
      </c>
      <c r="P718" s="57" t="s">
        <v>177</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IF(N718="N/A – rule","N/A – RULE",IF(TRIM(U718)="N/A",IF(AT718=0,"INVALID – N/A not permitted for this mandatory check",IF(AND(TRIM(AC718)&lt;&gt;"",TRIM(AE718)&lt;&gt;"",TRIM(T718)&lt;&gt;""),"N/A – JUSTIFIED","INVALID – N/A needs justification, PIC and verifier")),IF(OR(TRIM(U718)="Pass",TRIM(U718)="Pass after CA"),IF(NOT(ISNUMBER(AD718)),"INVALID – completion time missing",IF(TRIM(T718)="","INVALID – PIC missing",IF(TRIM(Z718)="","INVALID – evidence missing",IF(TRIM(AE718)="","INVALID – verifier missing",IF(AND(AQ718=1,TRIM(W718)=""),"INVALID – batch ID missing",IF(AND(AR718=1,OR(NOT(ISNUMBER(X718)),NOT(ISNUMBER(Y718)))),"INVALID – expected/actual qty missing",IF(IF(AND(TRIM(U718)="Pass",ISNUMBER(AF718)),IF(AF718&lt;&gt;0,"INVALID – qty variance: use Fail or Pass after CA",""),"")&amp;IF(AND(TRIM(U718)="Pass",AB718="Open"),"INVALID – corrective action still open: use Fail, then Pass after CA","")&amp;IF(AND(TRIM(U718)="Pass after CA",OR(TRIM(AA718)="",AB718&lt;&gt;"Closed")),"INVALID – corrective action not recorded/closed","")&lt;&gt;"",IF(AND(TRIM(U718)="Pass",ISNUMBER(AF718)),IF(AF718&lt;&gt;0,"INVALID – qty variance: use Fail or Pass after CA",""),"")&amp;IF(AND(TRIM(U718)="Pass",AB718="Open"),"INVALID – corrective action still open: use Fail, then Pass after CA","")&amp;IF(AND(TRIM(U718)="Pass after CA",OR(TRIM(AA718)="",AB718&lt;&gt;"Closed")),"INVALID – corrective action not recorded/closed",""),IF(AND(AS718=1,Documents!$J$26&lt;&gt;"ON FILE"),"INVALID – GLD not on file (Documents sheet)",IF(AND(AS718=2,Documents!$O$26&lt;&gt;"ON FILE"),"INVALID – menu checklist not on file (Documents sheet)",IF(AND(AS718=3,NOT(ISNUMBER(Flights!$AX$26))),"INVALID – enter carrying flight KUL departure (Flights AX)",IF(AG718&gt;AsOfUTC,"INVALID – completion time is in the future",IF(AND(ISNUMBER(S718),AG718&lt;S718),IF(H718="Physical uplift","INVALID – before uplift window (cannot confirm loading)","INVALID – before valid window"),IF(AG718&gt;Flights!$AA$26,"INVALID – completed after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f>
        <v>OPEN</v>
      </c>
      <c r="AI718" s="61" t="n">
        <f aca="false">IF(OR(AH718="N/A – RULE",AH718="N/A – JUSTIFIED"),0,1)</f>
        <v>1</v>
      </c>
      <c r="AJ718" s="61" t="n">
        <f aca="false">IF(LEFT(AH718,8)="COMPLETE",1,0)</f>
        <v>0</v>
      </c>
      <c r="AK718" s="61" t="n">
        <f aca="false">IF(AND(AI718=1,AJ718=0,AsOfUTC&gt;Q718),1,0)</f>
        <v>0</v>
      </c>
      <c r="AL718" s="61" t="n">
        <f aca="false">IF(AND(AI718=1,OR(TRIM(U718)="Fail",AB718="Open",AND(ISNUMBER(AF718),AF718&lt;&gt;0,TRIM(U718)&lt;&gt;"Pass after CA"))),1,0)</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row>
    <row r="719" customFormat="false" ht="91.5" hidden="false" customHeight="true" outlineLevel="0" collapsed="false">
      <c r="A719" s="57" t="s">
        <v>1413</v>
      </c>
      <c r="B719" s="57" t="s">
        <v>302</v>
      </c>
      <c r="C719" s="57" t="str">
        <f aca="false">Flights!$F$26</f>
        <v>MH0002</v>
      </c>
      <c r="D719" s="58" t="n">
        <f aca="false">Flights!$D$26</f>
        <v>46325</v>
      </c>
      <c r="E719" s="57" t="str">
        <f aca="false">Flights!$G$26&amp;"-"&amp;Flights!$H$26</f>
        <v>KUL-LHR</v>
      </c>
      <c r="F719" s="57" t="str">
        <f aca="false">Flights!$K$26</f>
        <v>BC</v>
      </c>
      <c r="G719" s="57" t="s">
        <v>383</v>
      </c>
      <c r="H719" s="57" t="s">
        <v>341</v>
      </c>
      <c r="I719" s="57" t="s">
        <v>403</v>
      </c>
      <c r="J719" s="57" t="s">
        <v>404</v>
      </c>
      <c r="K719" s="67" t="s">
        <v>464</v>
      </c>
      <c r="L719" s="67" t="s">
        <v>406</v>
      </c>
      <c r="M719" s="67" t="s">
        <v>689</v>
      </c>
      <c r="N719" s="67" t="s">
        <v>407</v>
      </c>
      <c r="O719" s="67" t="s">
        <v>690</v>
      </c>
      <c r="P719" s="57" t="s">
        <v>177</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IF(N719="N/A – rule","N/A – RULE",IF(TRIM(U719)="N/A",IF(AT719=0,"INVALID – N/A not permitted for this mandatory check",IF(AND(TRIM(AC719)&lt;&gt;"",TRIM(AE719)&lt;&gt;"",TRIM(T719)&lt;&gt;""),"N/A – JUSTIFIED","INVALID – N/A needs justification, PIC and verifier")),IF(OR(TRIM(U719)="Pass",TRIM(U719)="Pass after CA"),IF(NOT(ISNUMBER(AD719)),"INVALID – completion time missing",IF(TRIM(T719)="","INVALID – PIC missing",IF(TRIM(Z719)="","INVALID – evidence missing",IF(TRIM(AE719)="","INVALID – verifier missing",IF(AND(AQ719=1,TRIM(W719)=""),"INVALID – batch ID missing",IF(AND(AR719=1,OR(NOT(ISNUMBER(X719)),NOT(ISNUMBER(Y719)))),"INVALID – expected/actual qty missing",IF(IF(AND(TRIM(U719)="Pass",ISNUMBER(AF719)),IF(AF719&lt;&gt;0,"INVALID – qty variance: use Fail or Pass after CA",""),"")&amp;IF(AND(TRIM(U719)="Pass",AB719="Open"),"INVALID – corrective action still open: use Fail, then Pass after CA","")&amp;IF(AND(TRIM(U719)="Pass after CA",OR(TRIM(AA719)="",AB719&lt;&gt;"Closed")),"INVALID – corrective action not recorded/closed","")&lt;&gt;"",IF(AND(TRIM(U719)="Pass",ISNUMBER(AF719)),IF(AF719&lt;&gt;0,"INVALID – qty variance: use Fail or Pass after CA",""),"")&amp;IF(AND(TRIM(U719)="Pass",AB719="Open"),"INVALID – corrective action still open: use Fail, then Pass after CA","")&amp;IF(AND(TRIM(U719)="Pass after CA",OR(TRIM(AA719)="",AB719&lt;&gt;"Closed")),"INVALID – corrective action not recorded/closed",""),IF(AND(AS719=1,Documents!$J$26&lt;&gt;"ON FILE"),"INVALID – GLD not on file (Documents sheet)",IF(AND(AS719=2,Documents!$O$26&lt;&gt;"ON FILE"),"INVALID – menu checklist not on file (Documents sheet)",IF(AND(AS719=3,NOT(ISNUMBER(Flights!$AX$26))),"INVALID – enter carrying flight KUL departure (Flights AX)",IF(AG719&gt;AsOfUTC,"INVALID – completion time is in the future",IF(AND(ISNUMBER(S719),AG719&lt;S719),IF(H719="Physical uplift","INVALID – before uplift window (cannot confirm loading)","INVALID – before valid window"),IF(AG719&gt;Flights!$AA$26,"INVALID – completed after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f>
        <v>OPEN – CLARIFICATION</v>
      </c>
      <c r="AI719" s="61" t="n">
        <f aca="false">IF(OR(AH719="N/A – RULE",AH719="N/A – JUSTIFIED"),0,1)</f>
        <v>1</v>
      </c>
      <c r="AJ719" s="61" t="n">
        <f aca="false">IF(LEFT(AH719,8)="COMPLETE",1,0)</f>
        <v>0</v>
      </c>
      <c r="AK719" s="61" t="n">
        <f aca="false">IF(AND(AI719=1,AJ719=0,AsOfUTC&gt;Q719),1,0)</f>
        <v>0</v>
      </c>
      <c r="AL719" s="61" t="n">
        <f aca="false">IF(AND(AI719=1,OR(TRIM(U719)="Fail",AB719="Open",AND(ISNUMBER(AF719),AF719&lt;&gt;0,TRIM(U719)&lt;&gt;"Pass after CA"))),1,0)</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row>
    <row r="720" customFormat="false" ht="39.75" hidden="false" customHeight="true" outlineLevel="0" collapsed="false">
      <c r="A720" s="57" t="s">
        <v>1414</v>
      </c>
      <c r="B720" s="57" t="s">
        <v>302</v>
      </c>
      <c r="C720" s="57" t="str">
        <f aca="false">Flights!$F$26</f>
        <v>MH0002</v>
      </c>
      <c r="D720" s="58" t="n">
        <f aca="false">Flights!$D$26</f>
        <v>46325</v>
      </c>
      <c r="E720" s="57" t="str">
        <f aca="false">Flights!$G$26&amp;"-"&amp;Flights!$H$26</f>
        <v>KUL-LHR</v>
      </c>
      <c r="F720" s="57" t="str">
        <f aca="false">Flights!$K$26</f>
        <v>BC</v>
      </c>
      <c r="G720" s="57" t="s">
        <v>383</v>
      </c>
      <c r="H720" s="57" t="s">
        <v>341</v>
      </c>
      <c r="I720" s="57" t="s">
        <v>403</v>
      </c>
      <c r="J720" s="57" t="s">
        <v>692</v>
      </c>
      <c r="K720" s="67" t="s">
        <v>693</v>
      </c>
      <c r="L720" s="67" t="s">
        <v>694</v>
      </c>
      <c r="M720" s="67" t="s">
        <v>177</v>
      </c>
      <c r="N720" s="67" t="s">
        <v>346</v>
      </c>
      <c r="O720" s="67" t="s">
        <v>695</v>
      </c>
      <c r="P720" s="57" t="s">
        <v>177</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IF(N720="N/A – rule","N/A – RULE",IF(TRIM(U720)="N/A",IF(AT720=0,"INVALID – N/A not permitted for this mandatory check",IF(AND(TRIM(AC720)&lt;&gt;"",TRIM(AE720)&lt;&gt;"",TRIM(T720)&lt;&gt;""),"N/A – JUSTIFIED","INVALID – N/A needs justification, PIC and verifier")),IF(OR(TRIM(U720)="Pass",TRIM(U720)="Pass after CA"),IF(NOT(ISNUMBER(AD720)),"INVALID – completion time missing",IF(TRIM(T720)="","INVALID – PIC missing",IF(TRIM(Z720)="","INVALID – evidence missing",IF(TRIM(AE720)="","INVALID – verifier missing",IF(AND(AQ720=1,TRIM(W720)=""),"INVALID – batch ID missing",IF(AND(AR720=1,OR(NOT(ISNUMBER(X720)),NOT(ISNUMBER(Y720)))),"INVALID – expected/actual qty missing",IF(IF(AND(TRIM(U720)="Pass",ISNUMBER(AF720)),IF(AF720&lt;&gt;0,"INVALID – qty variance: use Fail or Pass after CA",""),"")&amp;IF(AND(TRIM(U720)="Pass",AB720="Open"),"INVALID – corrective action still open: use Fail, then Pass after CA","")&amp;IF(AND(TRIM(U720)="Pass after CA",OR(TRIM(AA720)="",AB720&lt;&gt;"Closed")),"INVALID – corrective action not recorded/closed","")&lt;&gt;"",IF(AND(TRIM(U720)="Pass",ISNUMBER(AF720)),IF(AF720&lt;&gt;0,"INVALID – qty variance: use Fail or Pass after CA",""),"")&amp;IF(AND(TRIM(U720)="Pass",AB720="Open"),"INVALID – corrective action still open: use Fail, then Pass after CA","")&amp;IF(AND(TRIM(U720)="Pass after CA",OR(TRIM(AA720)="",AB720&lt;&gt;"Closed")),"INVALID – corrective action not recorded/closed",""),IF(AND(AS720=1,Documents!$J$26&lt;&gt;"ON FILE"),"INVALID – GLD not on file (Documents sheet)",IF(AND(AS720=2,Documents!$O$26&lt;&gt;"ON FILE"),"INVALID – menu checklist not on file (Documents sheet)",IF(AND(AS720=3,NOT(ISNUMBER(Flights!$AX$26))),"INVALID – enter carrying flight KUL departure (Flights AX)",IF(AG720&gt;AsOfUTC,"INVALID – completion time is in the future",IF(AND(ISNUMBER(S720),AG720&lt;S720),IF(H720="Physical uplift","INVALID – before uplift window (cannot confirm loading)","INVALID – before valid window"),IF(AG720&gt;Flights!$AA$26,"INVALID – completed after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f>
        <v>OPEN</v>
      </c>
      <c r="AI720" s="61" t="n">
        <f aca="false">IF(OR(AH720="N/A – RULE",AH720="N/A – JUSTIFIED"),0,1)</f>
        <v>1</v>
      </c>
      <c r="AJ720" s="61" t="n">
        <f aca="false">IF(LEFT(AH720,8)="COMPLETE",1,0)</f>
        <v>0</v>
      </c>
      <c r="AK720" s="61" t="n">
        <f aca="false">IF(AND(AI720=1,AJ720=0,AsOfUTC&gt;Q720),1,0)</f>
        <v>0</v>
      </c>
      <c r="AL720" s="61" t="n">
        <f aca="false">IF(AND(AI720=1,OR(TRIM(U720)="Fail",AB720="Open",AND(ISNUMBER(AF720),AF720&lt;&gt;0,TRIM(U720)&lt;&gt;"Pass after CA"))),1,0)</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1</v>
      </c>
    </row>
    <row r="721" customFormat="false" ht="39.75" hidden="false" customHeight="true" outlineLevel="0" collapsed="false">
      <c r="A721" s="57" t="s">
        <v>1415</v>
      </c>
      <c r="B721" s="57" t="s">
        <v>302</v>
      </c>
      <c r="C721" s="57" t="str">
        <f aca="false">Flights!$F$26</f>
        <v>MH0002</v>
      </c>
      <c r="D721" s="58" t="n">
        <f aca="false">Flights!$D$26</f>
        <v>46325</v>
      </c>
      <c r="E721" s="57" t="str">
        <f aca="false">Flights!$G$26&amp;"-"&amp;Flights!$H$26</f>
        <v>KUL-LHR</v>
      </c>
      <c r="F721" s="57" t="str">
        <f aca="false">Flights!$K$26</f>
        <v>BC</v>
      </c>
      <c r="G721" s="57" t="s">
        <v>383</v>
      </c>
      <c r="H721" s="57" t="s">
        <v>341</v>
      </c>
      <c r="I721" s="57" t="s">
        <v>403</v>
      </c>
      <c r="J721" s="57" t="s">
        <v>566</v>
      </c>
      <c r="K721" s="67" t="s">
        <v>464</v>
      </c>
      <c r="L721" s="67" t="s">
        <v>697</v>
      </c>
      <c r="M721" s="67" t="s">
        <v>177</v>
      </c>
      <c r="N721" s="67" t="s">
        <v>346</v>
      </c>
      <c r="O721" s="67"/>
      <c r="P721" s="57" t="s">
        <v>177</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IF(N721="N/A – rule","N/A – RULE",IF(TRIM(U721)="N/A",IF(AT721=0,"INVALID – N/A not permitted for this mandatory check",IF(AND(TRIM(AC721)&lt;&gt;"",TRIM(AE721)&lt;&gt;"",TRIM(T721)&lt;&gt;""),"N/A – JUSTIFIED","INVALID – N/A needs justification, PIC and verifier")),IF(OR(TRIM(U721)="Pass",TRIM(U721)="Pass after CA"),IF(NOT(ISNUMBER(AD721)),"INVALID – completion time missing",IF(TRIM(T721)="","INVALID – PIC missing",IF(TRIM(Z721)="","INVALID – evidence missing",IF(TRIM(AE721)="","INVALID – verifier missing",IF(AND(AQ721=1,TRIM(W721)=""),"INVALID – batch ID missing",IF(AND(AR721=1,OR(NOT(ISNUMBER(X721)),NOT(ISNUMBER(Y721)))),"INVALID – expected/actual qty missing",IF(IF(AND(TRIM(U721)="Pass",ISNUMBER(AF721)),IF(AF721&lt;&gt;0,"INVALID – qty variance: use Fail or Pass after CA",""),"")&amp;IF(AND(TRIM(U721)="Pass",AB721="Open"),"INVALID – corrective action still open: use Fail, then Pass after CA","")&amp;IF(AND(TRIM(U721)="Pass after CA",OR(TRIM(AA721)="",AB721&lt;&gt;"Closed")),"INVALID – corrective action not recorded/closed","")&lt;&gt;"",IF(AND(TRIM(U721)="Pass",ISNUMBER(AF721)),IF(AF721&lt;&gt;0,"INVALID – qty variance: use Fail or Pass after CA",""),"")&amp;IF(AND(TRIM(U721)="Pass",AB721="Open"),"INVALID – corrective action still open: use Fail, then Pass after CA","")&amp;IF(AND(TRIM(U721)="Pass after CA",OR(TRIM(AA721)="",AB721&lt;&gt;"Closed")),"INVALID – corrective action not recorded/closed",""),IF(AND(AS721=1,Documents!$J$26&lt;&gt;"ON FILE"),"INVALID – GLD not on file (Documents sheet)",IF(AND(AS721=2,Documents!$O$26&lt;&gt;"ON FILE"),"INVALID – menu checklist not on file (Documents sheet)",IF(AND(AS721=3,NOT(ISNUMBER(Flights!$AX$26))),"INVALID – enter carrying flight KUL departure (Flights AX)",IF(AG721&gt;AsOfUTC,"INVALID – completion time is in the future",IF(AND(ISNUMBER(S721),AG721&lt;S721),IF(H721="Physical uplift","INVALID – before uplift window (cannot confirm loading)","INVALID – before valid window"),IF(AG721&gt;Flights!$AA$26,"INVALID – completed after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f>
        <v>OPEN</v>
      </c>
      <c r="AI721" s="61" t="n">
        <f aca="false">IF(OR(AH721="N/A – RULE",AH721="N/A – JUSTIFIED"),0,1)</f>
        <v>1</v>
      </c>
      <c r="AJ721" s="61" t="n">
        <f aca="false">IF(LEFT(AH721,8)="COMPLETE",1,0)</f>
        <v>0</v>
      </c>
      <c r="AK721" s="61" t="n">
        <f aca="false">IF(AND(AI721=1,AJ721=0,AsOfUTC&gt;Q721),1,0)</f>
        <v>0</v>
      </c>
      <c r="AL721" s="61" t="n">
        <f aca="false">IF(AND(AI721=1,OR(TRIM(U721)="Fail",AB721="Open",AND(ISNUMBER(AF721),AF721&lt;&gt;0,TRIM(U721)&lt;&gt;"Pass after CA"))),1,0)</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1</v>
      </c>
    </row>
    <row r="722" customFormat="false" ht="41.25" hidden="false" customHeight="true" outlineLevel="0" collapsed="false">
      <c r="A722" s="57" t="s">
        <v>1416</v>
      </c>
      <c r="B722" s="57" t="s">
        <v>302</v>
      </c>
      <c r="C722" s="57" t="str">
        <f aca="false">Flights!$F$26</f>
        <v>MH0002</v>
      </c>
      <c r="D722" s="58" t="n">
        <f aca="false">Flights!$D$26</f>
        <v>46325</v>
      </c>
      <c r="E722" s="57" t="str">
        <f aca="false">Flights!$G$26&amp;"-"&amp;Flights!$H$26</f>
        <v>KUL-LHR</v>
      </c>
      <c r="F722" s="57" t="str">
        <f aca="false">Flights!$K$26</f>
        <v>BC</v>
      </c>
      <c r="G722" s="57" t="s">
        <v>383</v>
      </c>
      <c r="H722" s="57" t="s">
        <v>341</v>
      </c>
      <c r="I722" s="57" t="s">
        <v>462</v>
      </c>
      <c r="J722" s="57" t="s">
        <v>463</v>
      </c>
      <c r="K722" s="67" t="s">
        <v>464</v>
      </c>
      <c r="L722" s="67" t="s">
        <v>699</v>
      </c>
      <c r="M722" s="67" t="s">
        <v>414</v>
      </c>
      <c r="N722" s="67" t="s">
        <v>346</v>
      </c>
      <c r="O722" s="67" t="s">
        <v>466</v>
      </c>
      <c r="P722" s="57" t="s">
        <v>177</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IF(N722="N/A – rule","N/A – RULE",IF(TRIM(U722)="N/A",IF(AT722=0,"INVALID – N/A not permitted for this mandatory check",IF(AND(TRIM(AC722)&lt;&gt;"",TRIM(AE722)&lt;&gt;"",TRIM(T722)&lt;&gt;""),"N/A – JUSTIFIED","INVALID – N/A needs justification, PIC and verifier")),IF(OR(TRIM(U722)="Pass",TRIM(U722)="Pass after CA"),IF(NOT(ISNUMBER(AD722)),"INVALID – completion time missing",IF(TRIM(T722)="","INVALID – PIC missing",IF(TRIM(Z722)="","INVALID – evidence missing",IF(TRIM(AE722)="","INVALID – verifier missing",IF(AND(AQ722=1,TRIM(W722)=""),"INVALID – batch ID missing",IF(AND(AR722=1,OR(NOT(ISNUMBER(X722)),NOT(ISNUMBER(Y722)))),"INVALID – expected/actual qty missing",IF(IF(AND(TRIM(U722)="Pass",ISNUMBER(AF722)),IF(AF722&lt;&gt;0,"INVALID – qty variance: use Fail or Pass after CA",""),"")&amp;IF(AND(TRIM(U722)="Pass",AB722="Open"),"INVALID – corrective action still open: use Fail, then Pass after CA","")&amp;IF(AND(TRIM(U722)="Pass after CA",OR(TRIM(AA722)="",AB722&lt;&gt;"Closed")),"INVALID – corrective action not recorded/closed","")&lt;&gt;"",IF(AND(TRIM(U722)="Pass",ISNUMBER(AF722)),IF(AF722&lt;&gt;0,"INVALID – qty variance: use Fail or Pass after CA",""),"")&amp;IF(AND(TRIM(U722)="Pass",AB722="Open"),"INVALID – corrective action still open: use Fail, then Pass after CA","")&amp;IF(AND(TRIM(U722)="Pass after CA",OR(TRIM(AA722)="",AB722&lt;&gt;"Closed")),"INVALID – corrective action not recorded/closed",""),IF(AND(AS722=1,Documents!$J$26&lt;&gt;"ON FILE"),"INVALID – GLD not on file (Documents sheet)",IF(AND(AS722=2,Documents!$O$26&lt;&gt;"ON FILE"),"INVALID – menu checklist not on file (Documents sheet)",IF(AND(AS722=3,NOT(ISNUMBER(Flights!$AX$26))),"INVALID – enter carrying flight KUL departure (Flights AX)",IF(AG722&gt;AsOfUTC,"INVALID – completion time is in the future",IF(AND(ISNUMBER(S722),AG722&lt;S722),IF(H722="Physical uplift","INVALID – before uplift window (cannot confirm loading)","INVALID – before valid window"),IF(AG722&gt;Flights!$AA$26,"INVALID – completed after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f>
        <v>OPEN</v>
      </c>
      <c r="AI722" s="61" t="n">
        <f aca="false">IF(OR(AH722="N/A – RULE",AH722="N/A – JUSTIFIED"),0,1)</f>
        <v>1</v>
      </c>
      <c r="AJ722" s="61" t="n">
        <f aca="false">IF(LEFT(AH722,8)="COMPLETE",1,0)</f>
        <v>0</v>
      </c>
      <c r="AK722" s="61" t="n">
        <f aca="false">IF(AND(AI722=1,AJ722=0,AsOfUTC&gt;Q722),1,0)</f>
        <v>0</v>
      </c>
      <c r="AL722" s="61" t="n">
        <f aca="false">IF(AND(AI722=1,OR(TRIM(U722)="Fail",AB722="Open",AND(ISNUMBER(AF722),AF722&lt;&gt;0,TRIM(U722)&lt;&gt;"Pass after CA"))),1,0)</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1</v>
      </c>
    </row>
    <row r="723" customFormat="false" ht="41.25" hidden="false" customHeight="true" outlineLevel="0" collapsed="false">
      <c r="A723" s="57" t="s">
        <v>1417</v>
      </c>
      <c r="B723" s="57" t="s">
        <v>302</v>
      </c>
      <c r="C723" s="57" t="str">
        <f aca="false">Flights!$F$26</f>
        <v>MH0002</v>
      </c>
      <c r="D723" s="58" t="n">
        <f aca="false">Flights!$D$26</f>
        <v>46325</v>
      </c>
      <c r="E723" s="57" t="str">
        <f aca="false">Flights!$G$26&amp;"-"&amp;Flights!$H$26</f>
        <v>KUL-LHR</v>
      </c>
      <c r="F723" s="57" t="str">
        <f aca="false">Flights!$K$26</f>
        <v>BC</v>
      </c>
      <c r="G723" s="57" t="s">
        <v>383</v>
      </c>
      <c r="H723" s="57" t="s">
        <v>341</v>
      </c>
      <c r="I723" s="57" t="s">
        <v>462</v>
      </c>
      <c r="J723" s="57" t="s">
        <v>468</v>
      </c>
      <c r="K723" s="67" t="s">
        <v>464</v>
      </c>
      <c r="L723" s="67" t="s">
        <v>701</v>
      </c>
      <c r="M723" s="67" t="s">
        <v>414</v>
      </c>
      <c r="N723" s="67" t="s">
        <v>346</v>
      </c>
      <c r="O723" s="67" t="s">
        <v>466</v>
      </c>
      <c r="P723" s="57" t="s">
        <v>177</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IF(N723="N/A – rule","N/A – RULE",IF(TRIM(U723)="N/A",IF(AT723=0,"INVALID – N/A not permitted for this mandatory check",IF(AND(TRIM(AC723)&lt;&gt;"",TRIM(AE723)&lt;&gt;"",TRIM(T723)&lt;&gt;""),"N/A – JUSTIFIED","INVALID – N/A needs justification, PIC and verifier")),IF(OR(TRIM(U723)="Pass",TRIM(U723)="Pass after CA"),IF(NOT(ISNUMBER(AD723)),"INVALID – completion time missing",IF(TRIM(T723)="","INVALID – PIC missing",IF(TRIM(Z723)="","INVALID – evidence missing",IF(TRIM(AE723)="","INVALID – verifier missing",IF(AND(AQ723=1,TRIM(W723)=""),"INVALID – batch ID missing",IF(AND(AR723=1,OR(NOT(ISNUMBER(X723)),NOT(ISNUMBER(Y723)))),"INVALID – expected/actual qty missing",IF(IF(AND(TRIM(U723)="Pass",ISNUMBER(AF723)),IF(AF723&lt;&gt;0,"INVALID – qty variance: use Fail or Pass after CA",""),"")&amp;IF(AND(TRIM(U723)="Pass",AB723="Open"),"INVALID – corrective action still open: use Fail, then Pass after CA","")&amp;IF(AND(TRIM(U723)="Pass after CA",OR(TRIM(AA723)="",AB723&lt;&gt;"Closed")),"INVALID – corrective action not recorded/closed","")&lt;&gt;"",IF(AND(TRIM(U723)="Pass",ISNUMBER(AF723)),IF(AF723&lt;&gt;0,"INVALID – qty variance: use Fail or Pass after CA",""),"")&amp;IF(AND(TRIM(U723)="Pass",AB723="Open"),"INVALID – corrective action still open: use Fail, then Pass after CA","")&amp;IF(AND(TRIM(U723)="Pass after CA",OR(TRIM(AA723)="",AB723&lt;&gt;"Closed")),"INVALID – corrective action not recorded/closed",""),IF(AND(AS723=1,Documents!$J$26&lt;&gt;"ON FILE"),"INVALID – GLD not on file (Documents sheet)",IF(AND(AS723=2,Documents!$O$26&lt;&gt;"ON FILE"),"INVALID – menu checklist not on file (Documents sheet)",IF(AND(AS723=3,NOT(ISNUMBER(Flights!$AX$26))),"INVALID – enter carrying flight KUL departure (Flights AX)",IF(AG723&gt;AsOfUTC,"INVALID – completion time is in the future",IF(AND(ISNUMBER(S723),AG723&lt;S723),IF(H723="Physical uplift","INVALID – before uplift window (cannot confirm loading)","INVALID – before valid window"),IF(AG723&gt;Flights!$AA$26,"INVALID – completed after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f>
        <v>OPEN</v>
      </c>
      <c r="AI723" s="61" t="n">
        <f aca="false">IF(OR(AH723="N/A – RULE",AH723="N/A – JUSTIFIED"),0,1)</f>
        <v>1</v>
      </c>
      <c r="AJ723" s="61" t="n">
        <f aca="false">IF(LEFT(AH723,8)="COMPLETE",1,0)</f>
        <v>0</v>
      </c>
      <c r="AK723" s="61" t="n">
        <f aca="false">IF(AND(AI723=1,AJ723=0,AsOfUTC&gt;Q723),1,0)</f>
        <v>0</v>
      </c>
      <c r="AL723" s="61" t="n">
        <f aca="false">IF(AND(AI723=1,OR(TRIM(U723)="Fail",AB723="Open",AND(ISNUMBER(AF723),AF723&lt;&gt;0,TRIM(U723)&lt;&gt;"Pass after CA"))),1,0)</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1</v>
      </c>
    </row>
    <row r="724" customFormat="false" ht="41.25" hidden="false" customHeight="true" outlineLevel="0" collapsed="false">
      <c r="A724" s="57" t="s">
        <v>1418</v>
      </c>
      <c r="B724" s="57" t="s">
        <v>302</v>
      </c>
      <c r="C724" s="57" t="str">
        <f aca="false">Flights!$F$26</f>
        <v>MH0002</v>
      </c>
      <c r="D724" s="58" t="n">
        <f aca="false">Flights!$D$26</f>
        <v>46325</v>
      </c>
      <c r="E724" s="57" t="str">
        <f aca="false">Flights!$G$26&amp;"-"&amp;Flights!$H$26</f>
        <v>KUL-LHR</v>
      </c>
      <c r="F724" s="57" t="str">
        <f aca="false">Flights!$K$26</f>
        <v>BC</v>
      </c>
      <c r="G724" s="57" t="s">
        <v>383</v>
      </c>
      <c r="H724" s="57" t="s">
        <v>341</v>
      </c>
      <c r="I724" s="57" t="s">
        <v>462</v>
      </c>
      <c r="J724" s="57" t="s">
        <v>471</v>
      </c>
      <c r="K724" s="67" t="s">
        <v>464</v>
      </c>
      <c r="L724" s="67" t="s">
        <v>703</v>
      </c>
      <c r="M724" s="67" t="s">
        <v>414</v>
      </c>
      <c r="N724" s="67" t="s">
        <v>346</v>
      </c>
      <c r="O724" s="67" t="s">
        <v>466</v>
      </c>
      <c r="P724" s="57" t="s">
        <v>177</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IF(N724="N/A – rule","N/A – RULE",IF(TRIM(U724)="N/A",IF(AT724=0,"INVALID – N/A not permitted for this mandatory check",IF(AND(TRIM(AC724)&lt;&gt;"",TRIM(AE724)&lt;&gt;"",TRIM(T724)&lt;&gt;""),"N/A – JUSTIFIED","INVALID – N/A needs justification, PIC and verifier")),IF(OR(TRIM(U724)="Pass",TRIM(U724)="Pass after CA"),IF(NOT(ISNUMBER(AD724)),"INVALID – completion time missing",IF(TRIM(T724)="","INVALID – PIC missing",IF(TRIM(Z724)="","INVALID – evidence missing",IF(TRIM(AE724)="","INVALID – verifier missing",IF(AND(AQ724=1,TRIM(W724)=""),"INVALID – batch ID missing",IF(AND(AR724=1,OR(NOT(ISNUMBER(X724)),NOT(ISNUMBER(Y724)))),"INVALID – expected/actual qty missing",IF(IF(AND(TRIM(U724)="Pass",ISNUMBER(AF724)),IF(AF724&lt;&gt;0,"INVALID – qty variance: use Fail or Pass after CA",""),"")&amp;IF(AND(TRIM(U724)="Pass",AB724="Open"),"INVALID – corrective action still open: use Fail, then Pass after CA","")&amp;IF(AND(TRIM(U724)="Pass after CA",OR(TRIM(AA724)="",AB724&lt;&gt;"Closed")),"INVALID – corrective action not recorded/closed","")&lt;&gt;"",IF(AND(TRIM(U724)="Pass",ISNUMBER(AF724)),IF(AF724&lt;&gt;0,"INVALID – qty variance: use Fail or Pass after CA",""),"")&amp;IF(AND(TRIM(U724)="Pass",AB724="Open"),"INVALID – corrective action still open: use Fail, then Pass after CA","")&amp;IF(AND(TRIM(U724)="Pass after CA",OR(TRIM(AA724)="",AB724&lt;&gt;"Closed")),"INVALID – corrective action not recorded/closed",""),IF(AND(AS724=1,Documents!$J$26&lt;&gt;"ON FILE"),"INVALID – GLD not on file (Documents sheet)",IF(AND(AS724=2,Documents!$O$26&lt;&gt;"ON FILE"),"INVALID – menu checklist not on file (Documents sheet)",IF(AND(AS724=3,NOT(ISNUMBER(Flights!$AX$26))),"INVALID – enter carrying flight KUL departure (Flights AX)",IF(AG724&gt;AsOfUTC,"INVALID – completion time is in the future",IF(AND(ISNUMBER(S724),AG724&lt;S724),IF(H724="Physical uplift","INVALID – before uplift window (cannot confirm loading)","INVALID – before valid window"),IF(AG724&gt;Flights!$AA$26,"INVALID – completed after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f>
        <v>OPEN</v>
      </c>
      <c r="AI724" s="61" t="n">
        <f aca="false">IF(OR(AH724="N/A – RULE",AH724="N/A – JUSTIFIED"),0,1)</f>
        <v>1</v>
      </c>
      <c r="AJ724" s="61" t="n">
        <f aca="false">IF(LEFT(AH724,8)="COMPLETE",1,0)</f>
        <v>0</v>
      </c>
      <c r="AK724" s="61" t="n">
        <f aca="false">IF(AND(AI724=1,AJ724=0,AsOfUTC&gt;Q724),1,0)</f>
        <v>0</v>
      </c>
      <c r="AL724" s="61" t="n">
        <f aca="false">IF(AND(AI724=1,OR(TRIM(U724)="Fail",AB724="Open",AND(ISNUMBER(AF724),AF724&lt;&gt;0,TRIM(U724)&lt;&gt;"Pass after CA"))),1,0)</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1</v>
      </c>
    </row>
    <row r="725" customFormat="false" ht="41.25" hidden="false" customHeight="true" outlineLevel="0" collapsed="false">
      <c r="A725" s="57" t="s">
        <v>1419</v>
      </c>
      <c r="B725" s="57" t="s">
        <v>302</v>
      </c>
      <c r="C725" s="57" t="str">
        <f aca="false">Flights!$F$26</f>
        <v>MH0002</v>
      </c>
      <c r="D725" s="58" t="n">
        <f aca="false">Flights!$D$26</f>
        <v>46325</v>
      </c>
      <c r="E725" s="57" t="str">
        <f aca="false">Flights!$G$26&amp;"-"&amp;Flights!$H$26</f>
        <v>KUL-LHR</v>
      </c>
      <c r="F725" s="57" t="str">
        <f aca="false">Flights!$K$26</f>
        <v>BC</v>
      </c>
      <c r="G725" s="57" t="s">
        <v>383</v>
      </c>
      <c r="H725" s="57" t="s">
        <v>341</v>
      </c>
      <c r="I725" s="57" t="s">
        <v>462</v>
      </c>
      <c r="J725" s="57" t="s">
        <v>474</v>
      </c>
      <c r="K725" s="67" t="s">
        <v>464</v>
      </c>
      <c r="L725" s="67" t="s">
        <v>705</v>
      </c>
      <c r="M725" s="67" t="s">
        <v>414</v>
      </c>
      <c r="N725" s="67" t="s">
        <v>346</v>
      </c>
      <c r="O725" s="67" t="s">
        <v>466</v>
      </c>
      <c r="P725" s="57" t="s">
        <v>177</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IF(N725="N/A – rule","N/A – RULE",IF(TRIM(U725)="N/A",IF(AT725=0,"INVALID – N/A not permitted for this mandatory check",IF(AND(TRIM(AC725)&lt;&gt;"",TRIM(AE725)&lt;&gt;"",TRIM(T725)&lt;&gt;""),"N/A – JUSTIFIED","INVALID – N/A needs justification, PIC and verifier")),IF(OR(TRIM(U725)="Pass",TRIM(U725)="Pass after CA"),IF(NOT(ISNUMBER(AD725)),"INVALID – completion time missing",IF(TRIM(T725)="","INVALID – PIC missing",IF(TRIM(Z725)="","INVALID – evidence missing",IF(TRIM(AE725)="","INVALID – verifier missing",IF(AND(AQ725=1,TRIM(W725)=""),"INVALID – batch ID missing",IF(AND(AR725=1,OR(NOT(ISNUMBER(X725)),NOT(ISNUMBER(Y725)))),"INVALID – expected/actual qty missing",IF(IF(AND(TRIM(U725)="Pass",ISNUMBER(AF725)),IF(AF725&lt;&gt;0,"INVALID – qty variance: use Fail or Pass after CA",""),"")&amp;IF(AND(TRIM(U725)="Pass",AB725="Open"),"INVALID – corrective action still open: use Fail, then Pass after CA","")&amp;IF(AND(TRIM(U725)="Pass after CA",OR(TRIM(AA725)="",AB725&lt;&gt;"Closed")),"INVALID – corrective action not recorded/closed","")&lt;&gt;"",IF(AND(TRIM(U725)="Pass",ISNUMBER(AF725)),IF(AF725&lt;&gt;0,"INVALID – qty variance: use Fail or Pass after CA",""),"")&amp;IF(AND(TRIM(U725)="Pass",AB725="Open"),"INVALID – corrective action still open: use Fail, then Pass after CA","")&amp;IF(AND(TRIM(U725)="Pass after CA",OR(TRIM(AA725)="",AB725&lt;&gt;"Closed")),"INVALID – corrective action not recorded/closed",""),IF(AND(AS725=1,Documents!$J$26&lt;&gt;"ON FILE"),"INVALID – GLD not on file (Documents sheet)",IF(AND(AS725=2,Documents!$O$26&lt;&gt;"ON FILE"),"INVALID – menu checklist not on file (Documents sheet)",IF(AND(AS725=3,NOT(ISNUMBER(Flights!$AX$26))),"INVALID – enter carrying flight KUL departure (Flights AX)",IF(AG725&gt;AsOfUTC,"INVALID – completion time is in the future",IF(AND(ISNUMBER(S725),AG725&lt;S725),IF(H725="Physical uplift","INVALID – before uplift window (cannot confirm loading)","INVALID – before valid window"),IF(AG725&gt;Flights!$AA$26,"INVALID – completed after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f>
        <v>OPEN</v>
      </c>
      <c r="AI725" s="61" t="n">
        <f aca="false">IF(OR(AH725="N/A – RULE",AH725="N/A – JUSTIFIED"),0,1)</f>
        <v>1</v>
      </c>
      <c r="AJ725" s="61" t="n">
        <f aca="false">IF(LEFT(AH725,8)="COMPLETE",1,0)</f>
        <v>0</v>
      </c>
      <c r="AK725" s="61" t="n">
        <f aca="false">IF(AND(AI725=1,AJ725=0,AsOfUTC&gt;Q725),1,0)</f>
        <v>0</v>
      </c>
      <c r="AL725" s="61" t="n">
        <f aca="false">IF(AND(AI725=1,OR(TRIM(U725)="Fail",AB725="Open",AND(ISNUMBER(AF725),AF725&lt;&gt;0,TRIM(U725)&lt;&gt;"Pass after CA"))),1,0)</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1</v>
      </c>
    </row>
    <row r="726" customFormat="false" ht="41.25" hidden="false" customHeight="true" outlineLevel="0" collapsed="false">
      <c r="A726" s="57" t="s">
        <v>1420</v>
      </c>
      <c r="B726" s="57" t="s">
        <v>302</v>
      </c>
      <c r="C726" s="57" t="str">
        <f aca="false">Flights!$F$26</f>
        <v>MH0002</v>
      </c>
      <c r="D726" s="58" t="n">
        <f aca="false">Flights!$D$26</f>
        <v>46325</v>
      </c>
      <c r="E726" s="57" t="str">
        <f aca="false">Flights!$G$26&amp;"-"&amp;Flights!$H$26</f>
        <v>KUL-LHR</v>
      </c>
      <c r="F726" s="57" t="str">
        <f aca="false">Flights!$K$26</f>
        <v>BC</v>
      </c>
      <c r="G726" s="57" t="s">
        <v>383</v>
      </c>
      <c r="H726" s="57" t="s">
        <v>341</v>
      </c>
      <c r="I726" s="57" t="s">
        <v>462</v>
      </c>
      <c r="J726" s="57" t="s">
        <v>478</v>
      </c>
      <c r="K726" s="67" t="s">
        <v>464</v>
      </c>
      <c r="L726" s="67" t="s">
        <v>707</v>
      </c>
      <c r="M726" s="67" t="s">
        <v>414</v>
      </c>
      <c r="N726" s="67" t="s">
        <v>346</v>
      </c>
      <c r="O726" s="67" t="s">
        <v>466</v>
      </c>
      <c r="P726" s="57" t="s">
        <v>177</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IF(N726="N/A – rule","N/A – RULE",IF(TRIM(U726)="N/A",IF(AT726=0,"INVALID – N/A not permitted for this mandatory check",IF(AND(TRIM(AC726)&lt;&gt;"",TRIM(AE726)&lt;&gt;"",TRIM(T726)&lt;&gt;""),"N/A – JUSTIFIED","INVALID – N/A needs justification, PIC and verifier")),IF(OR(TRIM(U726)="Pass",TRIM(U726)="Pass after CA"),IF(NOT(ISNUMBER(AD726)),"INVALID – completion time missing",IF(TRIM(T726)="","INVALID – PIC missing",IF(TRIM(Z726)="","INVALID – evidence missing",IF(TRIM(AE726)="","INVALID – verifier missing",IF(AND(AQ726=1,TRIM(W726)=""),"INVALID – batch ID missing",IF(AND(AR726=1,OR(NOT(ISNUMBER(X726)),NOT(ISNUMBER(Y726)))),"INVALID – expected/actual qty missing",IF(IF(AND(TRIM(U726)="Pass",ISNUMBER(AF726)),IF(AF726&lt;&gt;0,"INVALID – qty variance: use Fail or Pass after CA",""),"")&amp;IF(AND(TRIM(U726)="Pass",AB726="Open"),"INVALID – corrective action still open: use Fail, then Pass after CA","")&amp;IF(AND(TRIM(U726)="Pass after CA",OR(TRIM(AA726)="",AB726&lt;&gt;"Closed")),"INVALID – corrective action not recorded/closed","")&lt;&gt;"",IF(AND(TRIM(U726)="Pass",ISNUMBER(AF726)),IF(AF726&lt;&gt;0,"INVALID – qty variance: use Fail or Pass after CA",""),"")&amp;IF(AND(TRIM(U726)="Pass",AB726="Open"),"INVALID – corrective action still open: use Fail, then Pass after CA","")&amp;IF(AND(TRIM(U726)="Pass after CA",OR(TRIM(AA726)="",AB726&lt;&gt;"Closed")),"INVALID – corrective action not recorded/closed",""),IF(AND(AS726=1,Documents!$J$26&lt;&gt;"ON FILE"),"INVALID – GLD not on file (Documents sheet)",IF(AND(AS726=2,Documents!$O$26&lt;&gt;"ON FILE"),"INVALID – menu checklist not on file (Documents sheet)",IF(AND(AS726=3,NOT(ISNUMBER(Flights!$AX$26))),"INVALID – enter carrying flight KUL departure (Flights AX)",IF(AG726&gt;AsOfUTC,"INVALID – completion time is in the future",IF(AND(ISNUMBER(S726),AG726&lt;S726),IF(H726="Physical uplift","INVALID – before uplift window (cannot confirm loading)","INVALID – before valid window"),IF(AG726&gt;Flights!$AA$26,"INVALID – completed after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f>
        <v>OPEN</v>
      </c>
      <c r="AI726" s="61" t="n">
        <f aca="false">IF(OR(AH726="N/A – RULE",AH726="N/A – JUSTIFIED"),0,1)</f>
        <v>1</v>
      </c>
      <c r="AJ726" s="61" t="n">
        <f aca="false">IF(LEFT(AH726,8)="COMPLETE",1,0)</f>
        <v>0</v>
      </c>
      <c r="AK726" s="61" t="n">
        <f aca="false">IF(AND(AI726=1,AJ726=0,AsOfUTC&gt;Q726),1,0)</f>
        <v>0</v>
      </c>
      <c r="AL726" s="61" t="n">
        <f aca="false">IF(AND(AI726=1,OR(TRIM(U726)="Fail",AB726="Open",AND(ISNUMBER(AF726),AF726&lt;&gt;0,TRIM(U726)&lt;&gt;"Pass after CA"))),1,0)</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1</v>
      </c>
    </row>
    <row r="727" customFormat="false" ht="54" hidden="false" customHeight="true" outlineLevel="0" collapsed="false">
      <c r="A727" s="57" t="s">
        <v>1421</v>
      </c>
      <c r="B727" s="57" t="s">
        <v>302</v>
      </c>
      <c r="C727" s="57" t="str">
        <f aca="false">Flights!$F$26</f>
        <v>MH0002</v>
      </c>
      <c r="D727" s="58" t="n">
        <f aca="false">Flights!$D$26</f>
        <v>46325</v>
      </c>
      <c r="E727" s="57" t="str">
        <f aca="false">Flights!$G$26&amp;"-"&amp;Flights!$H$26</f>
        <v>KUL-LHR</v>
      </c>
      <c r="F727" s="57" t="str">
        <f aca="false">Flights!$K$26</f>
        <v>BC</v>
      </c>
      <c r="G727" s="57" t="s">
        <v>383</v>
      </c>
      <c r="H727" s="57" t="s">
        <v>341</v>
      </c>
      <c r="I727" s="57" t="s">
        <v>462</v>
      </c>
      <c r="J727" s="57" t="s">
        <v>481</v>
      </c>
      <c r="K727" s="67" t="s">
        <v>579</v>
      </c>
      <c r="L727" s="67" t="s">
        <v>709</v>
      </c>
      <c r="M727" s="67" t="s">
        <v>414</v>
      </c>
      <c r="N727" s="67" t="s">
        <v>346</v>
      </c>
      <c r="O727" s="67" t="s">
        <v>484</v>
      </c>
      <c r="P727" s="57" t="s">
        <v>177</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IF(N727="N/A – rule","N/A – RULE",IF(TRIM(U727)="N/A",IF(AT727=0,"INVALID – N/A not permitted for this mandatory check",IF(AND(TRIM(AC727)&lt;&gt;"",TRIM(AE727)&lt;&gt;"",TRIM(T727)&lt;&gt;""),"N/A – JUSTIFIED","INVALID – N/A needs justification, PIC and verifier")),IF(OR(TRIM(U727)="Pass",TRIM(U727)="Pass after CA"),IF(NOT(ISNUMBER(AD727)),"INVALID – completion time missing",IF(TRIM(T727)="","INVALID – PIC missing",IF(TRIM(Z727)="","INVALID – evidence missing",IF(TRIM(AE727)="","INVALID – verifier missing",IF(AND(AQ727=1,TRIM(W727)=""),"INVALID – batch ID missing",IF(AND(AR727=1,OR(NOT(ISNUMBER(X727)),NOT(ISNUMBER(Y727)))),"INVALID – expected/actual qty missing",IF(IF(AND(TRIM(U727)="Pass",ISNUMBER(AF727)),IF(AF727&lt;&gt;0,"INVALID – qty variance: use Fail or Pass after CA",""),"")&amp;IF(AND(TRIM(U727)="Pass",AB727="Open"),"INVALID – corrective action still open: use Fail, then Pass after CA","")&amp;IF(AND(TRIM(U727)="Pass after CA",OR(TRIM(AA727)="",AB727&lt;&gt;"Closed")),"INVALID – corrective action not recorded/closed","")&lt;&gt;"",IF(AND(TRIM(U727)="Pass",ISNUMBER(AF727)),IF(AF727&lt;&gt;0,"INVALID – qty variance: use Fail or Pass after CA",""),"")&amp;IF(AND(TRIM(U727)="Pass",AB727="Open"),"INVALID – corrective action still open: use Fail, then Pass after CA","")&amp;IF(AND(TRIM(U727)="Pass after CA",OR(TRIM(AA727)="",AB727&lt;&gt;"Closed")),"INVALID – corrective action not recorded/closed",""),IF(AND(AS727=1,Documents!$J$26&lt;&gt;"ON FILE"),"INVALID – GLD not on file (Documents sheet)",IF(AND(AS727=2,Documents!$O$26&lt;&gt;"ON FILE"),"INVALID – menu checklist not on file (Documents sheet)",IF(AND(AS727=3,NOT(ISNUMBER(Flights!$AX$26))),"INVALID – enter carrying flight KUL departure (Flights AX)",IF(AG727&gt;AsOfUTC,"INVALID – completion time is in the future",IF(AND(ISNUMBER(S727),AG727&lt;S727),IF(H727="Physical uplift","INVALID – before uplift window (cannot confirm loading)","INVALID – before valid window"),IF(AG727&gt;Flights!$AA$26,"INVALID – completed after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f>
        <v>OPEN</v>
      </c>
      <c r="AI727" s="61" t="n">
        <f aca="false">IF(OR(AH727="N/A – RULE",AH727="N/A – JUSTIFIED"),0,1)</f>
        <v>1</v>
      </c>
      <c r="AJ727" s="61" t="n">
        <f aca="false">IF(LEFT(AH727,8)="COMPLETE",1,0)</f>
        <v>0</v>
      </c>
      <c r="AK727" s="61" t="n">
        <f aca="false">IF(AND(AI727=1,AJ727=0,AsOfUTC&gt;Q727),1,0)</f>
        <v>0</v>
      </c>
      <c r="AL727" s="61" t="n">
        <f aca="false">IF(AND(AI727=1,OR(TRIM(U727)="Fail",AB727="Open",AND(ISNUMBER(AF727),AF727&lt;&gt;0,TRIM(U727)&lt;&gt;"Pass after CA"))),1,0)</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1</v>
      </c>
    </row>
    <row r="728" customFormat="false" ht="41.25" hidden="false" customHeight="true" outlineLevel="0" collapsed="false">
      <c r="A728" s="57" t="s">
        <v>1422</v>
      </c>
      <c r="B728" s="57" t="s">
        <v>302</v>
      </c>
      <c r="C728" s="57" t="str">
        <f aca="false">Flights!$F$26</f>
        <v>MH0002</v>
      </c>
      <c r="D728" s="58" t="n">
        <f aca="false">Flights!$D$26</f>
        <v>46325</v>
      </c>
      <c r="E728" s="57" t="str">
        <f aca="false">Flights!$G$26&amp;"-"&amp;Flights!$H$26</f>
        <v>KUL-LHR</v>
      </c>
      <c r="F728" s="57" t="str">
        <f aca="false">Flights!$K$26</f>
        <v>BC</v>
      </c>
      <c r="G728" s="57" t="s">
        <v>383</v>
      </c>
      <c r="H728" s="57" t="s">
        <v>341</v>
      </c>
      <c r="I728" s="57" t="s">
        <v>462</v>
      </c>
      <c r="J728" s="57" t="s">
        <v>486</v>
      </c>
      <c r="K728" s="67" t="s">
        <v>464</v>
      </c>
      <c r="L728" s="67" t="s">
        <v>711</v>
      </c>
      <c r="M728" s="67" t="s">
        <v>414</v>
      </c>
      <c r="N728" s="67" t="s">
        <v>346</v>
      </c>
      <c r="O728" s="67" t="s">
        <v>466</v>
      </c>
      <c r="P728" s="57" t="s">
        <v>177</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IF(N728="N/A – rule","N/A – RULE",IF(TRIM(U728)="N/A",IF(AT728=0,"INVALID – N/A not permitted for this mandatory check",IF(AND(TRIM(AC728)&lt;&gt;"",TRIM(AE728)&lt;&gt;"",TRIM(T728)&lt;&gt;""),"N/A – JUSTIFIED","INVALID – N/A needs justification, PIC and verifier")),IF(OR(TRIM(U728)="Pass",TRIM(U728)="Pass after CA"),IF(NOT(ISNUMBER(AD728)),"INVALID – completion time missing",IF(TRIM(T728)="","INVALID – PIC missing",IF(TRIM(Z728)="","INVALID – evidence missing",IF(TRIM(AE728)="","INVALID – verifier missing",IF(AND(AQ728=1,TRIM(W728)=""),"INVALID – batch ID missing",IF(AND(AR728=1,OR(NOT(ISNUMBER(X728)),NOT(ISNUMBER(Y728)))),"INVALID – expected/actual qty missing",IF(IF(AND(TRIM(U728)="Pass",ISNUMBER(AF728)),IF(AF728&lt;&gt;0,"INVALID – qty variance: use Fail or Pass after CA",""),"")&amp;IF(AND(TRIM(U728)="Pass",AB728="Open"),"INVALID – corrective action still open: use Fail, then Pass after CA","")&amp;IF(AND(TRIM(U728)="Pass after CA",OR(TRIM(AA728)="",AB728&lt;&gt;"Closed")),"INVALID – corrective action not recorded/closed","")&lt;&gt;"",IF(AND(TRIM(U728)="Pass",ISNUMBER(AF728)),IF(AF728&lt;&gt;0,"INVALID – qty variance: use Fail or Pass after CA",""),"")&amp;IF(AND(TRIM(U728)="Pass",AB728="Open"),"INVALID – corrective action still open: use Fail, then Pass after CA","")&amp;IF(AND(TRIM(U728)="Pass after CA",OR(TRIM(AA728)="",AB728&lt;&gt;"Closed")),"INVALID – corrective action not recorded/closed",""),IF(AND(AS728=1,Documents!$J$26&lt;&gt;"ON FILE"),"INVALID – GLD not on file (Documents sheet)",IF(AND(AS728=2,Documents!$O$26&lt;&gt;"ON FILE"),"INVALID – menu checklist not on file (Documents sheet)",IF(AND(AS728=3,NOT(ISNUMBER(Flights!$AX$26))),"INVALID – enter carrying flight KUL departure (Flights AX)",IF(AG728&gt;AsOfUTC,"INVALID – completion time is in the future",IF(AND(ISNUMBER(S728),AG728&lt;S728),IF(H728="Physical uplift","INVALID – before uplift window (cannot confirm loading)","INVALID – before valid window"),IF(AG728&gt;Flights!$AA$26,"INVALID – completed after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f>
        <v>OPEN</v>
      </c>
      <c r="AI728" s="61" t="n">
        <f aca="false">IF(OR(AH728="N/A – RULE",AH728="N/A – JUSTIFIED"),0,1)</f>
        <v>1</v>
      </c>
      <c r="AJ728" s="61" t="n">
        <f aca="false">IF(LEFT(AH728,8)="COMPLETE",1,0)</f>
        <v>0</v>
      </c>
      <c r="AK728" s="61" t="n">
        <f aca="false">IF(AND(AI728=1,AJ728=0,AsOfUTC&gt;Q728),1,0)</f>
        <v>0</v>
      </c>
      <c r="AL728" s="61" t="n">
        <f aca="false">IF(AND(AI728=1,OR(TRIM(U728)="Fail",AB728="Open",AND(ISNUMBER(AF728),AF728&lt;&gt;0,TRIM(U728)&lt;&gt;"Pass after CA"))),1,0)</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1</v>
      </c>
    </row>
    <row r="729" customFormat="false" ht="41.25" hidden="false" customHeight="true" outlineLevel="0" collapsed="false">
      <c r="A729" s="57" t="s">
        <v>1423</v>
      </c>
      <c r="B729" s="57" t="s">
        <v>302</v>
      </c>
      <c r="C729" s="57" t="str">
        <f aca="false">Flights!$F$26</f>
        <v>MH0002</v>
      </c>
      <c r="D729" s="58" t="n">
        <f aca="false">Flights!$D$26</f>
        <v>46325</v>
      </c>
      <c r="E729" s="57" t="str">
        <f aca="false">Flights!$G$26&amp;"-"&amp;Flights!$H$26</f>
        <v>KUL-LHR</v>
      </c>
      <c r="F729" s="57" t="str">
        <f aca="false">Flights!$K$26</f>
        <v>BC</v>
      </c>
      <c r="G729" s="57" t="s">
        <v>383</v>
      </c>
      <c r="H729" s="57" t="s">
        <v>341</v>
      </c>
      <c r="I729" s="57" t="s">
        <v>410</v>
      </c>
      <c r="J729" s="57" t="s">
        <v>489</v>
      </c>
      <c r="K729" s="67" t="s">
        <v>412</v>
      </c>
      <c r="L729" s="67" t="s">
        <v>713</v>
      </c>
      <c r="M729" s="67" t="s">
        <v>414</v>
      </c>
      <c r="N729" s="67" t="s">
        <v>346</v>
      </c>
      <c r="O729" s="67" t="s">
        <v>466</v>
      </c>
      <c r="P729" s="57" t="s">
        <v>177</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IF(N729="N/A – rule","N/A – RULE",IF(TRIM(U729)="N/A",IF(AT729=0,"INVALID – N/A not permitted for this mandatory check",IF(AND(TRIM(AC729)&lt;&gt;"",TRIM(AE729)&lt;&gt;"",TRIM(T729)&lt;&gt;""),"N/A – JUSTIFIED","INVALID – N/A needs justification, PIC and verifier")),IF(OR(TRIM(U729)="Pass",TRIM(U729)="Pass after CA"),IF(NOT(ISNUMBER(AD729)),"INVALID – completion time missing",IF(TRIM(T729)="","INVALID – PIC missing",IF(TRIM(Z729)="","INVALID – evidence missing",IF(TRIM(AE729)="","INVALID – verifier missing",IF(AND(AQ729=1,TRIM(W729)=""),"INVALID – batch ID missing",IF(AND(AR729=1,OR(NOT(ISNUMBER(X729)),NOT(ISNUMBER(Y729)))),"INVALID – expected/actual qty missing",IF(IF(AND(TRIM(U729)="Pass",ISNUMBER(AF729)),IF(AF729&lt;&gt;0,"INVALID – qty variance: use Fail or Pass after CA",""),"")&amp;IF(AND(TRIM(U729)="Pass",AB729="Open"),"INVALID – corrective action still open: use Fail, then Pass after CA","")&amp;IF(AND(TRIM(U729)="Pass after CA",OR(TRIM(AA729)="",AB729&lt;&gt;"Closed")),"INVALID – corrective action not recorded/closed","")&lt;&gt;"",IF(AND(TRIM(U729)="Pass",ISNUMBER(AF729)),IF(AF729&lt;&gt;0,"INVALID – qty variance: use Fail or Pass after CA",""),"")&amp;IF(AND(TRIM(U729)="Pass",AB729="Open"),"INVALID – corrective action still open: use Fail, then Pass after CA","")&amp;IF(AND(TRIM(U729)="Pass after CA",OR(TRIM(AA729)="",AB729&lt;&gt;"Closed")),"INVALID – corrective action not recorded/closed",""),IF(AND(AS729=1,Documents!$J$26&lt;&gt;"ON FILE"),"INVALID – GLD not on file (Documents sheet)",IF(AND(AS729=2,Documents!$O$26&lt;&gt;"ON FILE"),"INVALID – menu checklist not on file (Documents sheet)",IF(AND(AS729=3,NOT(ISNUMBER(Flights!$AX$26))),"INVALID – enter carrying flight KUL departure (Flights AX)",IF(AG729&gt;AsOfUTC,"INVALID – completion time is in the future",IF(AND(ISNUMBER(S729),AG729&lt;S729),IF(H729="Physical uplift","INVALID – before uplift window (cannot confirm loading)","INVALID – before valid window"),IF(AG729&gt;Flights!$AA$26,"INVALID – completed after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f>
        <v>OPEN</v>
      </c>
      <c r="AI729" s="61" t="n">
        <f aca="false">IF(OR(AH729="N/A – RULE",AH729="N/A – JUSTIFIED"),0,1)</f>
        <v>1</v>
      </c>
      <c r="AJ729" s="61" t="n">
        <f aca="false">IF(LEFT(AH729,8)="COMPLETE",1,0)</f>
        <v>0</v>
      </c>
      <c r="AK729" s="61" t="n">
        <f aca="false">IF(AND(AI729=1,AJ729=0,AsOfUTC&gt;Q729),1,0)</f>
        <v>0</v>
      </c>
      <c r="AL729" s="61" t="n">
        <f aca="false">IF(AND(AI729=1,OR(TRIM(U729)="Fail",AB729="Open",AND(ISNUMBER(AF729),AF729&lt;&gt;0,TRIM(U729)&lt;&gt;"Pass after CA"))),1,0)</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1</v>
      </c>
    </row>
    <row r="730" customFormat="false" ht="41.25" hidden="false" customHeight="true" outlineLevel="0" collapsed="false">
      <c r="A730" s="57" t="s">
        <v>1424</v>
      </c>
      <c r="B730" s="57" t="s">
        <v>302</v>
      </c>
      <c r="C730" s="57" t="str">
        <f aca="false">Flights!$F$26</f>
        <v>MH0002</v>
      </c>
      <c r="D730" s="58" t="n">
        <f aca="false">Flights!$D$26</f>
        <v>46325</v>
      </c>
      <c r="E730" s="57" t="str">
        <f aca="false">Flights!$G$26&amp;"-"&amp;Flights!$H$26</f>
        <v>KUL-LHR</v>
      </c>
      <c r="F730" s="57" t="str">
        <f aca="false">Flights!$K$26</f>
        <v>BC</v>
      </c>
      <c r="G730" s="57" t="s">
        <v>383</v>
      </c>
      <c r="H730" s="57" t="s">
        <v>341</v>
      </c>
      <c r="I730" s="57" t="s">
        <v>410</v>
      </c>
      <c r="J730" s="57" t="s">
        <v>586</v>
      </c>
      <c r="K730" s="67" t="s">
        <v>412</v>
      </c>
      <c r="L730" s="67" t="s">
        <v>715</v>
      </c>
      <c r="M730" s="67" t="s">
        <v>414</v>
      </c>
      <c r="N730" s="67" t="s">
        <v>346</v>
      </c>
      <c r="O730" s="67" t="s">
        <v>466</v>
      </c>
      <c r="P730" s="57" t="s">
        <v>177</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IF(N730="N/A – rule","N/A – RULE",IF(TRIM(U730)="N/A",IF(AT730=0,"INVALID – N/A not permitted for this mandatory check",IF(AND(TRIM(AC730)&lt;&gt;"",TRIM(AE730)&lt;&gt;"",TRIM(T730)&lt;&gt;""),"N/A – JUSTIFIED","INVALID – N/A needs justification, PIC and verifier")),IF(OR(TRIM(U730)="Pass",TRIM(U730)="Pass after CA"),IF(NOT(ISNUMBER(AD730)),"INVALID – completion time missing",IF(TRIM(T730)="","INVALID – PIC missing",IF(TRIM(Z730)="","INVALID – evidence missing",IF(TRIM(AE730)="","INVALID – verifier missing",IF(AND(AQ730=1,TRIM(W730)=""),"INVALID – batch ID missing",IF(AND(AR730=1,OR(NOT(ISNUMBER(X730)),NOT(ISNUMBER(Y730)))),"INVALID – expected/actual qty missing",IF(IF(AND(TRIM(U730)="Pass",ISNUMBER(AF730)),IF(AF730&lt;&gt;0,"INVALID – qty variance: use Fail or Pass after CA",""),"")&amp;IF(AND(TRIM(U730)="Pass",AB730="Open"),"INVALID – corrective action still open: use Fail, then Pass after CA","")&amp;IF(AND(TRIM(U730)="Pass after CA",OR(TRIM(AA730)="",AB730&lt;&gt;"Closed")),"INVALID – corrective action not recorded/closed","")&lt;&gt;"",IF(AND(TRIM(U730)="Pass",ISNUMBER(AF730)),IF(AF730&lt;&gt;0,"INVALID – qty variance: use Fail or Pass after CA",""),"")&amp;IF(AND(TRIM(U730)="Pass",AB730="Open"),"INVALID – corrective action still open: use Fail, then Pass after CA","")&amp;IF(AND(TRIM(U730)="Pass after CA",OR(TRIM(AA730)="",AB730&lt;&gt;"Closed")),"INVALID – corrective action not recorded/closed",""),IF(AND(AS730=1,Documents!$J$26&lt;&gt;"ON FILE"),"INVALID – GLD not on file (Documents sheet)",IF(AND(AS730=2,Documents!$O$26&lt;&gt;"ON FILE"),"INVALID – menu checklist not on file (Documents sheet)",IF(AND(AS730=3,NOT(ISNUMBER(Flights!$AX$26))),"INVALID – enter carrying flight KUL departure (Flights AX)",IF(AG730&gt;AsOfUTC,"INVALID – completion time is in the future",IF(AND(ISNUMBER(S730),AG730&lt;S730),IF(H730="Physical uplift","INVALID – before uplift window (cannot confirm loading)","INVALID – before valid window"),IF(AG730&gt;Flights!$AA$26,"INVALID – completed after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f>
        <v>OPEN</v>
      </c>
      <c r="AI730" s="61" t="n">
        <f aca="false">IF(OR(AH730="N/A – RULE",AH730="N/A – JUSTIFIED"),0,1)</f>
        <v>1</v>
      </c>
      <c r="AJ730" s="61" t="n">
        <f aca="false">IF(LEFT(AH730,8)="COMPLETE",1,0)</f>
        <v>0</v>
      </c>
      <c r="AK730" s="61" t="n">
        <f aca="false">IF(AND(AI730=1,AJ730=0,AsOfUTC&gt;Q730),1,0)</f>
        <v>0</v>
      </c>
      <c r="AL730" s="61" t="n">
        <f aca="false">IF(AND(AI730=1,OR(TRIM(U730)="Fail",AB730="Open",AND(ISNUMBER(AF730),AF730&lt;&gt;0,TRIM(U730)&lt;&gt;"Pass after CA"))),1,0)</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1</v>
      </c>
    </row>
    <row r="731" customFormat="false" ht="41.25" hidden="false" customHeight="true" outlineLevel="0" collapsed="false">
      <c r="A731" s="57" t="s">
        <v>1425</v>
      </c>
      <c r="B731" s="57" t="s">
        <v>302</v>
      </c>
      <c r="C731" s="57" t="str">
        <f aca="false">Flights!$F$26</f>
        <v>MH0002</v>
      </c>
      <c r="D731" s="58" t="n">
        <f aca="false">Flights!$D$26</f>
        <v>46325</v>
      </c>
      <c r="E731" s="57" t="str">
        <f aca="false">Flights!$G$26&amp;"-"&amp;Flights!$H$26</f>
        <v>KUL-LHR</v>
      </c>
      <c r="F731" s="57" t="str">
        <f aca="false">Flights!$K$26</f>
        <v>BC</v>
      </c>
      <c r="G731" s="57" t="s">
        <v>383</v>
      </c>
      <c r="H731" s="57" t="s">
        <v>341</v>
      </c>
      <c r="I731" s="57" t="s">
        <v>410</v>
      </c>
      <c r="J731" s="57" t="s">
        <v>589</v>
      </c>
      <c r="K731" s="67" t="s">
        <v>412</v>
      </c>
      <c r="L731" s="67" t="s">
        <v>717</v>
      </c>
      <c r="M731" s="67" t="s">
        <v>414</v>
      </c>
      <c r="N731" s="67" t="s">
        <v>346</v>
      </c>
      <c r="O731" s="67" t="s">
        <v>466</v>
      </c>
      <c r="P731" s="57" t="s">
        <v>177</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IF(N731="N/A – rule","N/A – RULE",IF(TRIM(U731)="N/A",IF(AT731=0,"INVALID – N/A not permitted for this mandatory check",IF(AND(TRIM(AC731)&lt;&gt;"",TRIM(AE731)&lt;&gt;"",TRIM(T731)&lt;&gt;""),"N/A – JUSTIFIED","INVALID – N/A needs justification, PIC and verifier")),IF(OR(TRIM(U731)="Pass",TRIM(U731)="Pass after CA"),IF(NOT(ISNUMBER(AD731)),"INVALID – completion time missing",IF(TRIM(T731)="","INVALID – PIC missing",IF(TRIM(Z731)="","INVALID – evidence missing",IF(TRIM(AE731)="","INVALID – verifier missing",IF(AND(AQ731=1,TRIM(W731)=""),"INVALID – batch ID missing",IF(AND(AR731=1,OR(NOT(ISNUMBER(X731)),NOT(ISNUMBER(Y731)))),"INVALID – expected/actual qty missing",IF(IF(AND(TRIM(U731)="Pass",ISNUMBER(AF731)),IF(AF731&lt;&gt;0,"INVALID – qty variance: use Fail or Pass after CA",""),"")&amp;IF(AND(TRIM(U731)="Pass",AB731="Open"),"INVALID – corrective action still open: use Fail, then Pass after CA","")&amp;IF(AND(TRIM(U731)="Pass after CA",OR(TRIM(AA731)="",AB731&lt;&gt;"Closed")),"INVALID – corrective action not recorded/closed","")&lt;&gt;"",IF(AND(TRIM(U731)="Pass",ISNUMBER(AF731)),IF(AF731&lt;&gt;0,"INVALID – qty variance: use Fail or Pass after CA",""),"")&amp;IF(AND(TRIM(U731)="Pass",AB731="Open"),"INVALID – corrective action still open: use Fail, then Pass after CA","")&amp;IF(AND(TRIM(U731)="Pass after CA",OR(TRIM(AA731)="",AB731&lt;&gt;"Closed")),"INVALID – corrective action not recorded/closed",""),IF(AND(AS731=1,Documents!$J$26&lt;&gt;"ON FILE"),"INVALID – GLD not on file (Documents sheet)",IF(AND(AS731=2,Documents!$O$26&lt;&gt;"ON FILE"),"INVALID – menu checklist not on file (Documents sheet)",IF(AND(AS731=3,NOT(ISNUMBER(Flights!$AX$26))),"INVALID – enter carrying flight KUL departure (Flights AX)",IF(AG731&gt;AsOfUTC,"INVALID – completion time is in the future",IF(AND(ISNUMBER(S731),AG731&lt;S731),IF(H731="Physical uplift","INVALID – before uplift window (cannot confirm loading)","INVALID – before valid window"),IF(AG731&gt;Flights!$AA$26,"INVALID – completed after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f>
        <v>OPEN</v>
      </c>
      <c r="AI731" s="61" t="n">
        <f aca="false">IF(OR(AH731="N/A – RULE",AH731="N/A – JUSTIFIED"),0,1)</f>
        <v>1</v>
      </c>
      <c r="AJ731" s="61" t="n">
        <f aca="false">IF(LEFT(AH731,8)="COMPLETE",1,0)</f>
        <v>0</v>
      </c>
      <c r="AK731" s="61" t="n">
        <f aca="false">IF(AND(AI731=1,AJ731=0,AsOfUTC&gt;Q731),1,0)</f>
        <v>0</v>
      </c>
      <c r="AL731" s="61" t="n">
        <f aca="false">IF(AND(AI731=1,OR(TRIM(U731)="Fail",AB731="Open",AND(ISNUMBER(AF731),AF731&lt;&gt;0,TRIM(U731)&lt;&gt;"Pass after CA"))),1,0)</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1</v>
      </c>
    </row>
    <row r="732" customFormat="false" ht="39.75" hidden="false" customHeight="true" outlineLevel="0" collapsed="false">
      <c r="A732" s="57" t="s">
        <v>1426</v>
      </c>
      <c r="B732" s="57" t="s">
        <v>302</v>
      </c>
      <c r="C732" s="57" t="str">
        <f aca="false">Flights!$F$26</f>
        <v>MH0002</v>
      </c>
      <c r="D732" s="58" t="n">
        <f aca="false">Flights!$D$26</f>
        <v>46325</v>
      </c>
      <c r="E732" s="57" t="str">
        <f aca="false">Flights!$G$26&amp;"-"&amp;Flights!$H$26</f>
        <v>KUL-LHR</v>
      </c>
      <c r="F732" s="57" t="str">
        <f aca="false">Flights!$K$26</f>
        <v>BC</v>
      </c>
      <c r="G732" s="57" t="s">
        <v>383</v>
      </c>
      <c r="H732" s="57" t="s">
        <v>341</v>
      </c>
      <c r="I732" s="57" t="s">
        <v>592</v>
      </c>
      <c r="J732" s="57" t="s">
        <v>593</v>
      </c>
      <c r="K732" s="67" t="s">
        <v>464</v>
      </c>
      <c r="L732" s="67" t="s">
        <v>719</v>
      </c>
      <c r="M732" s="67" t="s">
        <v>177</v>
      </c>
      <c r="N732" s="67" t="s">
        <v>346</v>
      </c>
      <c r="O732" s="67" t="s">
        <v>595</v>
      </c>
      <c r="P732" s="57" t="s">
        <v>177</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IF(N732="N/A – rule","N/A – RULE",IF(TRIM(U732)="N/A",IF(AT732=0,"INVALID – N/A not permitted for this mandatory check",IF(AND(TRIM(AC732)&lt;&gt;"",TRIM(AE732)&lt;&gt;"",TRIM(T732)&lt;&gt;""),"N/A – JUSTIFIED","INVALID – N/A needs justification, PIC and verifier")),IF(OR(TRIM(U732)="Pass",TRIM(U732)="Pass after CA"),IF(NOT(ISNUMBER(AD732)),"INVALID – completion time missing",IF(TRIM(T732)="","INVALID – PIC missing",IF(TRIM(Z732)="","INVALID – evidence missing",IF(TRIM(AE732)="","INVALID – verifier missing",IF(AND(AQ732=1,TRIM(W732)=""),"INVALID – batch ID missing",IF(AND(AR732=1,OR(NOT(ISNUMBER(X732)),NOT(ISNUMBER(Y732)))),"INVALID – expected/actual qty missing",IF(IF(AND(TRIM(U732)="Pass",ISNUMBER(AF732)),IF(AF732&lt;&gt;0,"INVALID – qty variance: use Fail or Pass after CA",""),"")&amp;IF(AND(TRIM(U732)="Pass",AB732="Open"),"INVALID – corrective action still open: use Fail, then Pass after CA","")&amp;IF(AND(TRIM(U732)="Pass after CA",OR(TRIM(AA732)="",AB732&lt;&gt;"Closed")),"INVALID – corrective action not recorded/closed","")&lt;&gt;"",IF(AND(TRIM(U732)="Pass",ISNUMBER(AF732)),IF(AF732&lt;&gt;0,"INVALID – qty variance: use Fail or Pass after CA",""),"")&amp;IF(AND(TRIM(U732)="Pass",AB732="Open"),"INVALID – corrective action still open: use Fail, then Pass after CA","")&amp;IF(AND(TRIM(U732)="Pass after CA",OR(TRIM(AA732)="",AB732&lt;&gt;"Closed")),"INVALID – corrective action not recorded/closed",""),IF(AND(AS732=1,Documents!$J$26&lt;&gt;"ON FILE"),"INVALID – GLD not on file (Documents sheet)",IF(AND(AS732=2,Documents!$O$26&lt;&gt;"ON FILE"),"INVALID – menu checklist not on file (Documents sheet)",IF(AND(AS732=3,NOT(ISNUMBER(Flights!$AX$26))),"INVALID – enter carrying flight KUL departure (Flights AX)",IF(AG732&gt;AsOfUTC,"INVALID – completion time is in the future",IF(AND(ISNUMBER(S732),AG732&lt;S732),IF(H732="Physical uplift","INVALID – before uplift window (cannot confirm loading)","INVALID – before valid window"),IF(AG732&gt;Flights!$AA$26,"INVALID – completed after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f>
        <v>OPEN</v>
      </c>
      <c r="AI732" s="61" t="n">
        <f aca="false">IF(OR(AH732="N/A – RULE",AH732="N/A – JUSTIFIED"),0,1)</f>
        <v>1</v>
      </c>
      <c r="AJ732" s="61" t="n">
        <f aca="false">IF(LEFT(AH732,8)="COMPLETE",1,0)</f>
        <v>0</v>
      </c>
      <c r="AK732" s="61" t="n">
        <f aca="false">IF(AND(AI732=1,AJ732=0,AsOfUTC&gt;Q732),1,0)</f>
        <v>0</v>
      </c>
      <c r="AL732" s="61" t="n">
        <f aca="false">IF(AND(AI732=1,OR(TRIM(U732)="Fail",AB732="Open",AND(ISNUMBER(AF732),AF732&lt;&gt;0,TRIM(U732)&lt;&gt;"Pass after CA"))),1,0)</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1</v>
      </c>
    </row>
    <row r="733" customFormat="false" ht="39.75" hidden="false" customHeight="true" outlineLevel="0" collapsed="false">
      <c r="A733" s="57" t="s">
        <v>1427</v>
      </c>
      <c r="B733" s="57" t="s">
        <v>302</v>
      </c>
      <c r="C733" s="57" t="str">
        <f aca="false">Flights!$F$26</f>
        <v>MH0002</v>
      </c>
      <c r="D733" s="58" t="n">
        <f aca="false">Flights!$D$26</f>
        <v>46325</v>
      </c>
      <c r="E733" s="57" t="str">
        <f aca="false">Flights!$G$26&amp;"-"&amp;Flights!$H$26</f>
        <v>KUL-LHR</v>
      </c>
      <c r="F733" s="57" t="str">
        <f aca="false">Flights!$K$26</f>
        <v>BC</v>
      </c>
      <c r="G733" s="57" t="s">
        <v>422</v>
      </c>
      <c r="H733" s="57" t="s">
        <v>423</v>
      </c>
      <c r="I733" s="57" t="s">
        <v>342</v>
      </c>
      <c r="J733" s="57" t="s">
        <v>424</v>
      </c>
      <c r="K733" s="67" t="s">
        <v>389</v>
      </c>
      <c r="L733" s="67" t="s">
        <v>425</v>
      </c>
      <c r="M733" s="67"/>
      <c r="N733" s="67" t="s">
        <v>346</v>
      </c>
      <c r="O733" s="67" t="s">
        <v>426</v>
      </c>
      <c r="P733" s="57" t="s">
        <v>177</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IF(N733="N/A – rule","N/A – RULE",IF(TRIM(U733)="N/A",IF(AT733=0,"INVALID – N/A not permitted for this mandatory check",IF(AND(TRIM(AC733)&lt;&gt;"",TRIM(AE733)&lt;&gt;"",TRIM(T733)&lt;&gt;""),"N/A – JUSTIFIED","INVALID – N/A needs justification, PIC and verifier")),IF(OR(TRIM(U733)="Pass",TRIM(U733)="Pass after CA"),IF(NOT(ISNUMBER(AD733)),"INVALID – completion time missing",IF(TRIM(T733)="","INVALID – PIC missing",IF(TRIM(Z733)="","INVALID – evidence missing",IF(TRIM(AE733)="","INVALID – verifier missing",IF(AND(AQ733=1,TRIM(W733)=""),"INVALID – batch ID missing",IF(AND(AR733=1,OR(NOT(ISNUMBER(X733)),NOT(ISNUMBER(Y733)))),"INVALID – expected/actual qty missing",IF(IF(AND(TRIM(U733)="Pass",ISNUMBER(AF733)),IF(AF733&lt;&gt;0,"INVALID – qty variance: use Fail or Pass after CA",""),"")&amp;IF(AND(TRIM(U733)="Pass",AB733="Open"),"INVALID – corrective action still open: use Fail, then Pass after CA","")&amp;IF(AND(TRIM(U733)="Pass after CA",OR(TRIM(AA733)="",AB733&lt;&gt;"Closed")),"INVALID – corrective action not recorded/closed","")&lt;&gt;"",IF(AND(TRIM(U733)="Pass",ISNUMBER(AF733)),IF(AF733&lt;&gt;0,"INVALID – qty variance: use Fail or Pass after CA",""),"")&amp;IF(AND(TRIM(U733)="Pass",AB733="Open"),"INVALID – corrective action still open: use Fail, then Pass after CA","")&amp;IF(AND(TRIM(U733)="Pass after CA",OR(TRIM(AA733)="",AB733&lt;&gt;"Closed")),"INVALID – corrective action not recorded/closed",""),IF(AND(AS733=1,Documents!$J$26&lt;&gt;"ON FILE"),"INVALID – GLD not on file (Documents sheet)",IF(AND(AS733=2,Documents!$O$26&lt;&gt;"ON FILE"),"INVALID – menu checklist not on file (Documents sheet)",IF(AND(AS733=3,NOT(ISNUMBER(Flights!$AX$26))),"INVALID – enter carrying flight KUL departure (Flights AX)",IF(AG733&gt;AsOfUTC,"INVALID – completion time is in the future",IF(AND(ISNUMBER(S733),AG733&lt;S733),IF(H733="Physical uplift","INVALID – before uplift window (cannot confirm loading)","INVALID – before valid window"),IF(AG733&gt;Flights!$AA$26,"INVALID – completed after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f>
        <v>OPEN</v>
      </c>
      <c r="AI733" s="61" t="n">
        <f aca="false">IF(OR(AH733="N/A – RULE",AH733="N/A – JUSTIFIED"),0,1)</f>
        <v>1</v>
      </c>
      <c r="AJ733" s="61" t="n">
        <f aca="false">IF(LEFT(AH733,8)="COMPLETE",1,0)</f>
        <v>0</v>
      </c>
      <c r="AK733" s="61" t="n">
        <f aca="false">IF(AND(AI733=1,AJ733=0,AsOfUTC&gt;Q733),1,0)</f>
        <v>0</v>
      </c>
      <c r="AL733" s="61" t="n">
        <f aca="false">IF(AND(AI733=1,OR(TRIM(U733)="Fail",AB733="Open",AND(ISNUMBER(AF733),AF733&lt;&gt;0,TRIM(U733)&lt;&gt;"Pass after CA"))),1,0)</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row>
    <row r="734" customFormat="false" ht="39.75" hidden="false" customHeight="true" outlineLevel="0" collapsed="false">
      <c r="A734" s="57" t="s">
        <v>1428</v>
      </c>
      <c r="B734" s="57" t="s">
        <v>302</v>
      </c>
      <c r="C734" s="57" t="str">
        <f aca="false">Flights!$F$26</f>
        <v>MH0002</v>
      </c>
      <c r="D734" s="58" t="n">
        <f aca="false">Flights!$D$26</f>
        <v>46325</v>
      </c>
      <c r="E734" s="57" t="str">
        <f aca="false">Flights!$G$26&amp;"-"&amp;Flights!$H$26</f>
        <v>KUL-LHR</v>
      </c>
      <c r="F734" s="57" t="str">
        <f aca="false">Flights!$K$26</f>
        <v>BC</v>
      </c>
      <c r="G734" s="57" t="s">
        <v>422</v>
      </c>
      <c r="H734" s="57" t="s">
        <v>423</v>
      </c>
      <c r="I734" s="57" t="s">
        <v>391</v>
      </c>
      <c r="J734" s="57" t="s">
        <v>428</v>
      </c>
      <c r="K734" s="67" t="s">
        <v>389</v>
      </c>
      <c r="L734" s="67" t="s">
        <v>425</v>
      </c>
      <c r="M734" s="67"/>
      <c r="N734" s="67" t="s">
        <v>346</v>
      </c>
      <c r="O734" s="67" t="s">
        <v>426</v>
      </c>
      <c r="P734" s="57" t="s">
        <v>177</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IF(N734="N/A – rule","N/A – RULE",IF(TRIM(U734)="N/A",IF(AT734=0,"INVALID – N/A not permitted for this mandatory check",IF(AND(TRIM(AC734)&lt;&gt;"",TRIM(AE734)&lt;&gt;"",TRIM(T734)&lt;&gt;""),"N/A – JUSTIFIED","INVALID – N/A needs justification, PIC and verifier")),IF(OR(TRIM(U734)="Pass",TRIM(U734)="Pass after CA"),IF(NOT(ISNUMBER(AD734)),"INVALID – completion time missing",IF(TRIM(T734)="","INVALID – PIC missing",IF(TRIM(Z734)="","INVALID – evidence missing",IF(TRIM(AE734)="","INVALID – verifier missing",IF(AND(AQ734=1,TRIM(W734)=""),"INVALID – batch ID missing",IF(AND(AR734=1,OR(NOT(ISNUMBER(X734)),NOT(ISNUMBER(Y734)))),"INVALID – expected/actual qty missing",IF(IF(AND(TRIM(U734)="Pass",ISNUMBER(AF734)),IF(AF734&lt;&gt;0,"INVALID – qty variance: use Fail or Pass after CA",""),"")&amp;IF(AND(TRIM(U734)="Pass",AB734="Open"),"INVALID – corrective action still open: use Fail, then Pass after CA","")&amp;IF(AND(TRIM(U734)="Pass after CA",OR(TRIM(AA734)="",AB734&lt;&gt;"Closed")),"INVALID – corrective action not recorded/closed","")&lt;&gt;"",IF(AND(TRIM(U734)="Pass",ISNUMBER(AF734)),IF(AF734&lt;&gt;0,"INVALID – qty variance: use Fail or Pass after CA",""),"")&amp;IF(AND(TRIM(U734)="Pass",AB734="Open"),"INVALID – corrective action still open: use Fail, then Pass after CA","")&amp;IF(AND(TRIM(U734)="Pass after CA",OR(TRIM(AA734)="",AB734&lt;&gt;"Closed")),"INVALID – corrective action not recorded/closed",""),IF(AND(AS734=1,Documents!$J$26&lt;&gt;"ON FILE"),"INVALID – GLD not on file (Documents sheet)",IF(AND(AS734=2,Documents!$O$26&lt;&gt;"ON FILE"),"INVALID – menu checklist not on file (Documents sheet)",IF(AND(AS734=3,NOT(ISNUMBER(Flights!$AX$26))),"INVALID – enter carrying flight KUL departure (Flights AX)",IF(AG734&gt;AsOfUTC,"INVALID – completion time is in the future",IF(AND(ISNUMBER(S734),AG734&lt;S734),IF(H734="Physical uplift","INVALID – before uplift window (cannot confirm loading)","INVALID – before valid window"),IF(AG734&gt;Flights!$AA$26,"INVALID – completed after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f>
        <v>OPEN</v>
      </c>
      <c r="AI734" s="61" t="n">
        <f aca="false">IF(OR(AH734="N/A – RULE",AH734="N/A – JUSTIFIED"),0,1)</f>
        <v>1</v>
      </c>
      <c r="AJ734" s="61" t="n">
        <f aca="false">IF(LEFT(AH734,8)="COMPLETE",1,0)</f>
        <v>0</v>
      </c>
      <c r="AK734" s="61" t="n">
        <f aca="false">IF(AND(AI734=1,AJ734=0,AsOfUTC&gt;Q734),1,0)</f>
        <v>0</v>
      </c>
      <c r="AL734" s="61" t="n">
        <f aca="false">IF(AND(AI734=1,OR(TRIM(U734)="Fail",AB734="Open",AND(ISNUMBER(AF734),AF734&lt;&gt;0,TRIM(U734)&lt;&gt;"Pass after CA"))),1,0)</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row>
    <row r="735" customFormat="false" ht="91.5" hidden="false" customHeight="true" outlineLevel="0" collapsed="false">
      <c r="A735" s="57" t="s">
        <v>1429</v>
      </c>
      <c r="B735" s="57" t="s">
        <v>302</v>
      </c>
      <c r="C735" s="57" t="str">
        <f aca="false">Flights!$F$26</f>
        <v>MH0002</v>
      </c>
      <c r="D735" s="58" t="n">
        <f aca="false">Flights!$D$26</f>
        <v>46325</v>
      </c>
      <c r="E735" s="57" t="str">
        <f aca="false">Flights!$G$26&amp;"-"&amp;Flights!$H$26</f>
        <v>KUL-LHR</v>
      </c>
      <c r="F735" s="57" t="str">
        <f aca="false">Flights!$K$26</f>
        <v>BC</v>
      </c>
      <c r="G735" s="57" t="s">
        <v>422</v>
      </c>
      <c r="H735" s="57" t="s">
        <v>423</v>
      </c>
      <c r="I735" s="57" t="s">
        <v>403</v>
      </c>
      <c r="J735" s="57" t="s">
        <v>430</v>
      </c>
      <c r="K735" s="67" t="s">
        <v>464</v>
      </c>
      <c r="L735" s="67" t="s">
        <v>406</v>
      </c>
      <c r="M735" s="67" t="s">
        <v>689</v>
      </c>
      <c r="N735" s="67" t="s">
        <v>407</v>
      </c>
      <c r="O735" s="67" t="s">
        <v>690</v>
      </c>
      <c r="P735" s="57" t="s">
        <v>177</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IF(N735="N/A – rule","N/A – RULE",IF(TRIM(U735)="N/A",IF(AT735=0,"INVALID – N/A not permitted for this mandatory check",IF(AND(TRIM(AC735)&lt;&gt;"",TRIM(AE735)&lt;&gt;"",TRIM(T735)&lt;&gt;""),"N/A – JUSTIFIED","INVALID – N/A needs justification, PIC and verifier")),IF(OR(TRIM(U735)="Pass",TRIM(U735)="Pass after CA"),IF(NOT(ISNUMBER(AD735)),"INVALID – completion time missing",IF(TRIM(T735)="","INVALID – PIC missing",IF(TRIM(Z735)="","INVALID – evidence missing",IF(TRIM(AE735)="","INVALID – verifier missing",IF(AND(AQ735=1,TRIM(W735)=""),"INVALID – batch ID missing",IF(AND(AR735=1,OR(NOT(ISNUMBER(X735)),NOT(ISNUMBER(Y735)))),"INVALID – expected/actual qty missing",IF(IF(AND(TRIM(U735)="Pass",ISNUMBER(AF735)),IF(AF735&lt;&gt;0,"INVALID – qty variance: use Fail or Pass after CA",""),"")&amp;IF(AND(TRIM(U735)="Pass",AB735="Open"),"INVALID – corrective action still open: use Fail, then Pass after CA","")&amp;IF(AND(TRIM(U735)="Pass after CA",OR(TRIM(AA735)="",AB735&lt;&gt;"Closed")),"INVALID – corrective action not recorded/closed","")&lt;&gt;"",IF(AND(TRIM(U735)="Pass",ISNUMBER(AF735)),IF(AF735&lt;&gt;0,"INVALID – qty variance: use Fail or Pass after CA",""),"")&amp;IF(AND(TRIM(U735)="Pass",AB735="Open"),"INVALID – corrective action still open: use Fail, then Pass after CA","")&amp;IF(AND(TRIM(U735)="Pass after CA",OR(TRIM(AA735)="",AB735&lt;&gt;"Closed")),"INVALID – corrective action not recorded/closed",""),IF(AND(AS735=1,Documents!$J$26&lt;&gt;"ON FILE"),"INVALID – GLD not on file (Documents sheet)",IF(AND(AS735=2,Documents!$O$26&lt;&gt;"ON FILE"),"INVALID – menu checklist not on file (Documents sheet)",IF(AND(AS735=3,NOT(ISNUMBER(Flights!$AX$26))),"INVALID – enter carrying flight KUL departure (Flights AX)",IF(AG735&gt;AsOfUTC,"INVALID – completion time is in the future",IF(AND(ISNUMBER(S735),AG735&lt;S735),IF(H735="Physical uplift","INVALID – before uplift window (cannot confirm loading)","INVALID – before valid window"),IF(AG735&gt;Flights!$AA$26,"INVALID – completed after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f>
        <v>OPEN – CLARIFICATION</v>
      </c>
      <c r="AI735" s="61" t="n">
        <f aca="false">IF(OR(AH735="N/A – RULE",AH735="N/A – JUSTIFIED"),0,1)</f>
        <v>1</v>
      </c>
      <c r="AJ735" s="61" t="n">
        <f aca="false">IF(LEFT(AH735,8)="COMPLETE",1,0)</f>
        <v>0</v>
      </c>
      <c r="AK735" s="61" t="n">
        <f aca="false">IF(AND(AI735=1,AJ735=0,AsOfUTC&gt;Q735),1,0)</f>
        <v>0</v>
      </c>
      <c r="AL735" s="61" t="n">
        <f aca="false">IF(AND(AI735=1,OR(TRIM(U735)="Fail",AB735="Open",AND(ISNUMBER(AF735),AF735&lt;&gt;0,TRIM(U735)&lt;&gt;"Pass after CA"))),1,0)</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row>
    <row r="736" customFormat="false" ht="39.75" hidden="false" customHeight="true" outlineLevel="0" collapsed="false">
      <c r="A736" s="57" t="s">
        <v>1430</v>
      </c>
      <c r="B736" s="57" t="s">
        <v>302</v>
      </c>
      <c r="C736" s="57" t="str">
        <f aca="false">Flights!$F$26</f>
        <v>MH0002</v>
      </c>
      <c r="D736" s="58" t="n">
        <f aca="false">Flights!$D$26</f>
        <v>46325</v>
      </c>
      <c r="E736" s="57" t="str">
        <f aca="false">Flights!$G$26&amp;"-"&amp;Flights!$H$26</f>
        <v>KUL-LHR</v>
      </c>
      <c r="F736" s="57" t="str">
        <f aca="false">Flights!$K$26</f>
        <v>BC</v>
      </c>
      <c r="G736" s="57" t="s">
        <v>422</v>
      </c>
      <c r="H736" s="57" t="s">
        <v>423</v>
      </c>
      <c r="I736" s="57" t="s">
        <v>403</v>
      </c>
      <c r="J736" s="57" t="s">
        <v>724</v>
      </c>
      <c r="K736" s="67" t="s">
        <v>693</v>
      </c>
      <c r="L736" s="67" t="s">
        <v>694</v>
      </c>
      <c r="M736" s="67" t="s">
        <v>177</v>
      </c>
      <c r="N736" s="67" t="s">
        <v>346</v>
      </c>
      <c r="O736" s="67" t="s">
        <v>695</v>
      </c>
      <c r="P736" s="57" t="s">
        <v>177</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IF(N736="N/A – rule","N/A – RULE",IF(TRIM(U736)="N/A",IF(AT736=0,"INVALID – N/A not permitted for this mandatory check",IF(AND(TRIM(AC736)&lt;&gt;"",TRIM(AE736)&lt;&gt;"",TRIM(T736)&lt;&gt;""),"N/A – JUSTIFIED","INVALID – N/A needs justification, PIC and verifier")),IF(OR(TRIM(U736)="Pass",TRIM(U736)="Pass after CA"),IF(NOT(ISNUMBER(AD736)),"INVALID – completion time missing",IF(TRIM(T736)="","INVALID – PIC missing",IF(TRIM(Z736)="","INVALID – evidence missing",IF(TRIM(AE736)="","INVALID – verifier missing",IF(AND(AQ736=1,TRIM(W736)=""),"INVALID – batch ID missing",IF(AND(AR736=1,OR(NOT(ISNUMBER(X736)),NOT(ISNUMBER(Y736)))),"INVALID – expected/actual qty missing",IF(IF(AND(TRIM(U736)="Pass",ISNUMBER(AF736)),IF(AF736&lt;&gt;0,"INVALID – qty variance: use Fail or Pass after CA",""),"")&amp;IF(AND(TRIM(U736)="Pass",AB736="Open"),"INVALID – corrective action still open: use Fail, then Pass after CA","")&amp;IF(AND(TRIM(U736)="Pass after CA",OR(TRIM(AA736)="",AB736&lt;&gt;"Closed")),"INVALID – corrective action not recorded/closed","")&lt;&gt;"",IF(AND(TRIM(U736)="Pass",ISNUMBER(AF736)),IF(AF736&lt;&gt;0,"INVALID – qty variance: use Fail or Pass after CA",""),"")&amp;IF(AND(TRIM(U736)="Pass",AB736="Open"),"INVALID – corrective action still open: use Fail, then Pass after CA","")&amp;IF(AND(TRIM(U736)="Pass after CA",OR(TRIM(AA736)="",AB736&lt;&gt;"Closed")),"INVALID – corrective action not recorded/closed",""),IF(AND(AS736=1,Documents!$J$26&lt;&gt;"ON FILE"),"INVALID – GLD not on file (Documents sheet)",IF(AND(AS736=2,Documents!$O$26&lt;&gt;"ON FILE"),"INVALID – menu checklist not on file (Documents sheet)",IF(AND(AS736=3,NOT(ISNUMBER(Flights!$AX$26))),"INVALID – enter carrying flight KUL departure (Flights AX)",IF(AG736&gt;AsOfUTC,"INVALID – completion time is in the future",IF(AND(ISNUMBER(S736),AG736&lt;S736),IF(H736="Physical uplift","INVALID – before uplift window (cannot confirm loading)","INVALID – before valid window"),IF(AG736&gt;Flights!$AA$26,"INVALID – completed after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f>
        <v>OPEN</v>
      </c>
      <c r="AI736" s="61" t="n">
        <f aca="false">IF(OR(AH736="N/A – RULE",AH736="N/A – JUSTIFIED"),0,1)</f>
        <v>1</v>
      </c>
      <c r="AJ736" s="61" t="n">
        <f aca="false">IF(LEFT(AH736,8)="COMPLETE",1,0)</f>
        <v>0</v>
      </c>
      <c r="AK736" s="61" t="n">
        <f aca="false">IF(AND(AI736=1,AJ736=0,AsOfUTC&gt;Q736),1,0)</f>
        <v>0</v>
      </c>
      <c r="AL736" s="61" t="n">
        <f aca="false">IF(AND(AI736=1,OR(TRIM(U736)="Fail",AB736="Open",AND(ISNUMBER(AF736),AF736&lt;&gt;0,TRIM(U736)&lt;&gt;"Pass after CA"))),1,0)</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1</v>
      </c>
    </row>
    <row r="737" customFormat="false" ht="39.75" hidden="false" customHeight="true" outlineLevel="0" collapsed="false">
      <c r="A737" s="57" t="s">
        <v>1431</v>
      </c>
      <c r="B737" s="57" t="s">
        <v>302</v>
      </c>
      <c r="C737" s="57" t="str">
        <f aca="false">Flights!$F$26</f>
        <v>MH0002</v>
      </c>
      <c r="D737" s="58" t="n">
        <f aca="false">Flights!$D$26</f>
        <v>46325</v>
      </c>
      <c r="E737" s="57" t="str">
        <f aca="false">Flights!$G$26&amp;"-"&amp;Flights!$H$26</f>
        <v>KUL-LHR</v>
      </c>
      <c r="F737" s="57" t="str">
        <f aca="false">Flights!$K$26</f>
        <v>BC</v>
      </c>
      <c r="G737" s="57" t="s">
        <v>422</v>
      </c>
      <c r="H737" s="57" t="s">
        <v>423</v>
      </c>
      <c r="I737" s="57" t="s">
        <v>403</v>
      </c>
      <c r="J737" s="57" t="s">
        <v>606</v>
      </c>
      <c r="K737" s="67" t="s">
        <v>464</v>
      </c>
      <c r="L737" s="67" t="s">
        <v>697</v>
      </c>
      <c r="M737" s="67" t="s">
        <v>177</v>
      </c>
      <c r="N737" s="67" t="s">
        <v>346</v>
      </c>
      <c r="O737" s="67"/>
      <c r="P737" s="57" t="s">
        <v>177</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IF(N737="N/A – rule","N/A – RULE",IF(TRIM(U737)="N/A",IF(AT737=0,"INVALID – N/A not permitted for this mandatory check",IF(AND(TRIM(AC737)&lt;&gt;"",TRIM(AE737)&lt;&gt;"",TRIM(T737)&lt;&gt;""),"N/A – JUSTIFIED","INVALID – N/A needs justification, PIC and verifier")),IF(OR(TRIM(U737)="Pass",TRIM(U737)="Pass after CA"),IF(NOT(ISNUMBER(AD737)),"INVALID – completion time missing",IF(TRIM(T737)="","INVALID – PIC missing",IF(TRIM(Z737)="","INVALID – evidence missing",IF(TRIM(AE737)="","INVALID – verifier missing",IF(AND(AQ737=1,TRIM(W737)=""),"INVALID – batch ID missing",IF(AND(AR737=1,OR(NOT(ISNUMBER(X737)),NOT(ISNUMBER(Y737)))),"INVALID – expected/actual qty missing",IF(IF(AND(TRIM(U737)="Pass",ISNUMBER(AF737)),IF(AF737&lt;&gt;0,"INVALID – qty variance: use Fail or Pass after CA",""),"")&amp;IF(AND(TRIM(U737)="Pass",AB737="Open"),"INVALID – corrective action still open: use Fail, then Pass after CA","")&amp;IF(AND(TRIM(U737)="Pass after CA",OR(TRIM(AA737)="",AB737&lt;&gt;"Closed")),"INVALID – corrective action not recorded/closed","")&lt;&gt;"",IF(AND(TRIM(U737)="Pass",ISNUMBER(AF737)),IF(AF737&lt;&gt;0,"INVALID – qty variance: use Fail or Pass after CA",""),"")&amp;IF(AND(TRIM(U737)="Pass",AB737="Open"),"INVALID – corrective action still open: use Fail, then Pass after CA","")&amp;IF(AND(TRIM(U737)="Pass after CA",OR(TRIM(AA737)="",AB737&lt;&gt;"Closed")),"INVALID – corrective action not recorded/closed",""),IF(AND(AS737=1,Documents!$J$26&lt;&gt;"ON FILE"),"INVALID – GLD not on file (Documents sheet)",IF(AND(AS737=2,Documents!$O$26&lt;&gt;"ON FILE"),"INVALID – menu checklist not on file (Documents sheet)",IF(AND(AS737=3,NOT(ISNUMBER(Flights!$AX$26))),"INVALID – enter carrying flight KUL departure (Flights AX)",IF(AG737&gt;AsOfUTC,"INVALID – completion time is in the future",IF(AND(ISNUMBER(S737),AG737&lt;S737),IF(H737="Physical uplift","INVALID – before uplift window (cannot confirm loading)","INVALID – before valid window"),IF(AG737&gt;Flights!$AA$26,"INVALID – completed after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f>
        <v>OPEN</v>
      </c>
      <c r="AI737" s="61" t="n">
        <f aca="false">IF(OR(AH737="N/A – RULE",AH737="N/A – JUSTIFIED"),0,1)</f>
        <v>1</v>
      </c>
      <c r="AJ737" s="61" t="n">
        <f aca="false">IF(LEFT(AH737,8)="COMPLETE",1,0)</f>
        <v>0</v>
      </c>
      <c r="AK737" s="61" t="n">
        <f aca="false">IF(AND(AI737=1,AJ737=0,AsOfUTC&gt;Q737),1,0)</f>
        <v>0</v>
      </c>
      <c r="AL737" s="61" t="n">
        <f aca="false">IF(AND(AI737=1,OR(TRIM(U737)="Fail",AB737="Open",AND(ISNUMBER(AF737),AF737&lt;&gt;0,TRIM(U737)&lt;&gt;"Pass after CA"))),1,0)</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1</v>
      </c>
    </row>
    <row r="738" customFormat="false" ht="39.75" hidden="false" customHeight="true" outlineLevel="0" collapsed="false">
      <c r="A738" s="57" t="s">
        <v>1432</v>
      </c>
      <c r="B738" s="57" t="s">
        <v>302</v>
      </c>
      <c r="C738" s="57" t="str">
        <f aca="false">Flights!$F$26</f>
        <v>MH0002</v>
      </c>
      <c r="D738" s="58" t="n">
        <f aca="false">Flights!$D$26</f>
        <v>46325</v>
      </c>
      <c r="E738" s="57" t="str">
        <f aca="false">Flights!$G$26&amp;"-"&amp;Flights!$H$26</f>
        <v>KUL-LHR</v>
      </c>
      <c r="F738" s="57" t="str">
        <f aca="false">Flights!$K$26</f>
        <v>BC</v>
      </c>
      <c r="G738" s="57" t="s">
        <v>422</v>
      </c>
      <c r="H738" s="57" t="s">
        <v>423</v>
      </c>
      <c r="I738" s="57" t="s">
        <v>462</v>
      </c>
      <c r="J738" s="57" t="s">
        <v>500</v>
      </c>
      <c r="K738" s="67" t="s">
        <v>464</v>
      </c>
      <c r="L738" s="67" t="s">
        <v>699</v>
      </c>
      <c r="M738" s="67" t="s">
        <v>414</v>
      </c>
      <c r="N738" s="67" t="s">
        <v>346</v>
      </c>
      <c r="O738" s="67"/>
      <c r="P738" s="57" t="s">
        <v>177</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IF(N738="N/A – rule","N/A – RULE",IF(TRIM(U738)="N/A",IF(AT738=0,"INVALID – N/A not permitted for this mandatory check",IF(AND(TRIM(AC738)&lt;&gt;"",TRIM(AE738)&lt;&gt;"",TRIM(T738)&lt;&gt;""),"N/A – JUSTIFIED","INVALID – N/A needs justification, PIC and verifier")),IF(OR(TRIM(U738)="Pass",TRIM(U738)="Pass after CA"),IF(NOT(ISNUMBER(AD738)),"INVALID – completion time missing",IF(TRIM(T738)="","INVALID – PIC missing",IF(TRIM(Z738)="","INVALID – evidence missing",IF(TRIM(AE738)="","INVALID – verifier missing",IF(AND(AQ738=1,TRIM(W738)=""),"INVALID – batch ID missing",IF(AND(AR738=1,OR(NOT(ISNUMBER(X738)),NOT(ISNUMBER(Y738)))),"INVALID – expected/actual qty missing",IF(IF(AND(TRIM(U738)="Pass",ISNUMBER(AF738)),IF(AF738&lt;&gt;0,"INVALID – qty variance: use Fail or Pass after CA",""),"")&amp;IF(AND(TRIM(U738)="Pass",AB738="Open"),"INVALID – corrective action still open: use Fail, then Pass after CA","")&amp;IF(AND(TRIM(U738)="Pass after CA",OR(TRIM(AA738)="",AB738&lt;&gt;"Closed")),"INVALID – corrective action not recorded/closed","")&lt;&gt;"",IF(AND(TRIM(U738)="Pass",ISNUMBER(AF738)),IF(AF738&lt;&gt;0,"INVALID – qty variance: use Fail or Pass after CA",""),"")&amp;IF(AND(TRIM(U738)="Pass",AB738="Open"),"INVALID – corrective action still open: use Fail, then Pass after CA","")&amp;IF(AND(TRIM(U738)="Pass after CA",OR(TRIM(AA738)="",AB738&lt;&gt;"Closed")),"INVALID – corrective action not recorded/closed",""),IF(AND(AS738=1,Documents!$J$26&lt;&gt;"ON FILE"),"INVALID – GLD not on file (Documents sheet)",IF(AND(AS738=2,Documents!$O$26&lt;&gt;"ON FILE"),"INVALID – menu checklist not on file (Documents sheet)",IF(AND(AS738=3,NOT(ISNUMBER(Flights!$AX$26))),"INVALID – enter carrying flight KUL departure (Flights AX)",IF(AG738&gt;AsOfUTC,"INVALID – completion time is in the future",IF(AND(ISNUMBER(S738),AG738&lt;S738),IF(H738="Physical uplift","INVALID – before uplift window (cannot confirm loading)","INVALID – before valid window"),IF(AG738&gt;Flights!$AA$26,"INVALID – completed after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f>
        <v>OPEN</v>
      </c>
      <c r="AI738" s="61" t="n">
        <f aca="false">IF(OR(AH738="N/A – RULE",AH738="N/A – JUSTIFIED"),0,1)</f>
        <v>1</v>
      </c>
      <c r="AJ738" s="61" t="n">
        <f aca="false">IF(LEFT(AH738,8)="COMPLETE",1,0)</f>
        <v>0</v>
      </c>
      <c r="AK738" s="61" t="n">
        <f aca="false">IF(AND(AI738=1,AJ738=0,AsOfUTC&gt;Q738),1,0)</f>
        <v>0</v>
      </c>
      <c r="AL738" s="61" t="n">
        <f aca="false">IF(AND(AI738=1,OR(TRIM(U738)="Fail",AB738="Open",AND(ISNUMBER(AF738),AF738&lt;&gt;0,TRIM(U738)&lt;&gt;"Pass after CA"))),1,0)</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1</v>
      </c>
    </row>
    <row r="739" customFormat="false" ht="39.75" hidden="false" customHeight="true" outlineLevel="0" collapsed="false">
      <c r="A739" s="57" t="s">
        <v>1433</v>
      </c>
      <c r="B739" s="57" t="s">
        <v>302</v>
      </c>
      <c r="C739" s="57" t="str">
        <f aca="false">Flights!$F$26</f>
        <v>MH0002</v>
      </c>
      <c r="D739" s="58" t="n">
        <f aca="false">Flights!$D$26</f>
        <v>46325</v>
      </c>
      <c r="E739" s="57" t="str">
        <f aca="false">Flights!$G$26&amp;"-"&amp;Flights!$H$26</f>
        <v>KUL-LHR</v>
      </c>
      <c r="F739" s="57" t="str">
        <f aca="false">Flights!$K$26</f>
        <v>BC</v>
      </c>
      <c r="G739" s="57" t="s">
        <v>422</v>
      </c>
      <c r="H739" s="57" t="s">
        <v>423</v>
      </c>
      <c r="I739" s="57" t="s">
        <v>462</v>
      </c>
      <c r="J739" s="57" t="s">
        <v>502</v>
      </c>
      <c r="K739" s="67" t="s">
        <v>464</v>
      </c>
      <c r="L739" s="67" t="s">
        <v>701</v>
      </c>
      <c r="M739" s="67" t="s">
        <v>414</v>
      </c>
      <c r="N739" s="67" t="s">
        <v>346</v>
      </c>
      <c r="O739" s="67"/>
      <c r="P739" s="57" t="s">
        <v>177</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IF(N739="N/A – rule","N/A – RULE",IF(TRIM(U739)="N/A",IF(AT739=0,"INVALID – N/A not permitted for this mandatory check",IF(AND(TRIM(AC739)&lt;&gt;"",TRIM(AE739)&lt;&gt;"",TRIM(T739)&lt;&gt;""),"N/A – JUSTIFIED","INVALID – N/A needs justification, PIC and verifier")),IF(OR(TRIM(U739)="Pass",TRIM(U739)="Pass after CA"),IF(NOT(ISNUMBER(AD739)),"INVALID – completion time missing",IF(TRIM(T739)="","INVALID – PIC missing",IF(TRIM(Z739)="","INVALID – evidence missing",IF(TRIM(AE739)="","INVALID – verifier missing",IF(AND(AQ739=1,TRIM(W739)=""),"INVALID – batch ID missing",IF(AND(AR739=1,OR(NOT(ISNUMBER(X739)),NOT(ISNUMBER(Y739)))),"INVALID – expected/actual qty missing",IF(IF(AND(TRIM(U739)="Pass",ISNUMBER(AF739)),IF(AF739&lt;&gt;0,"INVALID – qty variance: use Fail or Pass after CA",""),"")&amp;IF(AND(TRIM(U739)="Pass",AB739="Open"),"INVALID – corrective action still open: use Fail, then Pass after CA","")&amp;IF(AND(TRIM(U739)="Pass after CA",OR(TRIM(AA739)="",AB739&lt;&gt;"Closed")),"INVALID – corrective action not recorded/closed","")&lt;&gt;"",IF(AND(TRIM(U739)="Pass",ISNUMBER(AF739)),IF(AF739&lt;&gt;0,"INVALID – qty variance: use Fail or Pass after CA",""),"")&amp;IF(AND(TRIM(U739)="Pass",AB739="Open"),"INVALID – corrective action still open: use Fail, then Pass after CA","")&amp;IF(AND(TRIM(U739)="Pass after CA",OR(TRIM(AA739)="",AB739&lt;&gt;"Closed")),"INVALID – corrective action not recorded/closed",""),IF(AND(AS739=1,Documents!$J$26&lt;&gt;"ON FILE"),"INVALID – GLD not on file (Documents sheet)",IF(AND(AS739=2,Documents!$O$26&lt;&gt;"ON FILE"),"INVALID – menu checklist not on file (Documents sheet)",IF(AND(AS739=3,NOT(ISNUMBER(Flights!$AX$26))),"INVALID – enter carrying flight KUL departure (Flights AX)",IF(AG739&gt;AsOfUTC,"INVALID – completion time is in the future",IF(AND(ISNUMBER(S739),AG739&lt;S739),IF(H739="Physical uplift","INVALID – before uplift window (cannot confirm loading)","INVALID – before valid window"),IF(AG739&gt;Flights!$AA$26,"INVALID – completed after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f>
        <v>OPEN</v>
      </c>
      <c r="AI739" s="61" t="n">
        <f aca="false">IF(OR(AH739="N/A – RULE",AH739="N/A – JUSTIFIED"),0,1)</f>
        <v>1</v>
      </c>
      <c r="AJ739" s="61" t="n">
        <f aca="false">IF(LEFT(AH739,8)="COMPLETE",1,0)</f>
        <v>0</v>
      </c>
      <c r="AK739" s="61" t="n">
        <f aca="false">IF(AND(AI739=1,AJ739=0,AsOfUTC&gt;Q739),1,0)</f>
        <v>0</v>
      </c>
      <c r="AL739" s="61" t="n">
        <f aca="false">IF(AND(AI739=1,OR(TRIM(U739)="Fail",AB739="Open",AND(ISNUMBER(AF739),AF739&lt;&gt;0,TRIM(U739)&lt;&gt;"Pass after CA"))),1,0)</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1</v>
      </c>
    </row>
    <row r="740" customFormat="false" ht="39.75" hidden="false" customHeight="true" outlineLevel="0" collapsed="false">
      <c r="A740" s="57" t="s">
        <v>1434</v>
      </c>
      <c r="B740" s="57" t="s">
        <v>302</v>
      </c>
      <c r="C740" s="57" t="str">
        <f aca="false">Flights!$F$26</f>
        <v>MH0002</v>
      </c>
      <c r="D740" s="58" t="n">
        <f aca="false">Flights!$D$26</f>
        <v>46325</v>
      </c>
      <c r="E740" s="57" t="str">
        <f aca="false">Flights!$G$26&amp;"-"&amp;Flights!$H$26</f>
        <v>KUL-LHR</v>
      </c>
      <c r="F740" s="57" t="str">
        <f aca="false">Flights!$K$26</f>
        <v>BC</v>
      </c>
      <c r="G740" s="57" t="s">
        <v>422</v>
      </c>
      <c r="H740" s="57" t="s">
        <v>423</v>
      </c>
      <c r="I740" s="57" t="s">
        <v>462</v>
      </c>
      <c r="J740" s="57" t="s">
        <v>504</v>
      </c>
      <c r="K740" s="67" t="s">
        <v>464</v>
      </c>
      <c r="L740" s="67" t="s">
        <v>703</v>
      </c>
      <c r="M740" s="67" t="s">
        <v>414</v>
      </c>
      <c r="N740" s="67" t="s">
        <v>346</v>
      </c>
      <c r="O740" s="67"/>
      <c r="P740" s="57" t="s">
        <v>177</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IF(N740="N/A – rule","N/A – RULE",IF(TRIM(U740)="N/A",IF(AT740=0,"INVALID – N/A not permitted for this mandatory check",IF(AND(TRIM(AC740)&lt;&gt;"",TRIM(AE740)&lt;&gt;"",TRIM(T740)&lt;&gt;""),"N/A – JUSTIFIED","INVALID – N/A needs justification, PIC and verifier")),IF(OR(TRIM(U740)="Pass",TRIM(U740)="Pass after CA"),IF(NOT(ISNUMBER(AD740)),"INVALID – completion time missing",IF(TRIM(T740)="","INVALID – PIC missing",IF(TRIM(Z740)="","INVALID – evidence missing",IF(TRIM(AE740)="","INVALID – verifier missing",IF(AND(AQ740=1,TRIM(W740)=""),"INVALID – batch ID missing",IF(AND(AR740=1,OR(NOT(ISNUMBER(X740)),NOT(ISNUMBER(Y740)))),"INVALID – expected/actual qty missing",IF(IF(AND(TRIM(U740)="Pass",ISNUMBER(AF740)),IF(AF740&lt;&gt;0,"INVALID – qty variance: use Fail or Pass after CA",""),"")&amp;IF(AND(TRIM(U740)="Pass",AB740="Open"),"INVALID – corrective action still open: use Fail, then Pass after CA","")&amp;IF(AND(TRIM(U740)="Pass after CA",OR(TRIM(AA740)="",AB740&lt;&gt;"Closed")),"INVALID – corrective action not recorded/closed","")&lt;&gt;"",IF(AND(TRIM(U740)="Pass",ISNUMBER(AF740)),IF(AF740&lt;&gt;0,"INVALID – qty variance: use Fail or Pass after CA",""),"")&amp;IF(AND(TRIM(U740)="Pass",AB740="Open"),"INVALID – corrective action still open: use Fail, then Pass after CA","")&amp;IF(AND(TRIM(U740)="Pass after CA",OR(TRIM(AA740)="",AB740&lt;&gt;"Closed")),"INVALID – corrective action not recorded/closed",""),IF(AND(AS740=1,Documents!$J$26&lt;&gt;"ON FILE"),"INVALID – GLD not on file (Documents sheet)",IF(AND(AS740=2,Documents!$O$26&lt;&gt;"ON FILE"),"INVALID – menu checklist not on file (Documents sheet)",IF(AND(AS740=3,NOT(ISNUMBER(Flights!$AX$26))),"INVALID – enter carrying flight KUL departure (Flights AX)",IF(AG740&gt;AsOfUTC,"INVALID – completion time is in the future",IF(AND(ISNUMBER(S740),AG740&lt;S740),IF(H740="Physical uplift","INVALID – before uplift window (cannot confirm loading)","INVALID – before valid window"),IF(AG740&gt;Flights!$AA$26,"INVALID – completed after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f>
        <v>OPEN</v>
      </c>
      <c r="AI740" s="61" t="n">
        <f aca="false">IF(OR(AH740="N/A – RULE",AH740="N/A – JUSTIFIED"),0,1)</f>
        <v>1</v>
      </c>
      <c r="AJ740" s="61" t="n">
        <f aca="false">IF(LEFT(AH740,8)="COMPLETE",1,0)</f>
        <v>0</v>
      </c>
      <c r="AK740" s="61" t="n">
        <f aca="false">IF(AND(AI740=1,AJ740=0,AsOfUTC&gt;Q740),1,0)</f>
        <v>0</v>
      </c>
      <c r="AL740" s="61" t="n">
        <f aca="false">IF(AND(AI740=1,OR(TRIM(U740)="Fail",AB740="Open",AND(ISNUMBER(AF740),AF740&lt;&gt;0,TRIM(U740)&lt;&gt;"Pass after CA"))),1,0)</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1</v>
      </c>
    </row>
    <row r="741" customFormat="false" ht="39.75" hidden="false" customHeight="true" outlineLevel="0" collapsed="false">
      <c r="A741" s="57" t="s">
        <v>1435</v>
      </c>
      <c r="B741" s="57" t="s">
        <v>302</v>
      </c>
      <c r="C741" s="57" t="str">
        <f aca="false">Flights!$F$26</f>
        <v>MH0002</v>
      </c>
      <c r="D741" s="58" t="n">
        <f aca="false">Flights!$D$26</f>
        <v>46325</v>
      </c>
      <c r="E741" s="57" t="str">
        <f aca="false">Flights!$G$26&amp;"-"&amp;Flights!$H$26</f>
        <v>KUL-LHR</v>
      </c>
      <c r="F741" s="57" t="str">
        <f aca="false">Flights!$K$26</f>
        <v>BC</v>
      </c>
      <c r="G741" s="57" t="s">
        <v>422</v>
      </c>
      <c r="H741" s="57" t="s">
        <v>423</v>
      </c>
      <c r="I741" s="57" t="s">
        <v>462</v>
      </c>
      <c r="J741" s="57" t="s">
        <v>506</v>
      </c>
      <c r="K741" s="67" t="s">
        <v>464</v>
      </c>
      <c r="L741" s="67" t="s">
        <v>705</v>
      </c>
      <c r="M741" s="67" t="s">
        <v>414</v>
      </c>
      <c r="N741" s="67" t="s">
        <v>346</v>
      </c>
      <c r="O741" s="67"/>
      <c r="P741" s="57" t="s">
        <v>177</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IF(N741="N/A – rule","N/A – RULE",IF(TRIM(U741)="N/A",IF(AT741=0,"INVALID – N/A not permitted for this mandatory check",IF(AND(TRIM(AC741)&lt;&gt;"",TRIM(AE741)&lt;&gt;"",TRIM(T741)&lt;&gt;""),"N/A – JUSTIFIED","INVALID – N/A needs justification, PIC and verifier")),IF(OR(TRIM(U741)="Pass",TRIM(U741)="Pass after CA"),IF(NOT(ISNUMBER(AD741)),"INVALID – completion time missing",IF(TRIM(T741)="","INVALID – PIC missing",IF(TRIM(Z741)="","INVALID – evidence missing",IF(TRIM(AE741)="","INVALID – verifier missing",IF(AND(AQ741=1,TRIM(W741)=""),"INVALID – batch ID missing",IF(AND(AR741=1,OR(NOT(ISNUMBER(X741)),NOT(ISNUMBER(Y741)))),"INVALID – expected/actual qty missing",IF(IF(AND(TRIM(U741)="Pass",ISNUMBER(AF741)),IF(AF741&lt;&gt;0,"INVALID – qty variance: use Fail or Pass after CA",""),"")&amp;IF(AND(TRIM(U741)="Pass",AB741="Open"),"INVALID – corrective action still open: use Fail, then Pass after CA","")&amp;IF(AND(TRIM(U741)="Pass after CA",OR(TRIM(AA741)="",AB741&lt;&gt;"Closed")),"INVALID – corrective action not recorded/closed","")&lt;&gt;"",IF(AND(TRIM(U741)="Pass",ISNUMBER(AF741)),IF(AF741&lt;&gt;0,"INVALID – qty variance: use Fail or Pass after CA",""),"")&amp;IF(AND(TRIM(U741)="Pass",AB741="Open"),"INVALID – corrective action still open: use Fail, then Pass after CA","")&amp;IF(AND(TRIM(U741)="Pass after CA",OR(TRIM(AA741)="",AB741&lt;&gt;"Closed")),"INVALID – corrective action not recorded/closed",""),IF(AND(AS741=1,Documents!$J$26&lt;&gt;"ON FILE"),"INVALID – GLD not on file (Documents sheet)",IF(AND(AS741=2,Documents!$O$26&lt;&gt;"ON FILE"),"INVALID – menu checklist not on file (Documents sheet)",IF(AND(AS741=3,NOT(ISNUMBER(Flights!$AX$26))),"INVALID – enter carrying flight KUL departure (Flights AX)",IF(AG741&gt;AsOfUTC,"INVALID – completion time is in the future",IF(AND(ISNUMBER(S741),AG741&lt;S741),IF(H741="Physical uplift","INVALID – before uplift window (cannot confirm loading)","INVALID – before valid window"),IF(AG741&gt;Flights!$AA$26,"INVALID – completed after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f>
        <v>OPEN</v>
      </c>
      <c r="AI741" s="61" t="n">
        <f aca="false">IF(OR(AH741="N/A – RULE",AH741="N/A – JUSTIFIED"),0,1)</f>
        <v>1</v>
      </c>
      <c r="AJ741" s="61" t="n">
        <f aca="false">IF(LEFT(AH741,8)="COMPLETE",1,0)</f>
        <v>0</v>
      </c>
      <c r="AK741" s="61" t="n">
        <f aca="false">IF(AND(AI741=1,AJ741=0,AsOfUTC&gt;Q741),1,0)</f>
        <v>0</v>
      </c>
      <c r="AL741" s="61" t="n">
        <f aca="false">IF(AND(AI741=1,OR(TRIM(U741)="Fail",AB741="Open",AND(ISNUMBER(AF741),AF741&lt;&gt;0,TRIM(U741)&lt;&gt;"Pass after CA"))),1,0)</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1</v>
      </c>
    </row>
    <row r="742" customFormat="false" ht="39.75" hidden="false" customHeight="true" outlineLevel="0" collapsed="false">
      <c r="A742" s="57" t="s">
        <v>1436</v>
      </c>
      <c r="B742" s="57" t="s">
        <v>302</v>
      </c>
      <c r="C742" s="57" t="str">
        <f aca="false">Flights!$F$26</f>
        <v>MH0002</v>
      </c>
      <c r="D742" s="58" t="n">
        <f aca="false">Flights!$D$26</f>
        <v>46325</v>
      </c>
      <c r="E742" s="57" t="str">
        <f aca="false">Flights!$G$26&amp;"-"&amp;Flights!$H$26</f>
        <v>KUL-LHR</v>
      </c>
      <c r="F742" s="57" t="str">
        <f aca="false">Flights!$K$26</f>
        <v>BC</v>
      </c>
      <c r="G742" s="57" t="s">
        <v>422</v>
      </c>
      <c r="H742" s="57" t="s">
        <v>423</v>
      </c>
      <c r="I742" s="57" t="s">
        <v>462</v>
      </c>
      <c r="J742" s="57" t="s">
        <v>509</v>
      </c>
      <c r="K742" s="67" t="s">
        <v>464</v>
      </c>
      <c r="L742" s="67" t="s">
        <v>707</v>
      </c>
      <c r="M742" s="67" t="s">
        <v>414</v>
      </c>
      <c r="N742" s="67" t="s">
        <v>346</v>
      </c>
      <c r="O742" s="67"/>
      <c r="P742" s="57" t="s">
        <v>177</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IF(N742="N/A – rule","N/A – RULE",IF(TRIM(U742)="N/A",IF(AT742=0,"INVALID – N/A not permitted for this mandatory check",IF(AND(TRIM(AC742)&lt;&gt;"",TRIM(AE742)&lt;&gt;"",TRIM(T742)&lt;&gt;""),"N/A – JUSTIFIED","INVALID – N/A needs justification, PIC and verifier")),IF(OR(TRIM(U742)="Pass",TRIM(U742)="Pass after CA"),IF(NOT(ISNUMBER(AD742)),"INVALID – completion time missing",IF(TRIM(T742)="","INVALID – PIC missing",IF(TRIM(Z742)="","INVALID – evidence missing",IF(TRIM(AE742)="","INVALID – verifier missing",IF(AND(AQ742=1,TRIM(W742)=""),"INVALID – batch ID missing",IF(AND(AR742=1,OR(NOT(ISNUMBER(X742)),NOT(ISNUMBER(Y742)))),"INVALID – expected/actual qty missing",IF(IF(AND(TRIM(U742)="Pass",ISNUMBER(AF742)),IF(AF742&lt;&gt;0,"INVALID – qty variance: use Fail or Pass after CA",""),"")&amp;IF(AND(TRIM(U742)="Pass",AB742="Open"),"INVALID – corrective action still open: use Fail, then Pass after CA","")&amp;IF(AND(TRIM(U742)="Pass after CA",OR(TRIM(AA742)="",AB742&lt;&gt;"Closed")),"INVALID – corrective action not recorded/closed","")&lt;&gt;"",IF(AND(TRIM(U742)="Pass",ISNUMBER(AF742)),IF(AF742&lt;&gt;0,"INVALID – qty variance: use Fail or Pass after CA",""),"")&amp;IF(AND(TRIM(U742)="Pass",AB742="Open"),"INVALID – corrective action still open: use Fail, then Pass after CA","")&amp;IF(AND(TRIM(U742)="Pass after CA",OR(TRIM(AA742)="",AB742&lt;&gt;"Closed")),"INVALID – corrective action not recorded/closed",""),IF(AND(AS742=1,Documents!$J$26&lt;&gt;"ON FILE"),"INVALID – GLD not on file (Documents sheet)",IF(AND(AS742=2,Documents!$O$26&lt;&gt;"ON FILE"),"INVALID – menu checklist not on file (Documents sheet)",IF(AND(AS742=3,NOT(ISNUMBER(Flights!$AX$26))),"INVALID – enter carrying flight KUL departure (Flights AX)",IF(AG742&gt;AsOfUTC,"INVALID – completion time is in the future",IF(AND(ISNUMBER(S742),AG742&lt;S742),IF(H742="Physical uplift","INVALID – before uplift window (cannot confirm loading)","INVALID – before valid window"),IF(AG742&gt;Flights!$AA$26,"INVALID – completed after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f>
        <v>OPEN</v>
      </c>
      <c r="AI742" s="61" t="n">
        <f aca="false">IF(OR(AH742="N/A – RULE",AH742="N/A – JUSTIFIED"),0,1)</f>
        <v>1</v>
      </c>
      <c r="AJ742" s="61" t="n">
        <f aca="false">IF(LEFT(AH742,8)="COMPLETE",1,0)</f>
        <v>0</v>
      </c>
      <c r="AK742" s="61" t="n">
        <f aca="false">IF(AND(AI742=1,AJ742=0,AsOfUTC&gt;Q742),1,0)</f>
        <v>0</v>
      </c>
      <c r="AL742" s="61" t="n">
        <f aca="false">IF(AND(AI742=1,OR(TRIM(U742)="Fail",AB742="Open",AND(ISNUMBER(AF742),AF742&lt;&gt;0,TRIM(U742)&lt;&gt;"Pass after CA"))),1,0)</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1</v>
      </c>
    </row>
    <row r="743" customFormat="false" ht="39.75" hidden="false" customHeight="true" outlineLevel="0" collapsed="false">
      <c r="A743" s="57" t="s">
        <v>1437</v>
      </c>
      <c r="B743" s="57" t="s">
        <v>302</v>
      </c>
      <c r="C743" s="57" t="str">
        <f aca="false">Flights!$F$26</f>
        <v>MH0002</v>
      </c>
      <c r="D743" s="58" t="n">
        <f aca="false">Flights!$D$26</f>
        <v>46325</v>
      </c>
      <c r="E743" s="57" t="str">
        <f aca="false">Flights!$G$26&amp;"-"&amp;Flights!$H$26</f>
        <v>KUL-LHR</v>
      </c>
      <c r="F743" s="57" t="str">
        <f aca="false">Flights!$K$26</f>
        <v>BC</v>
      </c>
      <c r="G743" s="57" t="s">
        <v>422</v>
      </c>
      <c r="H743" s="57" t="s">
        <v>423</v>
      </c>
      <c r="I743" s="57" t="s">
        <v>462</v>
      </c>
      <c r="J743" s="57" t="s">
        <v>511</v>
      </c>
      <c r="K743" s="67" t="s">
        <v>579</v>
      </c>
      <c r="L743" s="67" t="s">
        <v>709</v>
      </c>
      <c r="M743" s="67" t="s">
        <v>414</v>
      </c>
      <c r="N743" s="67" t="s">
        <v>346</v>
      </c>
      <c r="O743" s="67" t="s">
        <v>512</v>
      </c>
      <c r="P743" s="57" t="s">
        <v>177</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IF(N743="N/A – rule","N/A – RULE",IF(TRIM(U743)="N/A",IF(AT743=0,"INVALID – N/A not permitted for this mandatory check",IF(AND(TRIM(AC743)&lt;&gt;"",TRIM(AE743)&lt;&gt;"",TRIM(T743)&lt;&gt;""),"N/A – JUSTIFIED","INVALID – N/A needs justification, PIC and verifier")),IF(OR(TRIM(U743)="Pass",TRIM(U743)="Pass after CA"),IF(NOT(ISNUMBER(AD743)),"INVALID – completion time missing",IF(TRIM(T743)="","INVALID – PIC missing",IF(TRIM(Z743)="","INVALID – evidence missing",IF(TRIM(AE743)="","INVALID – verifier missing",IF(AND(AQ743=1,TRIM(W743)=""),"INVALID – batch ID missing",IF(AND(AR743=1,OR(NOT(ISNUMBER(X743)),NOT(ISNUMBER(Y743)))),"INVALID – expected/actual qty missing",IF(IF(AND(TRIM(U743)="Pass",ISNUMBER(AF743)),IF(AF743&lt;&gt;0,"INVALID – qty variance: use Fail or Pass after CA",""),"")&amp;IF(AND(TRIM(U743)="Pass",AB743="Open"),"INVALID – corrective action still open: use Fail, then Pass after CA","")&amp;IF(AND(TRIM(U743)="Pass after CA",OR(TRIM(AA743)="",AB743&lt;&gt;"Closed")),"INVALID – corrective action not recorded/closed","")&lt;&gt;"",IF(AND(TRIM(U743)="Pass",ISNUMBER(AF743)),IF(AF743&lt;&gt;0,"INVALID – qty variance: use Fail or Pass after CA",""),"")&amp;IF(AND(TRIM(U743)="Pass",AB743="Open"),"INVALID – corrective action still open: use Fail, then Pass after CA","")&amp;IF(AND(TRIM(U743)="Pass after CA",OR(TRIM(AA743)="",AB743&lt;&gt;"Closed")),"INVALID – corrective action not recorded/closed",""),IF(AND(AS743=1,Documents!$J$26&lt;&gt;"ON FILE"),"INVALID – GLD not on file (Documents sheet)",IF(AND(AS743=2,Documents!$O$26&lt;&gt;"ON FILE"),"INVALID – menu checklist not on file (Documents sheet)",IF(AND(AS743=3,NOT(ISNUMBER(Flights!$AX$26))),"INVALID – enter carrying flight KUL departure (Flights AX)",IF(AG743&gt;AsOfUTC,"INVALID – completion time is in the future",IF(AND(ISNUMBER(S743),AG743&lt;S743),IF(H743="Physical uplift","INVALID – before uplift window (cannot confirm loading)","INVALID – before valid window"),IF(AG743&gt;Flights!$AA$26,"INVALID – completed after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f>
        <v>OPEN</v>
      </c>
      <c r="AI743" s="61" t="n">
        <f aca="false">IF(OR(AH743="N/A – RULE",AH743="N/A – JUSTIFIED"),0,1)</f>
        <v>1</v>
      </c>
      <c r="AJ743" s="61" t="n">
        <f aca="false">IF(LEFT(AH743,8)="COMPLETE",1,0)</f>
        <v>0</v>
      </c>
      <c r="AK743" s="61" t="n">
        <f aca="false">IF(AND(AI743=1,AJ743=0,AsOfUTC&gt;Q743),1,0)</f>
        <v>0</v>
      </c>
      <c r="AL743" s="61" t="n">
        <f aca="false">IF(AND(AI743=1,OR(TRIM(U743)="Fail",AB743="Open",AND(ISNUMBER(AF743),AF743&lt;&gt;0,TRIM(U743)&lt;&gt;"Pass after CA"))),1,0)</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1</v>
      </c>
    </row>
    <row r="744" customFormat="false" ht="39.75" hidden="false" customHeight="true" outlineLevel="0" collapsed="false">
      <c r="A744" s="57" t="s">
        <v>1438</v>
      </c>
      <c r="B744" s="57" t="s">
        <v>302</v>
      </c>
      <c r="C744" s="57" t="str">
        <f aca="false">Flights!$F$26</f>
        <v>MH0002</v>
      </c>
      <c r="D744" s="58" t="n">
        <f aca="false">Flights!$D$26</f>
        <v>46325</v>
      </c>
      <c r="E744" s="57" t="str">
        <f aca="false">Flights!$G$26&amp;"-"&amp;Flights!$H$26</f>
        <v>KUL-LHR</v>
      </c>
      <c r="F744" s="57" t="str">
        <f aca="false">Flights!$K$26</f>
        <v>BC</v>
      </c>
      <c r="G744" s="57" t="s">
        <v>422</v>
      </c>
      <c r="H744" s="57" t="s">
        <v>423</v>
      </c>
      <c r="I744" s="57" t="s">
        <v>462</v>
      </c>
      <c r="J744" s="57" t="s">
        <v>514</v>
      </c>
      <c r="K744" s="67" t="s">
        <v>464</v>
      </c>
      <c r="L744" s="67" t="s">
        <v>711</v>
      </c>
      <c r="M744" s="67" t="s">
        <v>414</v>
      </c>
      <c r="N744" s="67" t="s">
        <v>346</v>
      </c>
      <c r="O744" s="67"/>
      <c r="P744" s="57" t="s">
        <v>177</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IF(N744="N/A – rule","N/A – RULE",IF(TRIM(U744)="N/A",IF(AT744=0,"INVALID – N/A not permitted for this mandatory check",IF(AND(TRIM(AC744)&lt;&gt;"",TRIM(AE744)&lt;&gt;"",TRIM(T744)&lt;&gt;""),"N/A – JUSTIFIED","INVALID – N/A needs justification, PIC and verifier")),IF(OR(TRIM(U744)="Pass",TRIM(U744)="Pass after CA"),IF(NOT(ISNUMBER(AD744)),"INVALID – completion time missing",IF(TRIM(T744)="","INVALID – PIC missing",IF(TRIM(Z744)="","INVALID – evidence missing",IF(TRIM(AE744)="","INVALID – verifier missing",IF(AND(AQ744=1,TRIM(W744)=""),"INVALID – batch ID missing",IF(AND(AR744=1,OR(NOT(ISNUMBER(X744)),NOT(ISNUMBER(Y744)))),"INVALID – expected/actual qty missing",IF(IF(AND(TRIM(U744)="Pass",ISNUMBER(AF744)),IF(AF744&lt;&gt;0,"INVALID – qty variance: use Fail or Pass after CA",""),"")&amp;IF(AND(TRIM(U744)="Pass",AB744="Open"),"INVALID – corrective action still open: use Fail, then Pass after CA","")&amp;IF(AND(TRIM(U744)="Pass after CA",OR(TRIM(AA744)="",AB744&lt;&gt;"Closed")),"INVALID – corrective action not recorded/closed","")&lt;&gt;"",IF(AND(TRIM(U744)="Pass",ISNUMBER(AF744)),IF(AF744&lt;&gt;0,"INVALID – qty variance: use Fail or Pass after CA",""),"")&amp;IF(AND(TRIM(U744)="Pass",AB744="Open"),"INVALID – corrective action still open: use Fail, then Pass after CA","")&amp;IF(AND(TRIM(U744)="Pass after CA",OR(TRIM(AA744)="",AB744&lt;&gt;"Closed")),"INVALID – corrective action not recorded/closed",""),IF(AND(AS744=1,Documents!$J$26&lt;&gt;"ON FILE"),"INVALID – GLD not on file (Documents sheet)",IF(AND(AS744=2,Documents!$O$26&lt;&gt;"ON FILE"),"INVALID – menu checklist not on file (Documents sheet)",IF(AND(AS744=3,NOT(ISNUMBER(Flights!$AX$26))),"INVALID – enter carrying flight KUL departure (Flights AX)",IF(AG744&gt;AsOfUTC,"INVALID – completion time is in the future",IF(AND(ISNUMBER(S744),AG744&lt;S744),IF(H744="Physical uplift","INVALID – before uplift window (cannot confirm loading)","INVALID – before valid window"),IF(AG744&gt;Flights!$AA$26,"INVALID – completed after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f>
        <v>OPEN</v>
      </c>
      <c r="AI744" s="61" t="n">
        <f aca="false">IF(OR(AH744="N/A – RULE",AH744="N/A – JUSTIFIED"),0,1)</f>
        <v>1</v>
      </c>
      <c r="AJ744" s="61" t="n">
        <f aca="false">IF(LEFT(AH744,8)="COMPLETE",1,0)</f>
        <v>0</v>
      </c>
      <c r="AK744" s="61" t="n">
        <f aca="false">IF(AND(AI744=1,AJ744=0,AsOfUTC&gt;Q744),1,0)</f>
        <v>0</v>
      </c>
      <c r="AL744" s="61" t="n">
        <f aca="false">IF(AND(AI744=1,OR(TRIM(U744)="Fail",AB744="Open",AND(ISNUMBER(AF744),AF744&lt;&gt;0,TRIM(U744)&lt;&gt;"Pass after CA"))),1,0)</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1</v>
      </c>
    </row>
    <row r="745" customFormat="false" ht="39.75" hidden="false" customHeight="true" outlineLevel="0" collapsed="false">
      <c r="A745" s="57" t="s">
        <v>1439</v>
      </c>
      <c r="B745" s="57" t="s">
        <v>302</v>
      </c>
      <c r="C745" s="57" t="str">
        <f aca="false">Flights!$F$26</f>
        <v>MH0002</v>
      </c>
      <c r="D745" s="58" t="n">
        <f aca="false">Flights!$D$26</f>
        <v>46325</v>
      </c>
      <c r="E745" s="57" t="str">
        <f aca="false">Flights!$G$26&amp;"-"&amp;Flights!$H$26</f>
        <v>KUL-LHR</v>
      </c>
      <c r="F745" s="57" t="str">
        <f aca="false">Flights!$K$26</f>
        <v>BC</v>
      </c>
      <c r="G745" s="57" t="s">
        <v>422</v>
      </c>
      <c r="H745" s="57" t="s">
        <v>423</v>
      </c>
      <c r="I745" s="57" t="s">
        <v>410</v>
      </c>
      <c r="J745" s="57" t="s">
        <v>516</v>
      </c>
      <c r="K745" s="67" t="s">
        <v>412</v>
      </c>
      <c r="L745" s="67" t="s">
        <v>713</v>
      </c>
      <c r="M745" s="67" t="s">
        <v>414</v>
      </c>
      <c r="N745" s="67" t="s">
        <v>346</v>
      </c>
      <c r="O745" s="67"/>
      <c r="P745" s="57" t="s">
        <v>177</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IF(N745="N/A – rule","N/A – RULE",IF(TRIM(U745)="N/A",IF(AT745=0,"INVALID – N/A not permitted for this mandatory check",IF(AND(TRIM(AC745)&lt;&gt;"",TRIM(AE745)&lt;&gt;"",TRIM(T745)&lt;&gt;""),"N/A – JUSTIFIED","INVALID – N/A needs justification, PIC and verifier")),IF(OR(TRIM(U745)="Pass",TRIM(U745)="Pass after CA"),IF(NOT(ISNUMBER(AD745)),"INVALID – completion time missing",IF(TRIM(T745)="","INVALID – PIC missing",IF(TRIM(Z745)="","INVALID – evidence missing",IF(TRIM(AE745)="","INVALID – verifier missing",IF(AND(AQ745=1,TRIM(W745)=""),"INVALID – batch ID missing",IF(AND(AR745=1,OR(NOT(ISNUMBER(X745)),NOT(ISNUMBER(Y745)))),"INVALID – expected/actual qty missing",IF(IF(AND(TRIM(U745)="Pass",ISNUMBER(AF745)),IF(AF745&lt;&gt;0,"INVALID – qty variance: use Fail or Pass after CA",""),"")&amp;IF(AND(TRIM(U745)="Pass",AB745="Open"),"INVALID – corrective action still open: use Fail, then Pass after CA","")&amp;IF(AND(TRIM(U745)="Pass after CA",OR(TRIM(AA745)="",AB745&lt;&gt;"Closed")),"INVALID – corrective action not recorded/closed","")&lt;&gt;"",IF(AND(TRIM(U745)="Pass",ISNUMBER(AF745)),IF(AF745&lt;&gt;0,"INVALID – qty variance: use Fail or Pass after CA",""),"")&amp;IF(AND(TRIM(U745)="Pass",AB745="Open"),"INVALID – corrective action still open: use Fail, then Pass after CA","")&amp;IF(AND(TRIM(U745)="Pass after CA",OR(TRIM(AA745)="",AB745&lt;&gt;"Closed")),"INVALID – corrective action not recorded/closed",""),IF(AND(AS745=1,Documents!$J$26&lt;&gt;"ON FILE"),"INVALID – GLD not on file (Documents sheet)",IF(AND(AS745=2,Documents!$O$26&lt;&gt;"ON FILE"),"INVALID – menu checklist not on file (Documents sheet)",IF(AND(AS745=3,NOT(ISNUMBER(Flights!$AX$26))),"INVALID – enter carrying flight KUL departure (Flights AX)",IF(AG745&gt;AsOfUTC,"INVALID – completion time is in the future",IF(AND(ISNUMBER(S745),AG745&lt;S745),IF(H745="Physical uplift","INVALID – before uplift window (cannot confirm loading)","INVALID – before valid window"),IF(AG745&gt;Flights!$AA$26,"INVALID – completed after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f>
        <v>OPEN</v>
      </c>
      <c r="AI745" s="61" t="n">
        <f aca="false">IF(OR(AH745="N/A – RULE",AH745="N/A – JUSTIFIED"),0,1)</f>
        <v>1</v>
      </c>
      <c r="AJ745" s="61" t="n">
        <f aca="false">IF(LEFT(AH745,8)="COMPLETE",1,0)</f>
        <v>0</v>
      </c>
      <c r="AK745" s="61" t="n">
        <f aca="false">IF(AND(AI745=1,AJ745=0,AsOfUTC&gt;Q745),1,0)</f>
        <v>0</v>
      </c>
      <c r="AL745" s="61" t="n">
        <f aca="false">IF(AND(AI745=1,OR(TRIM(U745)="Fail",AB745="Open",AND(ISNUMBER(AF745),AF745&lt;&gt;0,TRIM(U745)&lt;&gt;"Pass after CA"))),1,0)</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1</v>
      </c>
    </row>
    <row r="746" customFormat="false" ht="39.75" hidden="false" customHeight="true" outlineLevel="0" collapsed="false">
      <c r="A746" s="57" t="s">
        <v>1440</v>
      </c>
      <c r="B746" s="57" t="s">
        <v>302</v>
      </c>
      <c r="C746" s="57" t="str">
        <f aca="false">Flights!$F$26</f>
        <v>MH0002</v>
      </c>
      <c r="D746" s="58" t="n">
        <f aca="false">Flights!$D$26</f>
        <v>46325</v>
      </c>
      <c r="E746" s="57" t="str">
        <f aca="false">Flights!$G$26&amp;"-"&amp;Flights!$H$26</f>
        <v>KUL-LHR</v>
      </c>
      <c r="F746" s="57" t="str">
        <f aca="false">Flights!$K$26</f>
        <v>BC</v>
      </c>
      <c r="G746" s="57" t="s">
        <v>422</v>
      </c>
      <c r="H746" s="57" t="s">
        <v>423</v>
      </c>
      <c r="I746" s="57" t="s">
        <v>410</v>
      </c>
      <c r="J746" s="57" t="s">
        <v>616</v>
      </c>
      <c r="K746" s="67" t="s">
        <v>412</v>
      </c>
      <c r="L746" s="67" t="s">
        <v>715</v>
      </c>
      <c r="M746" s="67" t="s">
        <v>414</v>
      </c>
      <c r="N746" s="67" t="s">
        <v>346</v>
      </c>
      <c r="O746" s="67"/>
      <c r="P746" s="57" t="s">
        <v>177</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IF(N746="N/A – rule","N/A – RULE",IF(TRIM(U746)="N/A",IF(AT746=0,"INVALID – N/A not permitted for this mandatory check",IF(AND(TRIM(AC746)&lt;&gt;"",TRIM(AE746)&lt;&gt;"",TRIM(T746)&lt;&gt;""),"N/A – JUSTIFIED","INVALID – N/A needs justification, PIC and verifier")),IF(OR(TRIM(U746)="Pass",TRIM(U746)="Pass after CA"),IF(NOT(ISNUMBER(AD746)),"INVALID – completion time missing",IF(TRIM(T746)="","INVALID – PIC missing",IF(TRIM(Z746)="","INVALID – evidence missing",IF(TRIM(AE746)="","INVALID – verifier missing",IF(AND(AQ746=1,TRIM(W746)=""),"INVALID – batch ID missing",IF(AND(AR746=1,OR(NOT(ISNUMBER(X746)),NOT(ISNUMBER(Y746)))),"INVALID – expected/actual qty missing",IF(IF(AND(TRIM(U746)="Pass",ISNUMBER(AF746)),IF(AF746&lt;&gt;0,"INVALID – qty variance: use Fail or Pass after CA",""),"")&amp;IF(AND(TRIM(U746)="Pass",AB746="Open"),"INVALID – corrective action still open: use Fail, then Pass after CA","")&amp;IF(AND(TRIM(U746)="Pass after CA",OR(TRIM(AA746)="",AB746&lt;&gt;"Closed")),"INVALID – corrective action not recorded/closed","")&lt;&gt;"",IF(AND(TRIM(U746)="Pass",ISNUMBER(AF746)),IF(AF746&lt;&gt;0,"INVALID – qty variance: use Fail or Pass after CA",""),"")&amp;IF(AND(TRIM(U746)="Pass",AB746="Open"),"INVALID – corrective action still open: use Fail, then Pass after CA","")&amp;IF(AND(TRIM(U746)="Pass after CA",OR(TRIM(AA746)="",AB746&lt;&gt;"Closed")),"INVALID – corrective action not recorded/closed",""),IF(AND(AS746=1,Documents!$J$26&lt;&gt;"ON FILE"),"INVALID – GLD not on file (Documents sheet)",IF(AND(AS746=2,Documents!$O$26&lt;&gt;"ON FILE"),"INVALID – menu checklist not on file (Documents sheet)",IF(AND(AS746=3,NOT(ISNUMBER(Flights!$AX$26))),"INVALID – enter carrying flight KUL departure (Flights AX)",IF(AG746&gt;AsOfUTC,"INVALID – completion time is in the future",IF(AND(ISNUMBER(S746),AG746&lt;S746),IF(H746="Physical uplift","INVALID – before uplift window (cannot confirm loading)","INVALID – before valid window"),IF(AG746&gt;Flights!$AA$26,"INVALID – completed after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f>
        <v>OPEN</v>
      </c>
      <c r="AI746" s="61" t="n">
        <f aca="false">IF(OR(AH746="N/A – RULE",AH746="N/A – JUSTIFIED"),0,1)</f>
        <v>1</v>
      </c>
      <c r="AJ746" s="61" t="n">
        <f aca="false">IF(LEFT(AH746,8)="COMPLETE",1,0)</f>
        <v>0</v>
      </c>
      <c r="AK746" s="61" t="n">
        <f aca="false">IF(AND(AI746=1,AJ746=0,AsOfUTC&gt;Q746),1,0)</f>
        <v>0</v>
      </c>
      <c r="AL746" s="61" t="n">
        <f aca="false">IF(AND(AI746=1,OR(TRIM(U746)="Fail",AB746="Open",AND(ISNUMBER(AF746),AF746&lt;&gt;0,TRIM(U746)&lt;&gt;"Pass after CA"))),1,0)</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1</v>
      </c>
    </row>
    <row r="747" customFormat="false" ht="39.75" hidden="false" customHeight="true" outlineLevel="0" collapsed="false">
      <c r="A747" s="57" t="s">
        <v>1441</v>
      </c>
      <c r="B747" s="57" t="s">
        <v>302</v>
      </c>
      <c r="C747" s="57" t="str">
        <f aca="false">Flights!$F$26</f>
        <v>MH0002</v>
      </c>
      <c r="D747" s="58" t="n">
        <f aca="false">Flights!$D$26</f>
        <v>46325</v>
      </c>
      <c r="E747" s="57" t="str">
        <f aca="false">Flights!$G$26&amp;"-"&amp;Flights!$H$26</f>
        <v>KUL-LHR</v>
      </c>
      <c r="F747" s="57" t="str">
        <f aca="false">Flights!$K$26</f>
        <v>BC</v>
      </c>
      <c r="G747" s="57" t="s">
        <v>422</v>
      </c>
      <c r="H747" s="57" t="s">
        <v>423</v>
      </c>
      <c r="I747" s="57" t="s">
        <v>410</v>
      </c>
      <c r="J747" s="57" t="s">
        <v>618</v>
      </c>
      <c r="K747" s="67" t="s">
        <v>412</v>
      </c>
      <c r="L747" s="67" t="s">
        <v>717</v>
      </c>
      <c r="M747" s="67" t="s">
        <v>414</v>
      </c>
      <c r="N747" s="67" t="s">
        <v>346</v>
      </c>
      <c r="O747" s="67"/>
      <c r="P747" s="57" t="s">
        <v>177</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IF(N747="N/A – rule","N/A – RULE",IF(TRIM(U747)="N/A",IF(AT747=0,"INVALID – N/A not permitted for this mandatory check",IF(AND(TRIM(AC747)&lt;&gt;"",TRIM(AE747)&lt;&gt;"",TRIM(T747)&lt;&gt;""),"N/A – JUSTIFIED","INVALID – N/A needs justification, PIC and verifier")),IF(OR(TRIM(U747)="Pass",TRIM(U747)="Pass after CA"),IF(NOT(ISNUMBER(AD747)),"INVALID – completion time missing",IF(TRIM(T747)="","INVALID – PIC missing",IF(TRIM(Z747)="","INVALID – evidence missing",IF(TRIM(AE747)="","INVALID – verifier missing",IF(AND(AQ747=1,TRIM(W747)=""),"INVALID – batch ID missing",IF(AND(AR747=1,OR(NOT(ISNUMBER(X747)),NOT(ISNUMBER(Y747)))),"INVALID – expected/actual qty missing",IF(IF(AND(TRIM(U747)="Pass",ISNUMBER(AF747)),IF(AF747&lt;&gt;0,"INVALID – qty variance: use Fail or Pass after CA",""),"")&amp;IF(AND(TRIM(U747)="Pass",AB747="Open"),"INVALID – corrective action still open: use Fail, then Pass after CA","")&amp;IF(AND(TRIM(U747)="Pass after CA",OR(TRIM(AA747)="",AB747&lt;&gt;"Closed")),"INVALID – corrective action not recorded/closed","")&lt;&gt;"",IF(AND(TRIM(U747)="Pass",ISNUMBER(AF747)),IF(AF747&lt;&gt;0,"INVALID – qty variance: use Fail or Pass after CA",""),"")&amp;IF(AND(TRIM(U747)="Pass",AB747="Open"),"INVALID – corrective action still open: use Fail, then Pass after CA","")&amp;IF(AND(TRIM(U747)="Pass after CA",OR(TRIM(AA747)="",AB747&lt;&gt;"Closed")),"INVALID – corrective action not recorded/closed",""),IF(AND(AS747=1,Documents!$J$26&lt;&gt;"ON FILE"),"INVALID – GLD not on file (Documents sheet)",IF(AND(AS747=2,Documents!$O$26&lt;&gt;"ON FILE"),"INVALID – menu checklist not on file (Documents sheet)",IF(AND(AS747=3,NOT(ISNUMBER(Flights!$AX$26))),"INVALID – enter carrying flight KUL departure (Flights AX)",IF(AG747&gt;AsOfUTC,"INVALID – completion time is in the future",IF(AND(ISNUMBER(S747),AG747&lt;S747),IF(H747="Physical uplift","INVALID – before uplift window (cannot confirm loading)","INVALID – before valid window"),IF(AG747&gt;Flights!$AA$26,"INVALID – completed after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f>
        <v>OPEN</v>
      </c>
      <c r="AI747" s="61" t="n">
        <f aca="false">IF(OR(AH747="N/A – RULE",AH747="N/A – JUSTIFIED"),0,1)</f>
        <v>1</v>
      </c>
      <c r="AJ747" s="61" t="n">
        <f aca="false">IF(LEFT(AH747,8)="COMPLETE",1,0)</f>
        <v>0</v>
      </c>
      <c r="AK747" s="61" t="n">
        <f aca="false">IF(AND(AI747=1,AJ747=0,AsOfUTC&gt;Q747),1,0)</f>
        <v>0</v>
      </c>
      <c r="AL747" s="61" t="n">
        <f aca="false">IF(AND(AI747=1,OR(TRIM(U747)="Fail",AB747="Open",AND(ISNUMBER(AF747),AF747&lt;&gt;0,TRIM(U747)&lt;&gt;"Pass after CA"))),1,0)</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1</v>
      </c>
    </row>
    <row r="748" customFormat="false" ht="39.75" hidden="false" customHeight="true" outlineLevel="0" collapsed="false">
      <c r="A748" s="57" t="s">
        <v>1442</v>
      </c>
      <c r="B748" s="57" t="s">
        <v>302</v>
      </c>
      <c r="C748" s="57" t="str">
        <f aca="false">Flights!$F$26</f>
        <v>MH0002</v>
      </c>
      <c r="D748" s="58" t="n">
        <f aca="false">Flights!$D$26</f>
        <v>46325</v>
      </c>
      <c r="E748" s="57" t="str">
        <f aca="false">Flights!$G$26&amp;"-"&amp;Flights!$H$26</f>
        <v>KUL-LHR</v>
      </c>
      <c r="F748" s="57" t="str">
        <f aca="false">Flights!$K$26</f>
        <v>BC</v>
      </c>
      <c r="G748" s="57" t="s">
        <v>422</v>
      </c>
      <c r="H748" s="57" t="s">
        <v>423</v>
      </c>
      <c r="I748" s="57" t="s">
        <v>592</v>
      </c>
      <c r="J748" s="57" t="s">
        <v>620</v>
      </c>
      <c r="K748" s="67" t="s">
        <v>464</v>
      </c>
      <c r="L748" s="67" t="s">
        <v>719</v>
      </c>
      <c r="M748" s="67" t="s">
        <v>177</v>
      </c>
      <c r="N748" s="67" t="s">
        <v>346</v>
      </c>
      <c r="O748" s="67" t="s">
        <v>595</v>
      </c>
      <c r="P748" s="57" t="s">
        <v>177</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IF(N748="N/A – rule","N/A – RULE",IF(TRIM(U748)="N/A",IF(AT748=0,"INVALID – N/A not permitted for this mandatory check",IF(AND(TRIM(AC748)&lt;&gt;"",TRIM(AE748)&lt;&gt;"",TRIM(T748)&lt;&gt;""),"N/A – JUSTIFIED","INVALID – N/A needs justification, PIC and verifier")),IF(OR(TRIM(U748)="Pass",TRIM(U748)="Pass after CA"),IF(NOT(ISNUMBER(AD748)),"INVALID – completion time missing",IF(TRIM(T748)="","INVALID – PIC missing",IF(TRIM(Z748)="","INVALID – evidence missing",IF(TRIM(AE748)="","INVALID – verifier missing",IF(AND(AQ748=1,TRIM(W748)=""),"INVALID – batch ID missing",IF(AND(AR748=1,OR(NOT(ISNUMBER(X748)),NOT(ISNUMBER(Y748)))),"INVALID – expected/actual qty missing",IF(IF(AND(TRIM(U748)="Pass",ISNUMBER(AF748)),IF(AF748&lt;&gt;0,"INVALID – qty variance: use Fail or Pass after CA",""),"")&amp;IF(AND(TRIM(U748)="Pass",AB748="Open"),"INVALID – corrective action still open: use Fail, then Pass after CA","")&amp;IF(AND(TRIM(U748)="Pass after CA",OR(TRIM(AA748)="",AB748&lt;&gt;"Closed")),"INVALID – corrective action not recorded/closed","")&lt;&gt;"",IF(AND(TRIM(U748)="Pass",ISNUMBER(AF748)),IF(AF748&lt;&gt;0,"INVALID – qty variance: use Fail or Pass after CA",""),"")&amp;IF(AND(TRIM(U748)="Pass",AB748="Open"),"INVALID – corrective action still open: use Fail, then Pass after CA","")&amp;IF(AND(TRIM(U748)="Pass after CA",OR(TRIM(AA748)="",AB748&lt;&gt;"Closed")),"INVALID – corrective action not recorded/closed",""),IF(AND(AS748=1,Documents!$J$26&lt;&gt;"ON FILE"),"INVALID – GLD not on file (Documents sheet)",IF(AND(AS748=2,Documents!$O$26&lt;&gt;"ON FILE"),"INVALID – menu checklist not on file (Documents sheet)",IF(AND(AS748=3,NOT(ISNUMBER(Flights!$AX$26))),"INVALID – enter carrying flight KUL departure (Flights AX)",IF(AG748&gt;AsOfUTC,"INVALID – completion time is in the future",IF(AND(ISNUMBER(S748),AG748&lt;S748),IF(H748="Physical uplift","INVALID – before uplift window (cannot confirm loading)","INVALID – before valid window"),IF(AG748&gt;Flights!$AA$26,"INVALID – completed after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f>
        <v>OPEN</v>
      </c>
      <c r="AI748" s="61" t="n">
        <f aca="false">IF(OR(AH748="N/A – RULE",AH748="N/A – JUSTIFIED"),0,1)</f>
        <v>1</v>
      </c>
      <c r="AJ748" s="61" t="n">
        <f aca="false">IF(LEFT(AH748,8)="COMPLETE",1,0)</f>
        <v>0</v>
      </c>
      <c r="AK748" s="61" t="n">
        <f aca="false">IF(AND(AI748=1,AJ748=0,AsOfUTC&gt;Q748),1,0)</f>
        <v>0</v>
      </c>
      <c r="AL748" s="61" t="n">
        <f aca="false">IF(AND(AI748=1,OR(TRIM(U748)="Fail",AB748="Open",AND(ISNUMBER(AF748),AF748&lt;&gt;0,TRIM(U748)&lt;&gt;"Pass after CA"))),1,0)</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1</v>
      </c>
    </row>
  </sheetData>
  <autoFilter ref="A4:AS748"/>
  <mergeCells count="1">
    <mergeCell ref="D2:J2"/>
  </mergeCells>
  <conditionalFormatting sqref="AH5:AH748">
    <cfRule type="expression" priority="2" aboveAverage="0" equalAverage="0" bottom="0" percent="0" rank="0" text="" dxfId="23">
      <formula>LEFT(AH5,8)="COMPLETE"</formula>
    </cfRule>
    <cfRule type="expression" priority="3" aboveAverage="0" equalAverage="0" bottom="0" percent="0" rank="0" text="" dxfId="24">
      <formula>OR(LEFT(AH5,7)="INVALID",AH5="OVERDUE",LEFT(AH5,4)="FAIL")</formula>
    </cfRule>
    <cfRule type="expression" priority="4" aboveAverage="0" equalAverage="0" bottom="0" percent="0" rank="0" text="" dxfId="17">
      <formula>LEFT(AH5,4)="OPEN"</formula>
    </cfRule>
    <cfRule type="expression" priority="5" aboveAverage="0" equalAverage="0" bottom="0" percent="0" rank="0" text="" dxfId="25">
      <formula>LEFT(AH5,3)="N/A"</formula>
    </cfRule>
  </conditionalFormatting>
  <conditionalFormatting sqref="A5:S748">
    <cfRule type="expression" priority="6" aboveAverage="0" equalAverage="0" bottom="0" percent="0" rank="0" text="" dxfId="26">
      <formula>$AH5="N/A – RULE"</formula>
    </cfRule>
  </conditionalFormatting>
  <conditionalFormatting sqref="N5:N748">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Style="stop" operator="between" showDropDown="false" showErrorMessage="fals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4" hidden="false" customHeight="true" outlineLevel="0" collapsed="false">
      <c r="A1" s="54" t="s">
        <v>368</v>
      </c>
    </row>
    <row r="2" customFormat="false" ht="41.25" hidden="false" customHeight="true" outlineLevel="0" collapsed="false">
      <c r="C2" s="55" t="s">
        <v>1443</v>
      </c>
      <c r="D2" s="55"/>
      <c r="E2" s="55"/>
      <c r="F2" s="55"/>
      <c r="G2" s="55"/>
      <c r="H2" s="55"/>
      <c r="I2" s="55"/>
    </row>
    <row r="4" customFormat="false" ht="42" hidden="false" customHeight="true" outlineLevel="0" collapsed="false">
      <c r="A4" s="56" t="s">
        <v>130</v>
      </c>
      <c r="B4" s="56" t="s">
        <v>133</v>
      </c>
      <c r="C4" s="56" t="s">
        <v>101</v>
      </c>
      <c r="D4" s="56" t="s">
        <v>102</v>
      </c>
      <c r="E4" s="56" t="s">
        <v>104</v>
      </c>
      <c r="F4" s="56" t="s">
        <v>1444</v>
      </c>
      <c r="G4" s="56" t="s">
        <v>1445</v>
      </c>
      <c r="H4" s="56" t="s">
        <v>1446</v>
      </c>
      <c r="I4" s="56" t="s">
        <v>1447</v>
      </c>
      <c r="J4" s="56" t="s">
        <v>1448</v>
      </c>
      <c r="K4" s="56" t="s">
        <v>1449</v>
      </c>
      <c r="L4" s="56" t="s">
        <v>1450</v>
      </c>
      <c r="M4" s="56" t="s">
        <v>1451</v>
      </c>
      <c r="N4" s="56" t="s">
        <v>1452</v>
      </c>
      <c r="O4" s="56" t="s">
        <v>1453</v>
      </c>
      <c r="P4" s="56" t="s">
        <v>1454</v>
      </c>
      <c r="Q4" s="56" t="s">
        <v>1455</v>
      </c>
    </row>
    <row r="5" customFormat="false" ht="30" hidden="false" customHeight="true" outlineLevel="0" collapsed="false">
      <c r="A5" s="69" t="s">
        <v>173</v>
      </c>
      <c r="B5" s="57" t="str">
        <f aca="false">Flights!F5</f>
        <v>MH0001</v>
      </c>
      <c r="C5" s="70" t="n">
        <f aca="false">Flights!D5</f>
        <v>46303</v>
      </c>
      <c r="D5" s="69" t="str">
        <f aca="false">Flights!G5&amp;"-"&amp;Flights!H5</f>
        <v>LHR-KUL</v>
      </c>
      <c r="E5" s="69" t="str">
        <f aca="false">Flights!L5</f>
        <v>A350</v>
      </c>
      <c r="F5" s="60"/>
      <c r="G5" s="60"/>
      <c r="H5" s="71"/>
      <c r="I5" s="60"/>
      <c r="J5" s="72" t="str">
        <f aca="false">IF(AND(TRIM(F5)&lt;&gt;"",TRIM(G5)&lt;&gt;"",ISNUMBER(H5),TRIM(I5)&lt;&gt;""),"ON FILE","OUTSTANDING")</f>
        <v>OUTSTANDING</v>
      </c>
      <c r="K5" s="60"/>
      <c r="L5" s="60"/>
      <c r="M5" s="71"/>
      <c r="N5" s="60"/>
      <c r="O5" s="72" t="str">
        <f aca="false">IF(AND(TRIM(K5)&lt;&gt;"",TRIM(L5)&lt;&gt;"",ISNUMBER(M5),TRIM(N5)&lt;&gt;""),"ON FILE","OUTSTANDING")</f>
        <v>OUTSTANDING</v>
      </c>
      <c r="P5" s="73" t="n">
        <f aca="false">(J5="OUTSTANDING")+(O5="OUTSTANDING")</f>
        <v>2</v>
      </c>
      <c r="Q5" s="57" t="s">
        <v>1456</v>
      </c>
    </row>
    <row r="6" customFormat="false" ht="30" hidden="false" customHeight="true" outlineLevel="0" collapsed="false">
      <c r="A6" s="69" t="s">
        <v>188</v>
      </c>
      <c r="B6" s="57" t="str">
        <f aca="false">Flights!F6</f>
        <v>MH0727</v>
      </c>
      <c r="C6" s="70" t="n">
        <f aca="false">Flights!D6</f>
        <v>46304</v>
      </c>
      <c r="D6" s="69" t="str">
        <f aca="false">Flights!G6&amp;"-"&amp;Flights!H6</f>
        <v>KUL-CGK</v>
      </c>
      <c r="E6" s="69" t="str">
        <f aca="false">Flights!L6</f>
        <v>B738MAX</v>
      </c>
      <c r="F6" s="60"/>
      <c r="G6" s="60"/>
      <c r="H6" s="71"/>
      <c r="I6" s="60"/>
      <c r="J6" s="72" t="str">
        <f aca="false">IF(AND(TRIM(F6)&lt;&gt;"",TRIM(G6)&lt;&gt;"",ISNUMBER(H6),TRIM(I6)&lt;&gt;""),"ON FILE","OUTSTANDING")</f>
        <v>OUTSTANDING</v>
      </c>
      <c r="K6" s="60"/>
      <c r="L6" s="60"/>
      <c r="M6" s="71"/>
      <c r="N6" s="60"/>
      <c r="O6" s="72" t="str">
        <f aca="false">IF(AND(TRIM(K6)&lt;&gt;"",TRIM(L6)&lt;&gt;"",ISNUMBER(M6),TRIM(N6)&lt;&gt;""),"ON FILE","OUTSTANDING")</f>
        <v>OUTSTANDING</v>
      </c>
      <c r="P6" s="73" t="n">
        <f aca="false">(J6="OUTSTANDING")+(O6="OUTSTANDING")</f>
        <v>2</v>
      </c>
      <c r="Q6" s="57" t="s">
        <v>1456</v>
      </c>
    </row>
    <row r="7" customFormat="false" ht="30" hidden="false" customHeight="true" outlineLevel="0" collapsed="false">
      <c r="A7" s="69" t="s">
        <v>202</v>
      </c>
      <c r="B7" s="57" t="str">
        <f aca="false">Flights!F7</f>
        <v>MH0720</v>
      </c>
      <c r="C7" s="70" t="n">
        <f aca="false">Flights!D7</f>
        <v>46305</v>
      </c>
      <c r="D7" s="69" t="str">
        <f aca="false">Flights!G7&amp;"-"&amp;Flights!H7</f>
        <v>CGK-KUL</v>
      </c>
      <c r="E7" s="69" t="str">
        <f aca="false">Flights!L7</f>
        <v>A333</v>
      </c>
      <c r="F7" s="60"/>
      <c r="G7" s="60"/>
      <c r="H7" s="71"/>
      <c r="I7" s="60"/>
      <c r="J7" s="72" t="str">
        <f aca="false">IF(AND(TRIM(F7)&lt;&gt;"",TRIM(G7)&lt;&gt;"",ISNUMBER(H7),TRIM(I7)&lt;&gt;""),"ON FILE","OUTSTANDING")</f>
        <v>OUTSTANDING</v>
      </c>
      <c r="K7" s="60"/>
      <c r="L7" s="60"/>
      <c r="M7" s="71"/>
      <c r="N7" s="60"/>
      <c r="O7" s="72" t="str">
        <f aca="false">IF(AND(TRIM(K7)&lt;&gt;"",TRIM(L7)&lt;&gt;"",ISNUMBER(M7),TRIM(N7)&lt;&gt;""),"ON FILE","OUTSTANDING")</f>
        <v>OUTSTANDING</v>
      </c>
      <c r="P7" s="73" t="n">
        <f aca="false">(J7="OUTSTANDING")+(O7="OUTSTANDING")</f>
        <v>2</v>
      </c>
      <c r="Q7" s="57" t="s">
        <v>1456</v>
      </c>
    </row>
    <row r="8" customFormat="false" ht="30" hidden="false" customHeight="true" outlineLevel="0" collapsed="false">
      <c r="A8" s="69" t="s">
        <v>208</v>
      </c>
      <c r="B8" s="57" t="str">
        <f aca="false">Flights!F8</f>
        <v>MH0088</v>
      </c>
      <c r="C8" s="70" t="n">
        <f aca="false">Flights!D8</f>
        <v>46305</v>
      </c>
      <c r="D8" s="69" t="str">
        <f aca="false">Flights!G8&amp;"-"&amp;Flights!H8</f>
        <v>KUL-NRT</v>
      </c>
      <c r="E8" s="69" t="str">
        <f aca="false">Flights!L8</f>
        <v>A350</v>
      </c>
      <c r="F8" s="60"/>
      <c r="G8" s="60"/>
      <c r="H8" s="71"/>
      <c r="I8" s="60"/>
      <c r="J8" s="72" t="str">
        <f aca="false">IF(AND(TRIM(F8)&lt;&gt;"",TRIM(G8)&lt;&gt;"",ISNUMBER(H8),TRIM(I8)&lt;&gt;""),"ON FILE","OUTSTANDING")</f>
        <v>OUTSTANDING</v>
      </c>
      <c r="K8" s="60"/>
      <c r="L8" s="60"/>
      <c r="M8" s="71"/>
      <c r="N8" s="60"/>
      <c r="O8" s="72" t="str">
        <f aca="false">IF(AND(TRIM(K8)&lt;&gt;"",TRIM(L8)&lt;&gt;"",ISNUMBER(M8),TRIM(N8)&lt;&gt;""),"ON FILE","OUTSTANDING")</f>
        <v>OUTSTANDING</v>
      </c>
      <c r="P8" s="73" t="n">
        <f aca="false">(J8="OUTSTANDING")+(O8="OUTSTANDING")</f>
        <v>2</v>
      </c>
      <c r="Q8" s="57" t="s">
        <v>1456</v>
      </c>
    </row>
    <row r="9" customFormat="false" ht="30" hidden="false" customHeight="true" outlineLevel="0" collapsed="false">
      <c r="A9" s="69" t="s">
        <v>218</v>
      </c>
      <c r="B9" s="57" t="str">
        <f aca="false">Flights!F9</f>
        <v>MH0089</v>
      </c>
      <c r="C9" s="70" t="n">
        <f aca="false">Flights!D9</f>
        <v>46310</v>
      </c>
      <c r="D9" s="69" t="str">
        <f aca="false">Flights!G9&amp;"-"&amp;Flights!H9</f>
        <v>NRT-KUL</v>
      </c>
      <c r="E9" s="69" t="str">
        <f aca="false">Flights!L9</f>
        <v>A350</v>
      </c>
      <c r="F9" s="60"/>
      <c r="G9" s="60"/>
      <c r="H9" s="71"/>
      <c r="I9" s="60"/>
      <c r="J9" s="72" t="str">
        <f aca="false">IF(AND(TRIM(F9)&lt;&gt;"",TRIM(G9)&lt;&gt;"",ISNUMBER(H9),TRIM(I9)&lt;&gt;""),"ON FILE","OUTSTANDING")</f>
        <v>OUTSTANDING</v>
      </c>
      <c r="K9" s="60"/>
      <c r="L9" s="60"/>
      <c r="M9" s="71"/>
      <c r="N9" s="60"/>
      <c r="O9" s="72" t="str">
        <f aca="false">IF(AND(TRIM(K9)&lt;&gt;"",TRIM(L9)&lt;&gt;"",ISNUMBER(M9),TRIM(N9)&lt;&gt;""),"ON FILE","OUTSTANDING")</f>
        <v>OUTSTANDING</v>
      </c>
      <c r="P9" s="73" t="n">
        <f aca="false">(J9="OUTSTANDING")+(O9="OUTSTANDING")</f>
        <v>2</v>
      </c>
      <c r="Q9" s="57" t="s">
        <v>1456</v>
      </c>
    </row>
    <row r="10" customFormat="false" ht="30" hidden="false" customHeight="true" outlineLevel="0" collapsed="false">
      <c r="A10" s="69" t="s">
        <v>221</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IF(AND(TRIM(F10)&lt;&gt;"",TRIM(G10)&lt;&gt;"",ISNUMBER(H10),TRIM(I10)&lt;&gt;""),"ON FILE","OUTSTANDING")</f>
        <v>OUTSTANDING</v>
      </c>
      <c r="K10" s="60"/>
      <c r="L10" s="60"/>
      <c r="M10" s="71"/>
      <c r="N10" s="60"/>
      <c r="O10" s="72" t="str">
        <f aca="false">IF(AND(TRIM(K10)&lt;&gt;"",TRIM(L10)&lt;&gt;"",ISNUMBER(M10),TRIM(N10)&lt;&gt;""),"ON FILE","OUTSTANDING")</f>
        <v>OUTSTANDING</v>
      </c>
      <c r="P10" s="73" t="n">
        <f aca="false">(J10="OUTSTANDING")+(O10="OUTSTANDING")</f>
        <v>2</v>
      </c>
      <c r="Q10" s="57" t="s">
        <v>1456</v>
      </c>
    </row>
    <row r="11" customFormat="false" ht="30" hidden="false" customHeight="true" outlineLevel="0" collapsed="false">
      <c r="A11" s="69" t="s">
        <v>225</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IF(AND(TRIM(F11)&lt;&gt;"",TRIM(G11)&lt;&gt;"",ISNUMBER(H11),TRIM(I11)&lt;&gt;""),"ON FILE","OUTSTANDING")</f>
        <v>OUTSTANDING</v>
      </c>
      <c r="K11" s="60"/>
      <c r="L11" s="60"/>
      <c r="M11" s="71"/>
      <c r="N11" s="60"/>
      <c r="O11" s="72" t="str">
        <f aca="false">IF(AND(TRIM(K11)&lt;&gt;"",TRIM(L11)&lt;&gt;"",ISNUMBER(M11),TRIM(N11)&lt;&gt;""),"ON FILE","OUTSTANDING")</f>
        <v>OUTSTANDING</v>
      </c>
      <c r="P11" s="73" t="n">
        <f aca="false">(J11="OUTSTANDING")+(O11="OUTSTANDING")</f>
        <v>2</v>
      </c>
      <c r="Q11" s="57" t="s">
        <v>1456</v>
      </c>
    </row>
    <row r="12" customFormat="false" ht="30" hidden="false" customHeight="true" outlineLevel="0" collapsed="false">
      <c r="A12" s="69" t="s">
        <v>228</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IF(AND(TRIM(F12)&lt;&gt;"",TRIM(G12)&lt;&gt;"",ISNUMBER(H12),TRIM(I12)&lt;&gt;""),"ON FILE","OUTSTANDING")</f>
        <v>OUTSTANDING</v>
      </c>
      <c r="K12" s="60"/>
      <c r="L12" s="60"/>
      <c r="M12" s="71"/>
      <c r="N12" s="60"/>
      <c r="O12" s="72" t="str">
        <f aca="false">IF(AND(TRIM(K12)&lt;&gt;"",TRIM(L12)&lt;&gt;"",ISNUMBER(M12),TRIM(N12)&lt;&gt;""),"ON FILE","OUTSTANDING")</f>
        <v>OUTSTANDING</v>
      </c>
      <c r="P12" s="73" t="n">
        <f aca="false">(J12="OUTSTANDING")+(O12="OUTSTANDING")</f>
        <v>2</v>
      </c>
      <c r="Q12" s="57" t="s">
        <v>1456</v>
      </c>
    </row>
    <row r="13" customFormat="false" ht="30" hidden="false" customHeight="true" outlineLevel="0" collapsed="false">
      <c r="A13" s="69" t="s">
        <v>236</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IF(AND(TRIM(F13)&lt;&gt;"",TRIM(G13)&lt;&gt;"",ISNUMBER(H13),TRIM(I13)&lt;&gt;""),"ON FILE","OUTSTANDING")</f>
        <v>OUTSTANDING</v>
      </c>
      <c r="K13" s="60"/>
      <c r="L13" s="60"/>
      <c r="M13" s="71"/>
      <c r="N13" s="60"/>
      <c r="O13" s="72" t="str">
        <f aca="false">IF(AND(TRIM(K13)&lt;&gt;"",TRIM(L13)&lt;&gt;"",ISNUMBER(M13),TRIM(N13)&lt;&gt;""),"ON FILE","OUTSTANDING")</f>
        <v>OUTSTANDING</v>
      </c>
      <c r="P13" s="73" t="n">
        <f aca="false">(J13="OUTSTANDING")+(O13="OUTSTANDING")</f>
        <v>2</v>
      </c>
      <c r="Q13" s="57" t="s">
        <v>1456</v>
      </c>
    </row>
    <row r="14" customFormat="false" ht="30" hidden="false" customHeight="true" outlineLevel="0" collapsed="false">
      <c r="A14" s="69" t="s">
        <v>241</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IF(AND(TRIM(F14)&lt;&gt;"",TRIM(G14)&lt;&gt;"",ISNUMBER(H14),TRIM(I14)&lt;&gt;""),"ON FILE","OUTSTANDING")</f>
        <v>OUTSTANDING</v>
      </c>
      <c r="K14" s="60"/>
      <c r="L14" s="60"/>
      <c r="M14" s="71"/>
      <c r="N14" s="60"/>
      <c r="O14" s="72" t="str">
        <f aca="false">IF(AND(TRIM(K14)&lt;&gt;"",TRIM(L14)&lt;&gt;"",ISNUMBER(M14),TRIM(N14)&lt;&gt;""),"ON FILE","OUTSTANDING")</f>
        <v>OUTSTANDING</v>
      </c>
      <c r="P14" s="73" t="n">
        <f aca="false">(J14="OUTSTANDING")+(O14="OUTSTANDING")</f>
        <v>2</v>
      </c>
      <c r="Q14" s="57" t="s">
        <v>1456</v>
      </c>
    </row>
    <row r="15" customFormat="false" ht="30" hidden="false" customHeight="true" outlineLevel="0" collapsed="false">
      <c r="A15" s="69" t="s">
        <v>248</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IF(AND(TRIM(F15)&lt;&gt;"",TRIM(G15)&lt;&gt;"",ISNUMBER(H15),TRIM(I15)&lt;&gt;""),"ON FILE","OUTSTANDING")</f>
        <v>OUTSTANDING</v>
      </c>
      <c r="K15" s="60"/>
      <c r="L15" s="60"/>
      <c r="M15" s="71"/>
      <c r="N15" s="60"/>
      <c r="O15" s="72" t="str">
        <f aca="false">IF(AND(TRIM(K15)&lt;&gt;"",TRIM(L15)&lt;&gt;"",ISNUMBER(M15),TRIM(N15)&lt;&gt;""),"ON FILE","OUTSTANDING")</f>
        <v>OUTSTANDING</v>
      </c>
      <c r="P15" s="73" t="n">
        <f aca="false">(J15="OUTSTANDING")+(O15="OUTSTANDING")</f>
        <v>2</v>
      </c>
      <c r="Q15" s="57" t="s">
        <v>1457</v>
      </c>
    </row>
    <row r="16" customFormat="false" ht="30" hidden="false" customHeight="true" outlineLevel="0" collapsed="false">
      <c r="A16" s="69" t="s">
        <v>251</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IF(AND(TRIM(F16)&lt;&gt;"",TRIM(G16)&lt;&gt;"",ISNUMBER(H16),TRIM(I16)&lt;&gt;""),"ON FILE","OUTSTANDING")</f>
        <v>OUTSTANDING</v>
      </c>
      <c r="K16" s="60"/>
      <c r="L16" s="60"/>
      <c r="M16" s="71"/>
      <c r="N16" s="60"/>
      <c r="O16" s="72" t="str">
        <f aca="false">IF(AND(TRIM(K16)&lt;&gt;"",TRIM(L16)&lt;&gt;"",ISNUMBER(M16),TRIM(N16)&lt;&gt;""),"ON FILE","OUTSTANDING")</f>
        <v>OUTSTANDING</v>
      </c>
      <c r="P16" s="73" t="n">
        <f aca="false">(J16="OUTSTANDING")+(O16="OUTSTANDING")</f>
        <v>2</v>
      </c>
      <c r="Q16" s="57" t="s">
        <v>1456</v>
      </c>
    </row>
    <row r="17" customFormat="false" ht="30" hidden="false" customHeight="true" outlineLevel="0" collapsed="false">
      <c r="A17" s="69" t="s">
        <v>262</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IF(AND(TRIM(F17)&lt;&gt;"",TRIM(G17)&lt;&gt;"",ISNUMBER(H17),TRIM(I17)&lt;&gt;""),"ON FILE","OUTSTANDING")</f>
        <v>OUTSTANDING</v>
      </c>
      <c r="K17" s="60"/>
      <c r="L17" s="60"/>
      <c r="M17" s="71"/>
      <c r="N17" s="60"/>
      <c r="O17" s="72" t="str">
        <f aca="false">IF(AND(TRIM(K17)&lt;&gt;"",TRIM(L17)&lt;&gt;"",ISNUMBER(M17),TRIM(N17)&lt;&gt;""),"ON FILE","OUTSTANDING")</f>
        <v>OUTSTANDING</v>
      </c>
      <c r="P17" s="73" t="n">
        <f aca="false">(J17="OUTSTANDING")+(O17="OUTSTANDING")</f>
        <v>2</v>
      </c>
      <c r="Q17" s="57" t="s">
        <v>1456</v>
      </c>
    </row>
    <row r="18" customFormat="false" ht="30" hidden="false" customHeight="true" outlineLevel="0" collapsed="false">
      <c r="A18" s="69" t="s">
        <v>266</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IF(AND(TRIM(F18)&lt;&gt;"",TRIM(G18)&lt;&gt;"",ISNUMBER(H18),TRIM(I18)&lt;&gt;""),"ON FILE","OUTSTANDING")</f>
        <v>OUTSTANDING</v>
      </c>
      <c r="K18" s="60"/>
      <c r="L18" s="60"/>
      <c r="M18" s="71"/>
      <c r="N18" s="60"/>
      <c r="O18" s="72" t="str">
        <f aca="false">IF(AND(TRIM(K18)&lt;&gt;"",TRIM(L18)&lt;&gt;"",ISNUMBER(M18),TRIM(N18)&lt;&gt;""),"ON FILE","OUTSTANDING")</f>
        <v>OUTSTANDING</v>
      </c>
      <c r="P18" s="73" t="n">
        <f aca="false">(J18="OUTSTANDING")+(O18="OUTSTANDING")</f>
        <v>2</v>
      </c>
      <c r="Q18" s="57" t="s">
        <v>1456</v>
      </c>
    </row>
    <row r="19" customFormat="false" ht="30" hidden="false" customHeight="true" outlineLevel="0" collapsed="false">
      <c r="A19" s="69" t="s">
        <v>268</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IF(AND(TRIM(F19)&lt;&gt;"",TRIM(G19)&lt;&gt;"",ISNUMBER(H19),TRIM(I19)&lt;&gt;""),"ON FILE","OUTSTANDING")</f>
        <v>OUTSTANDING</v>
      </c>
      <c r="K19" s="60"/>
      <c r="L19" s="60"/>
      <c r="M19" s="71"/>
      <c r="N19" s="60"/>
      <c r="O19" s="72" t="str">
        <f aca="false">IF(AND(TRIM(K19)&lt;&gt;"",TRIM(L19)&lt;&gt;"",ISNUMBER(M19),TRIM(N19)&lt;&gt;""),"ON FILE","OUTSTANDING")</f>
        <v>OUTSTANDING</v>
      </c>
      <c r="P19" s="73" t="n">
        <f aca="false">(J19="OUTSTANDING")+(O19="OUTSTANDING")</f>
        <v>2</v>
      </c>
      <c r="Q19" s="57" t="s">
        <v>1456</v>
      </c>
    </row>
    <row r="20" customFormat="false" ht="30" hidden="false" customHeight="true" outlineLevel="0" collapsed="false">
      <c r="A20" s="69" t="s">
        <v>270</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IF(AND(TRIM(F20)&lt;&gt;"",TRIM(G20)&lt;&gt;"",ISNUMBER(H20),TRIM(I20)&lt;&gt;""),"ON FILE","OUTSTANDING")</f>
        <v>OUTSTANDING</v>
      </c>
      <c r="K20" s="60"/>
      <c r="L20" s="60"/>
      <c r="M20" s="71"/>
      <c r="N20" s="60"/>
      <c r="O20" s="72" t="str">
        <f aca="false">IF(AND(TRIM(K20)&lt;&gt;"",TRIM(L20)&lt;&gt;"",ISNUMBER(M20),TRIM(N20)&lt;&gt;""),"ON FILE","OUTSTANDING")</f>
        <v>OUTSTANDING</v>
      </c>
      <c r="P20" s="73" t="n">
        <f aca="false">(J20="OUTSTANDING")+(O20="OUTSTANDING")</f>
        <v>2</v>
      </c>
      <c r="Q20" s="57" t="s">
        <v>1456</v>
      </c>
    </row>
    <row r="21" customFormat="false" ht="30" hidden="false" customHeight="true" outlineLevel="0" collapsed="false">
      <c r="A21" s="69" t="s">
        <v>280</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IF(AND(TRIM(F21)&lt;&gt;"",TRIM(G21)&lt;&gt;"",ISNUMBER(H21),TRIM(I21)&lt;&gt;""),"ON FILE","OUTSTANDING")</f>
        <v>OUTSTANDING</v>
      </c>
      <c r="K21" s="60"/>
      <c r="L21" s="60"/>
      <c r="M21" s="71"/>
      <c r="N21" s="60"/>
      <c r="O21" s="72" t="str">
        <f aca="false">IF(AND(TRIM(K21)&lt;&gt;"",TRIM(L21)&lt;&gt;"",ISNUMBER(M21),TRIM(N21)&lt;&gt;""),"ON FILE","OUTSTANDING")</f>
        <v>OUTSTANDING</v>
      </c>
      <c r="P21" s="73" t="n">
        <f aca="false">(J21="OUTSTANDING")+(O21="OUTSTANDING")</f>
        <v>2</v>
      </c>
      <c r="Q21" s="57" t="s">
        <v>1456</v>
      </c>
    </row>
    <row r="22" customFormat="false" ht="30" hidden="false" customHeight="true" outlineLevel="0" collapsed="false">
      <c r="A22" s="69" t="s">
        <v>283</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IF(AND(TRIM(F22)&lt;&gt;"",TRIM(G22)&lt;&gt;"",ISNUMBER(H22),TRIM(I22)&lt;&gt;""),"ON FILE","OUTSTANDING")</f>
        <v>OUTSTANDING</v>
      </c>
      <c r="K22" s="60"/>
      <c r="L22" s="60"/>
      <c r="M22" s="71"/>
      <c r="N22" s="60"/>
      <c r="O22" s="72" t="str">
        <f aca="false">IF(AND(TRIM(K22)&lt;&gt;"",TRIM(L22)&lt;&gt;"",ISNUMBER(M22),TRIM(N22)&lt;&gt;""),"ON FILE","OUTSTANDING")</f>
        <v>OUTSTANDING</v>
      </c>
      <c r="P22" s="73" t="n">
        <f aca="false">(J22="OUTSTANDING")+(O22="OUTSTANDING")</f>
        <v>2</v>
      </c>
      <c r="Q22" s="57" t="s">
        <v>1456</v>
      </c>
    </row>
    <row r="23" customFormat="false" ht="30" hidden="false" customHeight="true" outlineLevel="0" collapsed="false">
      <c r="A23" s="69" t="s">
        <v>291</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IF(AND(TRIM(F23)&lt;&gt;"",TRIM(G23)&lt;&gt;"",ISNUMBER(H23),TRIM(I23)&lt;&gt;""),"ON FILE","OUTSTANDING")</f>
        <v>OUTSTANDING</v>
      </c>
      <c r="K23" s="60"/>
      <c r="L23" s="60"/>
      <c r="M23" s="71"/>
      <c r="N23" s="60"/>
      <c r="O23" s="72" t="str">
        <f aca="false">IF(AND(TRIM(K23)&lt;&gt;"",TRIM(L23)&lt;&gt;"",ISNUMBER(M23),TRIM(N23)&lt;&gt;""),"ON FILE","OUTSTANDING")</f>
        <v>OUTSTANDING</v>
      </c>
      <c r="P23" s="73" t="n">
        <f aca="false">(J23="OUTSTANDING")+(O23="OUTSTANDING")</f>
        <v>2</v>
      </c>
      <c r="Q23" s="57" t="s">
        <v>1456</v>
      </c>
    </row>
    <row r="24" customFormat="false" ht="30" hidden="false" customHeight="true" outlineLevel="0" collapsed="false">
      <c r="A24" s="69" t="s">
        <v>294</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IF(AND(TRIM(F24)&lt;&gt;"",TRIM(G24)&lt;&gt;"",ISNUMBER(H24),TRIM(I24)&lt;&gt;""),"ON FILE","OUTSTANDING")</f>
        <v>OUTSTANDING</v>
      </c>
      <c r="K24" s="60"/>
      <c r="L24" s="60"/>
      <c r="M24" s="71"/>
      <c r="N24" s="60"/>
      <c r="O24" s="72" t="str">
        <f aca="false">IF(AND(TRIM(K24)&lt;&gt;"",TRIM(L24)&lt;&gt;"",ISNUMBER(M24),TRIM(N24)&lt;&gt;""),"ON FILE","OUTSTANDING")</f>
        <v>OUTSTANDING</v>
      </c>
      <c r="P24" s="73" t="n">
        <f aca="false">(J24="OUTSTANDING")+(O24="OUTSTANDING")</f>
        <v>2</v>
      </c>
      <c r="Q24" s="57" t="s">
        <v>1456</v>
      </c>
    </row>
    <row r="25" customFormat="false" ht="30" hidden="false" customHeight="true" outlineLevel="0" collapsed="false">
      <c r="A25" s="69" t="s">
        <v>300</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IF(AND(TRIM(F25)&lt;&gt;"",TRIM(G25)&lt;&gt;"",ISNUMBER(H25),TRIM(I25)&lt;&gt;""),"ON FILE","OUTSTANDING")</f>
        <v>OUTSTANDING</v>
      </c>
      <c r="K25" s="60"/>
      <c r="L25" s="60"/>
      <c r="M25" s="71"/>
      <c r="N25" s="60"/>
      <c r="O25" s="72" t="str">
        <f aca="false">IF(AND(TRIM(K25)&lt;&gt;"",TRIM(L25)&lt;&gt;"",ISNUMBER(M25),TRIM(N25)&lt;&gt;""),"ON FILE","OUTSTANDING")</f>
        <v>OUTSTANDING</v>
      </c>
      <c r="P25" s="73" t="n">
        <f aca="false">(J25="OUTSTANDING")+(O25="OUTSTANDING")</f>
        <v>2</v>
      </c>
      <c r="Q25" s="57" t="s">
        <v>1457</v>
      </c>
    </row>
    <row r="26" customFormat="false" ht="30" hidden="false" customHeight="true" outlineLevel="0" collapsed="false">
      <c r="A26" s="69" t="s">
        <v>302</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IF(AND(TRIM(F26)&lt;&gt;"",TRIM(G26)&lt;&gt;"",ISNUMBER(H26),TRIM(I26)&lt;&gt;""),"ON FILE","OUTSTANDING")</f>
        <v>OUTSTANDING</v>
      </c>
      <c r="K26" s="60"/>
      <c r="L26" s="60"/>
      <c r="M26" s="71"/>
      <c r="N26" s="60"/>
      <c r="O26" s="72" t="str">
        <f aca="false">IF(AND(TRIM(K26)&lt;&gt;"",TRIM(L26)&lt;&gt;"",ISNUMBER(M26),TRIM(N26)&lt;&gt;""),"ON FILE","OUTSTANDING")</f>
        <v>OUTSTANDING</v>
      </c>
      <c r="P26" s="73" t="n">
        <f aca="false">(J26="OUTSTANDING")+(O26="OUTSTANDING")</f>
        <v>2</v>
      </c>
      <c r="Q26" s="57" t="s">
        <v>1456</v>
      </c>
    </row>
  </sheetData>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5–2026)." errorStyle="stop" operator="between" showDropDown="false" showErrorMessage="true" showInputMessage="false" sqref="H5:H26 M5:M26" type="date">
      <formula1>45658</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1458</v>
      </c>
    </row>
    <row r="2" customFormat="false" ht="28.5" hidden="false" customHeight="true" outlineLevel="0" collapsed="false">
      <c r="A2" s="55" t="s">
        <v>1459</v>
      </c>
      <c r="B2" s="55"/>
      <c r="C2" s="55"/>
      <c r="D2" s="55"/>
      <c r="E2" s="55"/>
      <c r="F2" s="55"/>
      <c r="G2" s="55"/>
      <c r="H2" s="55"/>
      <c r="I2" s="55"/>
    </row>
    <row r="4" customFormat="false" ht="31.5" hidden="false" customHeight="true" outlineLevel="0" collapsed="false">
      <c r="A4" s="56" t="s">
        <v>114</v>
      </c>
      <c r="B4" s="56" t="s">
        <v>1460</v>
      </c>
      <c r="C4" s="56" t="s">
        <v>1461</v>
      </c>
      <c r="D4" s="56" t="s">
        <v>1462</v>
      </c>
      <c r="E4" s="56" t="s">
        <v>1463</v>
      </c>
      <c r="F4" s="56" t="s">
        <v>1464</v>
      </c>
      <c r="G4" s="56" t="s">
        <v>1465</v>
      </c>
      <c r="H4" s="56" t="s">
        <v>1466</v>
      </c>
      <c r="I4" s="56" t="s">
        <v>1467</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1468</v>
      </c>
    </row>
    <row r="2" customFormat="false" ht="41.25" hidden="false" customHeight="true" outlineLevel="0" collapsed="false">
      <c r="C2" s="55" t="s">
        <v>1469</v>
      </c>
      <c r="D2" s="55"/>
      <c r="E2" s="55"/>
      <c r="F2" s="55"/>
      <c r="G2" s="55"/>
      <c r="H2" s="55"/>
      <c r="I2" s="55"/>
    </row>
    <row r="4" customFormat="false" ht="42" hidden="false" customHeight="true" outlineLevel="0" collapsed="false">
      <c r="A4" s="56" t="s">
        <v>130</v>
      </c>
      <c r="B4" s="56" t="s">
        <v>133</v>
      </c>
      <c r="C4" s="56" t="s">
        <v>101</v>
      </c>
      <c r="D4" s="56" t="s">
        <v>102</v>
      </c>
      <c r="E4" s="56" t="s">
        <v>308</v>
      </c>
      <c r="F4" s="56" t="s">
        <v>104</v>
      </c>
      <c r="G4" s="56" t="s">
        <v>310</v>
      </c>
      <c r="H4" s="56" t="s">
        <v>1470</v>
      </c>
      <c r="I4" s="56" t="s">
        <v>1471</v>
      </c>
      <c r="J4" s="56" t="s">
        <v>1472</v>
      </c>
      <c r="K4" s="56" t="s">
        <v>1473</v>
      </c>
      <c r="L4" s="56" t="s">
        <v>314</v>
      </c>
      <c r="M4" s="56" t="s">
        <v>1474</v>
      </c>
      <c r="N4" s="56" t="s">
        <v>1475</v>
      </c>
    </row>
    <row r="5" customFormat="false" ht="40.5" hidden="false" customHeight="true" outlineLevel="0" collapsed="false">
      <c r="A5" s="57" t="s">
        <v>173</v>
      </c>
      <c r="B5" s="57" t="s">
        <v>175</v>
      </c>
      <c r="C5" s="58" t="n">
        <v>46303</v>
      </c>
      <c r="D5" s="57" t="s">
        <v>1476</v>
      </c>
      <c r="E5" s="57" t="s">
        <v>178</v>
      </c>
      <c r="F5" s="57" t="s">
        <v>179</v>
      </c>
      <c r="G5" s="57" t="s">
        <v>403</v>
      </c>
      <c r="H5" s="57" t="s">
        <v>1477</v>
      </c>
      <c r="I5" s="57" t="s">
        <v>405</v>
      </c>
      <c r="J5" s="57"/>
      <c r="K5" s="57" t="s">
        <v>176</v>
      </c>
      <c r="L5" s="74" t="s">
        <v>407</v>
      </c>
      <c r="M5" s="57" t="s">
        <v>408</v>
      </c>
      <c r="N5" s="57" t="s">
        <v>406</v>
      </c>
    </row>
    <row r="6" customFormat="false" ht="27.75" hidden="false" customHeight="true" outlineLevel="0" collapsed="false">
      <c r="A6" s="57" t="s">
        <v>173</v>
      </c>
      <c r="B6" s="57" t="s">
        <v>175</v>
      </c>
      <c r="C6" s="58" t="n">
        <v>46303</v>
      </c>
      <c r="D6" s="57" t="s">
        <v>1476</v>
      </c>
      <c r="E6" s="57" t="s">
        <v>178</v>
      </c>
      <c r="F6" s="57" t="s">
        <v>179</v>
      </c>
      <c r="G6" s="57" t="s">
        <v>410</v>
      </c>
      <c r="H6" s="57" t="s">
        <v>1478</v>
      </c>
      <c r="I6" s="57" t="s">
        <v>412</v>
      </c>
      <c r="J6" s="57"/>
      <c r="K6" s="57" t="s">
        <v>414</v>
      </c>
      <c r="L6" s="57" t="s">
        <v>346</v>
      </c>
      <c r="M6" s="57"/>
      <c r="N6" s="57" t="s">
        <v>413</v>
      </c>
    </row>
    <row r="7" customFormat="false" ht="52.5" hidden="false" customHeight="true" outlineLevel="0" collapsed="false">
      <c r="A7" s="57" t="s">
        <v>173</v>
      </c>
      <c r="B7" s="57" t="s">
        <v>175</v>
      </c>
      <c r="C7" s="58" t="n">
        <v>46303</v>
      </c>
      <c r="D7" s="57" t="s">
        <v>1476</v>
      </c>
      <c r="E7" s="57" t="s">
        <v>178</v>
      </c>
      <c r="F7" s="57" t="s">
        <v>179</v>
      </c>
      <c r="G7" s="57" t="s">
        <v>410</v>
      </c>
      <c r="H7" s="57" t="s">
        <v>1479</v>
      </c>
      <c r="I7" s="57" t="s">
        <v>412</v>
      </c>
      <c r="J7" s="57" t="s">
        <v>1480</v>
      </c>
      <c r="K7" s="57" t="s">
        <v>414</v>
      </c>
      <c r="L7" s="57" t="s">
        <v>346</v>
      </c>
      <c r="M7" s="57" t="s">
        <v>435</v>
      </c>
      <c r="N7" s="57" t="s">
        <v>419</v>
      </c>
    </row>
    <row r="8" customFormat="false" ht="27.75" hidden="false" customHeight="true" outlineLevel="0" collapsed="false">
      <c r="A8" s="57" t="s">
        <v>188</v>
      </c>
      <c r="B8" s="57" t="s">
        <v>190</v>
      </c>
      <c r="C8" s="58" t="n">
        <v>46304</v>
      </c>
      <c r="D8" s="57" t="s">
        <v>1481</v>
      </c>
      <c r="E8" s="57" t="s">
        <v>192</v>
      </c>
      <c r="F8" s="57" t="s">
        <v>193</v>
      </c>
      <c r="G8" s="57" t="s">
        <v>403</v>
      </c>
      <c r="H8" s="57" t="s">
        <v>1482</v>
      </c>
      <c r="I8" s="57" t="s">
        <v>458</v>
      </c>
      <c r="J8" s="57"/>
      <c r="K8" s="57" t="s">
        <v>414</v>
      </c>
      <c r="L8" s="57" t="s">
        <v>346</v>
      </c>
      <c r="M8" s="57" t="s">
        <v>498</v>
      </c>
      <c r="N8" s="57" t="s">
        <v>459</v>
      </c>
    </row>
    <row r="9" customFormat="false" ht="27.75" hidden="false" customHeight="true" outlineLevel="0" collapsed="false">
      <c r="A9" s="57" t="s">
        <v>188</v>
      </c>
      <c r="B9" s="57" t="s">
        <v>190</v>
      </c>
      <c r="C9" s="58" t="n">
        <v>46304</v>
      </c>
      <c r="D9" s="57" t="s">
        <v>1481</v>
      </c>
      <c r="E9" s="57" t="s">
        <v>192</v>
      </c>
      <c r="F9" s="57" t="s">
        <v>193</v>
      </c>
      <c r="G9" s="57" t="s">
        <v>462</v>
      </c>
      <c r="H9" s="57" t="s">
        <v>1483</v>
      </c>
      <c r="I9" s="57" t="s">
        <v>464</v>
      </c>
      <c r="J9" s="57"/>
      <c r="K9" s="57" t="s">
        <v>414</v>
      </c>
      <c r="L9" s="57" t="s">
        <v>346</v>
      </c>
      <c r="M9" s="57"/>
      <c r="N9" s="57" t="s">
        <v>465</v>
      </c>
    </row>
    <row r="10" customFormat="false" ht="27.75" hidden="false" customHeight="true" outlineLevel="0" collapsed="false">
      <c r="A10" s="57" t="s">
        <v>188</v>
      </c>
      <c r="B10" s="57" t="s">
        <v>190</v>
      </c>
      <c r="C10" s="58" t="n">
        <v>46304</v>
      </c>
      <c r="D10" s="57" t="s">
        <v>1481</v>
      </c>
      <c r="E10" s="57" t="s">
        <v>192</v>
      </c>
      <c r="F10" s="57" t="s">
        <v>193</v>
      </c>
      <c r="G10" s="57" t="s">
        <v>462</v>
      </c>
      <c r="H10" s="57" t="s">
        <v>1484</v>
      </c>
      <c r="I10" s="57" t="s">
        <v>464</v>
      </c>
      <c r="J10" s="57"/>
      <c r="K10" s="57" t="s">
        <v>414</v>
      </c>
      <c r="L10" s="57" t="s">
        <v>346</v>
      </c>
      <c r="M10" s="57"/>
      <c r="N10" s="57" t="s">
        <v>469</v>
      </c>
    </row>
    <row r="11" customFormat="false" ht="27.75" hidden="false" customHeight="true" outlineLevel="0" collapsed="false">
      <c r="A11" s="57" t="s">
        <v>188</v>
      </c>
      <c r="B11" s="57" t="s">
        <v>190</v>
      </c>
      <c r="C11" s="58" t="n">
        <v>46304</v>
      </c>
      <c r="D11" s="57" t="s">
        <v>1481</v>
      </c>
      <c r="E11" s="57" t="s">
        <v>192</v>
      </c>
      <c r="F11" s="57" t="s">
        <v>193</v>
      </c>
      <c r="G11" s="57" t="s">
        <v>462</v>
      </c>
      <c r="H11" s="57" t="s">
        <v>1485</v>
      </c>
      <c r="I11" s="57" t="s">
        <v>464</v>
      </c>
      <c r="J11" s="57"/>
      <c r="K11" s="57" t="s">
        <v>414</v>
      </c>
      <c r="L11" s="57" t="s">
        <v>346</v>
      </c>
      <c r="M11" s="57"/>
      <c r="N11" s="57" t="s">
        <v>472</v>
      </c>
    </row>
    <row r="12" customFormat="false" ht="65.25" hidden="false" customHeight="true" outlineLevel="0" collapsed="false">
      <c r="A12" s="57" t="s">
        <v>188</v>
      </c>
      <c r="B12" s="57" t="s">
        <v>190</v>
      </c>
      <c r="C12" s="58" t="n">
        <v>46304</v>
      </c>
      <c r="D12" s="57" t="s">
        <v>1481</v>
      </c>
      <c r="E12" s="57" t="s">
        <v>192</v>
      </c>
      <c r="F12" s="57" t="s">
        <v>193</v>
      </c>
      <c r="G12" s="57" t="s">
        <v>462</v>
      </c>
      <c r="H12" s="57" t="s">
        <v>1486</v>
      </c>
      <c r="I12" s="57" t="s">
        <v>464</v>
      </c>
      <c r="J12" s="57"/>
      <c r="K12" s="57" t="s">
        <v>414</v>
      </c>
      <c r="L12" s="74" t="s">
        <v>407</v>
      </c>
      <c r="M12" s="57" t="s">
        <v>507</v>
      </c>
      <c r="N12" s="57" t="s">
        <v>475</v>
      </c>
    </row>
    <row r="13" customFormat="false" ht="65.25" hidden="false" customHeight="true" outlineLevel="0" collapsed="false">
      <c r="A13" s="57" t="s">
        <v>188</v>
      </c>
      <c r="B13" s="57" t="s">
        <v>190</v>
      </c>
      <c r="C13" s="58" t="n">
        <v>46304</v>
      </c>
      <c r="D13" s="57" t="s">
        <v>1481</v>
      </c>
      <c r="E13" s="57" t="s">
        <v>192</v>
      </c>
      <c r="F13" s="57" t="s">
        <v>193</v>
      </c>
      <c r="G13" s="57" t="s">
        <v>462</v>
      </c>
      <c r="H13" s="57" t="s">
        <v>1487</v>
      </c>
      <c r="I13" s="57" t="s">
        <v>464</v>
      </c>
      <c r="J13" s="57"/>
      <c r="K13" s="57" t="s">
        <v>414</v>
      </c>
      <c r="L13" s="74" t="s">
        <v>407</v>
      </c>
      <c r="M13" s="57" t="s">
        <v>507</v>
      </c>
      <c r="N13" s="57" t="s">
        <v>479</v>
      </c>
    </row>
    <row r="14" customFormat="false" ht="27.75" hidden="false" customHeight="true" outlineLevel="0" collapsed="false">
      <c r="A14" s="57" t="s">
        <v>188</v>
      </c>
      <c r="B14" s="57" t="s">
        <v>190</v>
      </c>
      <c r="C14" s="58" t="n">
        <v>46304</v>
      </c>
      <c r="D14" s="57" t="s">
        <v>1481</v>
      </c>
      <c r="E14" s="57" t="s">
        <v>192</v>
      </c>
      <c r="F14" s="57" t="s">
        <v>193</v>
      </c>
      <c r="G14" s="57" t="s">
        <v>462</v>
      </c>
      <c r="H14" s="57" t="s">
        <v>1488</v>
      </c>
      <c r="I14" s="57" t="s">
        <v>482</v>
      </c>
      <c r="J14" s="57"/>
      <c r="K14" s="57" t="s">
        <v>414</v>
      </c>
      <c r="L14" s="57" t="s">
        <v>346</v>
      </c>
      <c r="M14" s="57" t="s">
        <v>512</v>
      </c>
      <c r="N14" s="57" t="s">
        <v>483</v>
      </c>
    </row>
    <row r="15" customFormat="false" ht="27.75" hidden="false" customHeight="true" outlineLevel="0" collapsed="false">
      <c r="A15" s="57" t="s">
        <v>188</v>
      </c>
      <c r="B15" s="57" t="s">
        <v>190</v>
      </c>
      <c r="C15" s="58" t="n">
        <v>46304</v>
      </c>
      <c r="D15" s="57" t="s">
        <v>1481</v>
      </c>
      <c r="E15" s="57" t="s">
        <v>192</v>
      </c>
      <c r="F15" s="57" t="s">
        <v>193</v>
      </c>
      <c r="G15" s="57" t="s">
        <v>462</v>
      </c>
      <c r="H15" s="57" t="s">
        <v>1489</v>
      </c>
      <c r="I15" s="57" t="s">
        <v>464</v>
      </c>
      <c r="J15" s="57"/>
      <c r="K15" s="57" t="s">
        <v>414</v>
      </c>
      <c r="L15" s="57" t="s">
        <v>346</v>
      </c>
      <c r="M15" s="57"/>
      <c r="N15" s="57" t="s">
        <v>487</v>
      </c>
    </row>
    <row r="16" customFormat="false" ht="27.75" hidden="false" customHeight="true" outlineLevel="0" collapsed="false">
      <c r="A16" s="57" t="s">
        <v>188</v>
      </c>
      <c r="B16" s="57" t="s">
        <v>190</v>
      </c>
      <c r="C16" s="58" t="n">
        <v>46304</v>
      </c>
      <c r="D16" s="57" t="s">
        <v>1481</v>
      </c>
      <c r="E16" s="57" t="s">
        <v>192</v>
      </c>
      <c r="F16" s="57" t="s">
        <v>193</v>
      </c>
      <c r="G16" s="57" t="s">
        <v>410</v>
      </c>
      <c r="H16" s="57" t="s">
        <v>1490</v>
      </c>
      <c r="I16" s="57" t="s">
        <v>412</v>
      </c>
      <c r="J16" s="57"/>
      <c r="K16" s="57" t="s">
        <v>414</v>
      </c>
      <c r="L16" s="57" t="s">
        <v>346</v>
      </c>
      <c r="M16" s="57"/>
      <c r="N16" s="57" t="s">
        <v>490</v>
      </c>
    </row>
    <row r="17" customFormat="false" ht="27.75" hidden="false" customHeight="true" outlineLevel="0" collapsed="false">
      <c r="A17" s="57" t="s">
        <v>188</v>
      </c>
      <c r="B17" s="57" t="s">
        <v>190</v>
      </c>
      <c r="C17" s="58" t="n">
        <v>46304</v>
      </c>
      <c r="D17" s="57" t="s">
        <v>1481</v>
      </c>
      <c r="E17" s="57" t="s">
        <v>192</v>
      </c>
      <c r="F17" s="57" t="s">
        <v>193</v>
      </c>
      <c r="G17" s="57" t="s">
        <v>410</v>
      </c>
      <c r="H17" s="57" t="s">
        <v>1491</v>
      </c>
      <c r="I17" s="57" t="s">
        <v>412</v>
      </c>
      <c r="J17" s="57"/>
      <c r="K17" s="57" t="s">
        <v>414</v>
      </c>
      <c r="L17" s="57" t="s">
        <v>346</v>
      </c>
      <c r="M17" s="57"/>
      <c r="N17" s="57" t="s">
        <v>493</v>
      </c>
    </row>
    <row r="18" customFormat="false" ht="27.75" hidden="false" customHeight="true" outlineLevel="0" collapsed="false">
      <c r="A18" s="57" t="s">
        <v>202</v>
      </c>
      <c r="B18" s="57" t="s">
        <v>204</v>
      </c>
      <c r="C18" s="58" t="n">
        <v>46305</v>
      </c>
      <c r="D18" s="57" t="s">
        <v>1492</v>
      </c>
      <c r="E18" s="57" t="s">
        <v>178</v>
      </c>
      <c r="F18" s="57" t="s">
        <v>205</v>
      </c>
      <c r="G18" s="57" t="s">
        <v>410</v>
      </c>
      <c r="H18" s="57" t="s">
        <v>1478</v>
      </c>
      <c r="I18" s="57" t="s">
        <v>412</v>
      </c>
      <c r="J18" s="57"/>
      <c r="K18" s="57" t="s">
        <v>414</v>
      </c>
      <c r="L18" s="57" t="s">
        <v>346</v>
      </c>
      <c r="M18" s="57"/>
      <c r="N18" s="57" t="s">
        <v>539</v>
      </c>
    </row>
    <row r="19" customFormat="false" ht="27.75" hidden="false" customHeight="true" outlineLevel="0" collapsed="false">
      <c r="A19" s="57" t="s">
        <v>208</v>
      </c>
      <c r="B19" s="57" t="s">
        <v>209</v>
      </c>
      <c r="C19" s="58" t="n">
        <v>46305</v>
      </c>
      <c r="D19" s="57" t="s">
        <v>1493</v>
      </c>
      <c r="E19" s="57" t="s">
        <v>192</v>
      </c>
      <c r="F19" s="57" t="s">
        <v>179</v>
      </c>
      <c r="G19" s="57" t="s">
        <v>403</v>
      </c>
      <c r="H19" s="57" t="s">
        <v>1477</v>
      </c>
      <c r="I19" s="57" t="s">
        <v>464</v>
      </c>
      <c r="J19" s="57"/>
      <c r="K19" s="57" t="s">
        <v>177</v>
      </c>
      <c r="L19" s="57" t="s">
        <v>346</v>
      </c>
      <c r="M19" s="57"/>
      <c r="N19" s="57" t="s">
        <v>564</v>
      </c>
    </row>
    <row r="20" customFormat="false" ht="27.75" hidden="false" customHeight="true" outlineLevel="0" collapsed="false">
      <c r="A20" s="57" t="s">
        <v>208</v>
      </c>
      <c r="B20" s="57" t="s">
        <v>209</v>
      </c>
      <c r="C20" s="58" t="n">
        <v>46305</v>
      </c>
      <c r="D20" s="57" t="s">
        <v>1493</v>
      </c>
      <c r="E20" s="57" t="s">
        <v>192</v>
      </c>
      <c r="F20" s="57" t="s">
        <v>179</v>
      </c>
      <c r="G20" s="57" t="s">
        <v>403</v>
      </c>
      <c r="H20" s="57" t="s">
        <v>1494</v>
      </c>
      <c r="I20" s="57" t="s">
        <v>464</v>
      </c>
      <c r="J20" s="57"/>
      <c r="K20" s="57" t="s">
        <v>177</v>
      </c>
      <c r="L20" s="57" t="s">
        <v>346</v>
      </c>
      <c r="M20" s="57"/>
      <c r="N20" s="57" t="s">
        <v>567</v>
      </c>
    </row>
    <row r="21" customFormat="false" ht="27.75" hidden="false" customHeight="true" outlineLevel="0" collapsed="false">
      <c r="A21" s="57" t="s">
        <v>208</v>
      </c>
      <c r="B21" s="57" t="s">
        <v>209</v>
      </c>
      <c r="C21" s="58" t="n">
        <v>46305</v>
      </c>
      <c r="D21" s="57" t="s">
        <v>1493</v>
      </c>
      <c r="E21" s="57" t="s">
        <v>192</v>
      </c>
      <c r="F21" s="57" t="s">
        <v>179</v>
      </c>
      <c r="G21" s="57" t="s">
        <v>462</v>
      </c>
      <c r="H21" s="57" t="s">
        <v>1483</v>
      </c>
      <c r="I21" s="57" t="s">
        <v>464</v>
      </c>
      <c r="J21" s="57"/>
      <c r="K21" s="57" t="s">
        <v>414</v>
      </c>
      <c r="L21" s="57" t="s">
        <v>346</v>
      </c>
      <c r="M21" s="57"/>
      <c r="N21" s="57" t="s">
        <v>569</v>
      </c>
    </row>
    <row r="22" customFormat="false" ht="27.75" hidden="false" customHeight="true" outlineLevel="0" collapsed="false">
      <c r="A22" s="57" t="s">
        <v>208</v>
      </c>
      <c r="B22" s="57" t="s">
        <v>209</v>
      </c>
      <c r="C22" s="58" t="n">
        <v>46305</v>
      </c>
      <c r="D22" s="57" t="s">
        <v>1493</v>
      </c>
      <c r="E22" s="57" t="s">
        <v>192</v>
      </c>
      <c r="F22" s="57" t="s">
        <v>179</v>
      </c>
      <c r="G22" s="57" t="s">
        <v>462</v>
      </c>
      <c r="H22" s="57" t="s">
        <v>1484</v>
      </c>
      <c r="I22" s="57" t="s">
        <v>464</v>
      </c>
      <c r="J22" s="57"/>
      <c r="K22" s="57" t="s">
        <v>414</v>
      </c>
      <c r="L22" s="57" t="s">
        <v>346</v>
      </c>
      <c r="M22" s="57"/>
      <c r="N22" s="57" t="s">
        <v>571</v>
      </c>
    </row>
    <row r="23" customFormat="false" ht="27.75" hidden="false" customHeight="true" outlineLevel="0" collapsed="false">
      <c r="A23" s="57" t="s">
        <v>208</v>
      </c>
      <c r="B23" s="57" t="s">
        <v>209</v>
      </c>
      <c r="C23" s="58" t="n">
        <v>46305</v>
      </c>
      <c r="D23" s="57" t="s">
        <v>1493</v>
      </c>
      <c r="E23" s="57" t="s">
        <v>192</v>
      </c>
      <c r="F23" s="57" t="s">
        <v>179</v>
      </c>
      <c r="G23" s="57" t="s">
        <v>462</v>
      </c>
      <c r="H23" s="57" t="s">
        <v>1485</v>
      </c>
      <c r="I23" s="57" t="s">
        <v>464</v>
      </c>
      <c r="J23" s="57"/>
      <c r="K23" s="57" t="s">
        <v>414</v>
      </c>
      <c r="L23" s="57" t="s">
        <v>346</v>
      </c>
      <c r="M23" s="57"/>
      <c r="N23" s="57" t="s">
        <v>573</v>
      </c>
    </row>
    <row r="24" customFormat="false" ht="27.75" hidden="false" customHeight="true" outlineLevel="0" collapsed="false">
      <c r="A24" s="57" t="s">
        <v>208</v>
      </c>
      <c r="B24" s="57" t="s">
        <v>209</v>
      </c>
      <c r="C24" s="58" t="n">
        <v>46305</v>
      </c>
      <c r="D24" s="57" t="s">
        <v>1493</v>
      </c>
      <c r="E24" s="57" t="s">
        <v>192</v>
      </c>
      <c r="F24" s="57" t="s">
        <v>179</v>
      </c>
      <c r="G24" s="57" t="s">
        <v>462</v>
      </c>
      <c r="H24" s="57" t="s">
        <v>1486</v>
      </c>
      <c r="I24" s="57" t="s">
        <v>464</v>
      </c>
      <c r="J24" s="57"/>
      <c r="K24" s="57" t="s">
        <v>414</v>
      </c>
      <c r="L24" s="57" t="s">
        <v>346</v>
      </c>
      <c r="M24" s="57"/>
      <c r="N24" s="57" t="s">
        <v>575</v>
      </c>
    </row>
    <row r="25" customFormat="false" ht="27.75" hidden="false" customHeight="true" outlineLevel="0" collapsed="false">
      <c r="A25" s="57" t="s">
        <v>208</v>
      </c>
      <c r="B25" s="57" t="s">
        <v>209</v>
      </c>
      <c r="C25" s="58" t="n">
        <v>46305</v>
      </c>
      <c r="D25" s="57" t="s">
        <v>1493</v>
      </c>
      <c r="E25" s="57" t="s">
        <v>192</v>
      </c>
      <c r="F25" s="57" t="s">
        <v>179</v>
      </c>
      <c r="G25" s="57" t="s">
        <v>462</v>
      </c>
      <c r="H25" s="57" t="s">
        <v>1487</v>
      </c>
      <c r="I25" s="57" t="s">
        <v>464</v>
      </c>
      <c r="J25" s="57"/>
      <c r="K25" s="57" t="s">
        <v>414</v>
      </c>
      <c r="L25" s="57" t="s">
        <v>346</v>
      </c>
      <c r="M25" s="57"/>
      <c r="N25" s="57" t="s">
        <v>577</v>
      </c>
    </row>
    <row r="26" customFormat="false" ht="27.75" hidden="false" customHeight="true" outlineLevel="0" collapsed="false">
      <c r="A26" s="57" t="s">
        <v>208</v>
      </c>
      <c r="B26" s="57" t="s">
        <v>209</v>
      </c>
      <c r="C26" s="58" t="n">
        <v>46305</v>
      </c>
      <c r="D26" s="57" t="s">
        <v>1493</v>
      </c>
      <c r="E26" s="57" t="s">
        <v>192</v>
      </c>
      <c r="F26" s="57" t="s">
        <v>179</v>
      </c>
      <c r="G26" s="57" t="s">
        <v>462</v>
      </c>
      <c r="H26" s="57" t="s">
        <v>1488</v>
      </c>
      <c r="I26" s="57" t="s">
        <v>579</v>
      </c>
      <c r="J26" s="57"/>
      <c r="K26" s="57" t="s">
        <v>414</v>
      </c>
      <c r="L26" s="57" t="s">
        <v>346</v>
      </c>
      <c r="M26" s="57" t="s">
        <v>512</v>
      </c>
      <c r="N26" s="57" t="s">
        <v>580</v>
      </c>
    </row>
    <row r="27" customFormat="false" ht="27.75" hidden="false" customHeight="true" outlineLevel="0" collapsed="false">
      <c r="A27" s="57" t="s">
        <v>208</v>
      </c>
      <c r="B27" s="57" t="s">
        <v>209</v>
      </c>
      <c r="C27" s="58" t="n">
        <v>46305</v>
      </c>
      <c r="D27" s="57" t="s">
        <v>1493</v>
      </c>
      <c r="E27" s="57" t="s">
        <v>192</v>
      </c>
      <c r="F27" s="57" t="s">
        <v>179</v>
      </c>
      <c r="G27" s="57" t="s">
        <v>462</v>
      </c>
      <c r="H27" s="57" t="s">
        <v>1489</v>
      </c>
      <c r="I27" s="57" t="s">
        <v>464</v>
      </c>
      <c r="J27" s="57"/>
      <c r="K27" s="57" t="s">
        <v>414</v>
      </c>
      <c r="L27" s="57" t="s">
        <v>346</v>
      </c>
      <c r="M27" s="57"/>
      <c r="N27" s="57" t="s">
        <v>582</v>
      </c>
    </row>
    <row r="28" customFormat="false" ht="27.75" hidden="false" customHeight="true" outlineLevel="0" collapsed="false">
      <c r="A28" s="57" t="s">
        <v>208</v>
      </c>
      <c r="B28" s="57" t="s">
        <v>209</v>
      </c>
      <c r="C28" s="58" t="n">
        <v>46305</v>
      </c>
      <c r="D28" s="57" t="s">
        <v>1493</v>
      </c>
      <c r="E28" s="57" t="s">
        <v>192</v>
      </c>
      <c r="F28" s="57" t="s">
        <v>179</v>
      </c>
      <c r="G28" s="57" t="s">
        <v>410</v>
      </c>
      <c r="H28" s="57" t="s">
        <v>1490</v>
      </c>
      <c r="I28" s="57" t="s">
        <v>412</v>
      </c>
      <c r="J28" s="57"/>
      <c r="K28" s="57" t="s">
        <v>414</v>
      </c>
      <c r="L28" s="57" t="s">
        <v>346</v>
      </c>
      <c r="M28" s="57"/>
      <c r="N28" s="57" t="s">
        <v>584</v>
      </c>
    </row>
    <row r="29" customFormat="false" ht="27.75" hidden="false" customHeight="true" outlineLevel="0" collapsed="false">
      <c r="A29" s="57" t="s">
        <v>208</v>
      </c>
      <c r="B29" s="57" t="s">
        <v>209</v>
      </c>
      <c r="C29" s="58" t="n">
        <v>46305</v>
      </c>
      <c r="D29" s="57" t="s">
        <v>1493</v>
      </c>
      <c r="E29" s="57" t="s">
        <v>192</v>
      </c>
      <c r="F29" s="57" t="s">
        <v>179</v>
      </c>
      <c r="G29" s="57" t="s">
        <v>410</v>
      </c>
      <c r="H29" s="57" t="s">
        <v>1495</v>
      </c>
      <c r="I29" s="57" t="s">
        <v>412</v>
      </c>
      <c r="J29" s="57"/>
      <c r="K29" s="57" t="s">
        <v>414</v>
      </c>
      <c r="L29" s="57" t="s">
        <v>346</v>
      </c>
      <c r="M29" s="57"/>
      <c r="N29" s="57" t="s">
        <v>587</v>
      </c>
    </row>
    <row r="30" customFormat="false" ht="27.75" hidden="false" customHeight="true" outlineLevel="0" collapsed="false">
      <c r="A30" s="57" t="s">
        <v>208</v>
      </c>
      <c r="B30" s="57" t="s">
        <v>209</v>
      </c>
      <c r="C30" s="58" t="n">
        <v>46305</v>
      </c>
      <c r="D30" s="57" t="s">
        <v>1493</v>
      </c>
      <c r="E30" s="57" t="s">
        <v>192</v>
      </c>
      <c r="F30" s="57" t="s">
        <v>179</v>
      </c>
      <c r="G30" s="57" t="s">
        <v>410</v>
      </c>
      <c r="H30" s="57" t="s">
        <v>1496</v>
      </c>
      <c r="I30" s="57" t="s">
        <v>412</v>
      </c>
      <c r="J30" s="57"/>
      <c r="K30" s="57" t="s">
        <v>414</v>
      </c>
      <c r="L30" s="57" t="s">
        <v>346</v>
      </c>
      <c r="M30" s="57"/>
      <c r="N30" s="57" t="s">
        <v>590</v>
      </c>
    </row>
    <row r="31" customFormat="false" ht="27.75" hidden="false" customHeight="true" outlineLevel="0" collapsed="false">
      <c r="A31" s="57" t="s">
        <v>208</v>
      </c>
      <c r="B31" s="57" t="s">
        <v>209</v>
      </c>
      <c r="C31" s="58" t="n">
        <v>46305</v>
      </c>
      <c r="D31" s="57" t="s">
        <v>1493</v>
      </c>
      <c r="E31" s="57" t="s">
        <v>192</v>
      </c>
      <c r="F31" s="57" t="s">
        <v>179</v>
      </c>
      <c r="G31" s="57" t="s">
        <v>592</v>
      </c>
      <c r="H31" s="57" t="s">
        <v>1497</v>
      </c>
      <c r="I31" s="57" t="s">
        <v>464</v>
      </c>
      <c r="J31" s="57"/>
      <c r="K31" s="57" t="s">
        <v>177</v>
      </c>
      <c r="L31" s="57" t="s">
        <v>346</v>
      </c>
      <c r="M31" s="57" t="s">
        <v>595</v>
      </c>
      <c r="N31" s="57" t="s">
        <v>594</v>
      </c>
    </row>
    <row r="32" customFormat="false" ht="40.5" hidden="false" customHeight="true" outlineLevel="0" collapsed="false">
      <c r="A32" s="57" t="s">
        <v>208</v>
      </c>
      <c r="B32" s="57" t="s">
        <v>209</v>
      </c>
      <c r="C32" s="58" t="n">
        <v>46305</v>
      </c>
      <c r="D32" s="57" t="s">
        <v>1493</v>
      </c>
      <c r="E32" s="57" t="s">
        <v>192</v>
      </c>
      <c r="F32" s="57" t="s">
        <v>179</v>
      </c>
      <c r="G32" s="57" t="s">
        <v>597</v>
      </c>
      <c r="H32" s="57" t="s">
        <v>1498</v>
      </c>
      <c r="I32" s="57" t="s">
        <v>599</v>
      </c>
      <c r="J32" s="57"/>
      <c r="K32" s="57" t="s">
        <v>414</v>
      </c>
      <c r="L32" s="57" t="s">
        <v>346</v>
      </c>
      <c r="M32" s="57" t="s">
        <v>623</v>
      </c>
      <c r="N32" s="57" t="s">
        <v>600</v>
      </c>
    </row>
    <row r="33" customFormat="false" ht="40.5" hidden="false" customHeight="true" outlineLevel="0" collapsed="false">
      <c r="A33" s="57" t="s">
        <v>218</v>
      </c>
      <c r="B33" s="57" t="s">
        <v>219</v>
      </c>
      <c r="C33" s="58" t="n">
        <v>46310</v>
      </c>
      <c r="D33" s="57" t="s">
        <v>1499</v>
      </c>
      <c r="E33" s="57" t="s">
        <v>178</v>
      </c>
      <c r="F33" s="57" t="s">
        <v>179</v>
      </c>
      <c r="G33" s="57" t="s">
        <v>403</v>
      </c>
      <c r="H33" s="57" t="s">
        <v>1477</v>
      </c>
      <c r="I33" s="57" t="s">
        <v>405</v>
      </c>
      <c r="J33" s="57"/>
      <c r="K33" s="57" t="s">
        <v>177</v>
      </c>
      <c r="L33" s="74" t="s">
        <v>407</v>
      </c>
      <c r="M33" s="57" t="s">
        <v>408</v>
      </c>
      <c r="N33" s="57" t="s">
        <v>564</v>
      </c>
    </row>
    <row r="34" customFormat="false" ht="27.75" hidden="false" customHeight="true" outlineLevel="0" collapsed="false">
      <c r="A34" s="57" t="s">
        <v>218</v>
      </c>
      <c r="B34" s="57" t="s">
        <v>219</v>
      </c>
      <c r="C34" s="58" t="n">
        <v>46310</v>
      </c>
      <c r="D34" s="57" t="s">
        <v>1499</v>
      </c>
      <c r="E34" s="57" t="s">
        <v>178</v>
      </c>
      <c r="F34" s="57" t="s">
        <v>179</v>
      </c>
      <c r="G34" s="57" t="s">
        <v>410</v>
      </c>
      <c r="H34" s="57" t="s">
        <v>1478</v>
      </c>
      <c r="I34" s="57" t="s">
        <v>412</v>
      </c>
      <c r="J34" s="57"/>
      <c r="K34" s="57" t="s">
        <v>414</v>
      </c>
      <c r="L34" s="57" t="s">
        <v>346</v>
      </c>
      <c r="M34" s="57"/>
      <c r="N34" s="57" t="s">
        <v>650</v>
      </c>
    </row>
    <row r="35" customFormat="false" ht="52.5" hidden="false" customHeight="true" outlineLevel="0" collapsed="false">
      <c r="A35" s="57" t="s">
        <v>218</v>
      </c>
      <c r="B35" s="57" t="s">
        <v>219</v>
      </c>
      <c r="C35" s="58" t="n">
        <v>46310</v>
      </c>
      <c r="D35" s="57" t="s">
        <v>1499</v>
      </c>
      <c r="E35" s="57" t="s">
        <v>178</v>
      </c>
      <c r="F35" s="57" t="s">
        <v>179</v>
      </c>
      <c r="G35" s="57" t="s">
        <v>410</v>
      </c>
      <c r="H35" s="57" t="s">
        <v>1479</v>
      </c>
      <c r="I35" s="57" t="s">
        <v>412</v>
      </c>
      <c r="J35" s="57" t="s">
        <v>1480</v>
      </c>
      <c r="K35" s="57" t="s">
        <v>414</v>
      </c>
      <c r="L35" s="57" t="s">
        <v>346</v>
      </c>
      <c r="M35" s="57" t="s">
        <v>667</v>
      </c>
      <c r="N35" s="57" t="s">
        <v>653</v>
      </c>
    </row>
    <row r="36" customFormat="false" ht="52.5" hidden="false" customHeight="true" outlineLevel="0" collapsed="false">
      <c r="A36" s="57" t="s">
        <v>218</v>
      </c>
      <c r="B36" s="57" t="s">
        <v>219</v>
      </c>
      <c r="C36" s="58" t="n">
        <v>46310</v>
      </c>
      <c r="D36" s="57" t="s">
        <v>1499</v>
      </c>
      <c r="E36" s="57" t="s">
        <v>178</v>
      </c>
      <c r="F36" s="57" t="s">
        <v>179</v>
      </c>
      <c r="G36" s="57" t="s">
        <v>597</v>
      </c>
      <c r="H36" s="57" t="s">
        <v>1498</v>
      </c>
      <c r="I36" s="57" t="s">
        <v>599</v>
      </c>
      <c r="J36" s="57"/>
      <c r="K36" s="57" t="s">
        <v>414</v>
      </c>
      <c r="L36" s="74" t="s">
        <v>407</v>
      </c>
      <c r="M36" s="57" t="s">
        <v>669</v>
      </c>
      <c r="N36" s="57" t="s">
        <v>600</v>
      </c>
    </row>
    <row r="37" customFormat="false" ht="78" hidden="false" customHeight="true" outlineLevel="0" collapsed="false">
      <c r="A37" s="57" t="s">
        <v>221</v>
      </c>
      <c r="B37" s="57" t="s">
        <v>222</v>
      </c>
      <c r="C37" s="58" t="n">
        <v>46310</v>
      </c>
      <c r="D37" s="57" t="s">
        <v>1500</v>
      </c>
      <c r="E37" s="57" t="s">
        <v>192</v>
      </c>
      <c r="F37" s="57" t="s">
        <v>179</v>
      </c>
      <c r="G37" s="57" t="s">
        <v>403</v>
      </c>
      <c r="H37" s="57" t="s">
        <v>1477</v>
      </c>
      <c r="I37" s="57" t="s">
        <v>464</v>
      </c>
      <c r="J37" s="57"/>
      <c r="K37" s="57" t="s">
        <v>689</v>
      </c>
      <c r="L37" s="74" t="s">
        <v>407</v>
      </c>
      <c r="M37" s="57" t="s">
        <v>690</v>
      </c>
      <c r="N37" s="57" t="s">
        <v>406</v>
      </c>
    </row>
    <row r="38" customFormat="false" ht="27.75" hidden="false" customHeight="true" outlineLevel="0" collapsed="false">
      <c r="A38" s="57" t="s">
        <v>221</v>
      </c>
      <c r="B38" s="57" t="s">
        <v>222</v>
      </c>
      <c r="C38" s="58" t="n">
        <v>46310</v>
      </c>
      <c r="D38" s="57" t="s">
        <v>1500</v>
      </c>
      <c r="E38" s="57" t="s">
        <v>192</v>
      </c>
      <c r="F38" s="57" t="s">
        <v>179</v>
      </c>
      <c r="G38" s="57" t="s">
        <v>403</v>
      </c>
      <c r="H38" s="57" t="s">
        <v>1501</v>
      </c>
      <c r="I38" s="57" t="s">
        <v>693</v>
      </c>
      <c r="J38" s="57"/>
      <c r="K38" s="57" t="s">
        <v>177</v>
      </c>
      <c r="L38" s="57" t="s">
        <v>346</v>
      </c>
      <c r="M38" s="57" t="s">
        <v>695</v>
      </c>
      <c r="N38" s="57" t="s">
        <v>694</v>
      </c>
    </row>
    <row r="39" customFormat="false" ht="27.75" hidden="false" customHeight="true" outlineLevel="0" collapsed="false">
      <c r="A39" s="57" t="s">
        <v>221</v>
      </c>
      <c r="B39" s="57" t="s">
        <v>222</v>
      </c>
      <c r="C39" s="58" t="n">
        <v>46310</v>
      </c>
      <c r="D39" s="57" t="s">
        <v>1500</v>
      </c>
      <c r="E39" s="57" t="s">
        <v>192</v>
      </c>
      <c r="F39" s="57" t="s">
        <v>179</v>
      </c>
      <c r="G39" s="57" t="s">
        <v>403</v>
      </c>
      <c r="H39" s="57" t="s">
        <v>1494</v>
      </c>
      <c r="I39" s="57" t="s">
        <v>464</v>
      </c>
      <c r="J39" s="57"/>
      <c r="K39" s="57" t="s">
        <v>177</v>
      </c>
      <c r="L39" s="57" t="s">
        <v>346</v>
      </c>
      <c r="M39" s="57"/>
      <c r="N39" s="57" t="s">
        <v>697</v>
      </c>
    </row>
    <row r="40" customFormat="false" ht="27.75" hidden="false" customHeight="true" outlineLevel="0" collapsed="false">
      <c r="A40" s="57" t="s">
        <v>221</v>
      </c>
      <c r="B40" s="57" t="s">
        <v>222</v>
      </c>
      <c r="C40" s="58" t="n">
        <v>46310</v>
      </c>
      <c r="D40" s="57" t="s">
        <v>1500</v>
      </c>
      <c r="E40" s="57" t="s">
        <v>192</v>
      </c>
      <c r="F40" s="57" t="s">
        <v>179</v>
      </c>
      <c r="G40" s="57" t="s">
        <v>462</v>
      </c>
      <c r="H40" s="57" t="s">
        <v>1483</v>
      </c>
      <c r="I40" s="57" t="s">
        <v>464</v>
      </c>
      <c r="J40" s="57"/>
      <c r="K40" s="57" t="s">
        <v>414</v>
      </c>
      <c r="L40" s="57" t="s">
        <v>346</v>
      </c>
      <c r="M40" s="57"/>
      <c r="N40" s="57" t="s">
        <v>699</v>
      </c>
    </row>
    <row r="41" customFormat="false" ht="27.75" hidden="false" customHeight="true" outlineLevel="0" collapsed="false">
      <c r="A41" s="57" t="s">
        <v>221</v>
      </c>
      <c r="B41" s="57" t="s">
        <v>222</v>
      </c>
      <c r="C41" s="58" t="n">
        <v>46310</v>
      </c>
      <c r="D41" s="57" t="s">
        <v>1500</v>
      </c>
      <c r="E41" s="57" t="s">
        <v>192</v>
      </c>
      <c r="F41" s="57" t="s">
        <v>179</v>
      </c>
      <c r="G41" s="57" t="s">
        <v>462</v>
      </c>
      <c r="H41" s="57" t="s">
        <v>1484</v>
      </c>
      <c r="I41" s="57" t="s">
        <v>464</v>
      </c>
      <c r="J41" s="57"/>
      <c r="K41" s="57" t="s">
        <v>414</v>
      </c>
      <c r="L41" s="57" t="s">
        <v>346</v>
      </c>
      <c r="M41" s="57"/>
      <c r="N41" s="57" t="s">
        <v>701</v>
      </c>
    </row>
    <row r="42" customFormat="false" ht="27.75" hidden="false" customHeight="true" outlineLevel="0" collapsed="false">
      <c r="A42" s="57" t="s">
        <v>221</v>
      </c>
      <c r="B42" s="57" t="s">
        <v>222</v>
      </c>
      <c r="C42" s="58" t="n">
        <v>46310</v>
      </c>
      <c r="D42" s="57" t="s">
        <v>1500</v>
      </c>
      <c r="E42" s="57" t="s">
        <v>192</v>
      </c>
      <c r="F42" s="57" t="s">
        <v>179</v>
      </c>
      <c r="G42" s="57" t="s">
        <v>462</v>
      </c>
      <c r="H42" s="57" t="s">
        <v>1485</v>
      </c>
      <c r="I42" s="57" t="s">
        <v>464</v>
      </c>
      <c r="J42" s="57"/>
      <c r="K42" s="57" t="s">
        <v>414</v>
      </c>
      <c r="L42" s="57" t="s">
        <v>346</v>
      </c>
      <c r="M42" s="57"/>
      <c r="N42" s="57" t="s">
        <v>703</v>
      </c>
    </row>
    <row r="43" customFormat="false" ht="27.75" hidden="false" customHeight="true" outlineLevel="0" collapsed="false">
      <c r="A43" s="57" t="s">
        <v>221</v>
      </c>
      <c r="B43" s="57" t="s">
        <v>222</v>
      </c>
      <c r="C43" s="58" t="n">
        <v>46310</v>
      </c>
      <c r="D43" s="57" t="s">
        <v>1500</v>
      </c>
      <c r="E43" s="57" t="s">
        <v>192</v>
      </c>
      <c r="F43" s="57" t="s">
        <v>179</v>
      </c>
      <c r="G43" s="57" t="s">
        <v>462</v>
      </c>
      <c r="H43" s="57" t="s">
        <v>1486</v>
      </c>
      <c r="I43" s="57" t="s">
        <v>464</v>
      </c>
      <c r="J43" s="57"/>
      <c r="K43" s="57" t="s">
        <v>414</v>
      </c>
      <c r="L43" s="57" t="s">
        <v>346</v>
      </c>
      <c r="M43" s="57"/>
      <c r="N43" s="57" t="s">
        <v>705</v>
      </c>
    </row>
    <row r="44" customFormat="false" ht="27.75" hidden="false" customHeight="true" outlineLevel="0" collapsed="false">
      <c r="A44" s="57" t="s">
        <v>221</v>
      </c>
      <c r="B44" s="57" t="s">
        <v>222</v>
      </c>
      <c r="C44" s="58" t="n">
        <v>46310</v>
      </c>
      <c r="D44" s="57" t="s">
        <v>1500</v>
      </c>
      <c r="E44" s="57" t="s">
        <v>192</v>
      </c>
      <c r="F44" s="57" t="s">
        <v>179</v>
      </c>
      <c r="G44" s="57" t="s">
        <v>462</v>
      </c>
      <c r="H44" s="57" t="s">
        <v>1487</v>
      </c>
      <c r="I44" s="57" t="s">
        <v>464</v>
      </c>
      <c r="J44" s="57"/>
      <c r="K44" s="57" t="s">
        <v>414</v>
      </c>
      <c r="L44" s="57" t="s">
        <v>346</v>
      </c>
      <c r="M44" s="57"/>
      <c r="N44" s="57" t="s">
        <v>707</v>
      </c>
    </row>
    <row r="45" customFormat="false" ht="27.75" hidden="false" customHeight="true" outlineLevel="0" collapsed="false">
      <c r="A45" s="57" t="s">
        <v>221</v>
      </c>
      <c r="B45" s="57" t="s">
        <v>222</v>
      </c>
      <c r="C45" s="58" t="n">
        <v>46310</v>
      </c>
      <c r="D45" s="57" t="s">
        <v>1500</v>
      </c>
      <c r="E45" s="57" t="s">
        <v>192</v>
      </c>
      <c r="F45" s="57" t="s">
        <v>179</v>
      </c>
      <c r="G45" s="57" t="s">
        <v>462</v>
      </c>
      <c r="H45" s="57" t="s">
        <v>1488</v>
      </c>
      <c r="I45" s="57" t="s">
        <v>579</v>
      </c>
      <c r="J45" s="57"/>
      <c r="K45" s="57" t="s">
        <v>414</v>
      </c>
      <c r="L45" s="57" t="s">
        <v>346</v>
      </c>
      <c r="M45" s="57" t="s">
        <v>512</v>
      </c>
      <c r="N45" s="57" t="s">
        <v>709</v>
      </c>
    </row>
    <row r="46" customFormat="false" ht="27.75" hidden="false" customHeight="true" outlineLevel="0" collapsed="false">
      <c r="A46" s="57" t="s">
        <v>221</v>
      </c>
      <c r="B46" s="57" t="s">
        <v>222</v>
      </c>
      <c r="C46" s="58" t="n">
        <v>46310</v>
      </c>
      <c r="D46" s="57" t="s">
        <v>1500</v>
      </c>
      <c r="E46" s="57" t="s">
        <v>192</v>
      </c>
      <c r="F46" s="57" t="s">
        <v>179</v>
      </c>
      <c r="G46" s="57" t="s">
        <v>462</v>
      </c>
      <c r="H46" s="57" t="s">
        <v>1489</v>
      </c>
      <c r="I46" s="57" t="s">
        <v>464</v>
      </c>
      <c r="J46" s="57"/>
      <c r="K46" s="57" t="s">
        <v>414</v>
      </c>
      <c r="L46" s="57" t="s">
        <v>346</v>
      </c>
      <c r="M46" s="57"/>
      <c r="N46" s="57" t="s">
        <v>711</v>
      </c>
    </row>
    <row r="47" customFormat="false" ht="27.75" hidden="false" customHeight="true" outlineLevel="0" collapsed="false">
      <c r="A47" s="57" t="s">
        <v>221</v>
      </c>
      <c r="B47" s="57" t="s">
        <v>222</v>
      </c>
      <c r="C47" s="58" t="n">
        <v>46310</v>
      </c>
      <c r="D47" s="57" t="s">
        <v>1500</v>
      </c>
      <c r="E47" s="57" t="s">
        <v>192</v>
      </c>
      <c r="F47" s="57" t="s">
        <v>179</v>
      </c>
      <c r="G47" s="57" t="s">
        <v>410</v>
      </c>
      <c r="H47" s="57" t="s">
        <v>1490</v>
      </c>
      <c r="I47" s="57" t="s">
        <v>412</v>
      </c>
      <c r="J47" s="57"/>
      <c r="K47" s="57" t="s">
        <v>414</v>
      </c>
      <c r="L47" s="57" t="s">
        <v>346</v>
      </c>
      <c r="M47" s="57"/>
      <c r="N47" s="57" t="s">
        <v>713</v>
      </c>
    </row>
    <row r="48" customFormat="false" ht="27.75" hidden="false" customHeight="true" outlineLevel="0" collapsed="false">
      <c r="A48" s="57" t="s">
        <v>221</v>
      </c>
      <c r="B48" s="57" t="s">
        <v>222</v>
      </c>
      <c r="C48" s="58" t="n">
        <v>46310</v>
      </c>
      <c r="D48" s="57" t="s">
        <v>1500</v>
      </c>
      <c r="E48" s="57" t="s">
        <v>192</v>
      </c>
      <c r="F48" s="57" t="s">
        <v>179</v>
      </c>
      <c r="G48" s="57" t="s">
        <v>410</v>
      </c>
      <c r="H48" s="57" t="s">
        <v>1495</v>
      </c>
      <c r="I48" s="57" t="s">
        <v>412</v>
      </c>
      <c r="J48" s="57"/>
      <c r="K48" s="57" t="s">
        <v>414</v>
      </c>
      <c r="L48" s="57" t="s">
        <v>346</v>
      </c>
      <c r="M48" s="57"/>
      <c r="N48" s="57" t="s">
        <v>715</v>
      </c>
    </row>
    <row r="49" customFormat="false" ht="27.75" hidden="false" customHeight="true" outlineLevel="0" collapsed="false">
      <c r="A49" s="57" t="s">
        <v>221</v>
      </c>
      <c r="B49" s="57" t="s">
        <v>222</v>
      </c>
      <c r="C49" s="58" t="n">
        <v>46310</v>
      </c>
      <c r="D49" s="57" t="s">
        <v>1500</v>
      </c>
      <c r="E49" s="57" t="s">
        <v>192</v>
      </c>
      <c r="F49" s="57" t="s">
        <v>179</v>
      </c>
      <c r="G49" s="57" t="s">
        <v>410</v>
      </c>
      <c r="H49" s="57" t="s">
        <v>1496</v>
      </c>
      <c r="I49" s="57" t="s">
        <v>412</v>
      </c>
      <c r="J49" s="57"/>
      <c r="K49" s="57" t="s">
        <v>414</v>
      </c>
      <c r="L49" s="57" t="s">
        <v>346</v>
      </c>
      <c r="M49" s="57"/>
      <c r="N49" s="57" t="s">
        <v>717</v>
      </c>
    </row>
    <row r="50" customFormat="false" ht="27.75" hidden="false" customHeight="true" outlineLevel="0" collapsed="false">
      <c r="A50" s="57" t="s">
        <v>221</v>
      </c>
      <c r="B50" s="57" t="s">
        <v>222</v>
      </c>
      <c r="C50" s="58" t="n">
        <v>46310</v>
      </c>
      <c r="D50" s="57" t="s">
        <v>1500</v>
      </c>
      <c r="E50" s="57" t="s">
        <v>192</v>
      </c>
      <c r="F50" s="57" t="s">
        <v>179</v>
      </c>
      <c r="G50" s="57" t="s">
        <v>592</v>
      </c>
      <c r="H50" s="57" t="s">
        <v>1497</v>
      </c>
      <c r="I50" s="57" t="s">
        <v>464</v>
      </c>
      <c r="J50" s="57"/>
      <c r="K50" s="57" t="s">
        <v>177</v>
      </c>
      <c r="L50" s="57" t="s">
        <v>346</v>
      </c>
      <c r="M50" s="57" t="s">
        <v>595</v>
      </c>
      <c r="N50" s="57" t="s">
        <v>719</v>
      </c>
    </row>
    <row r="51" customFormat="false" ht="27.75" hidden="false" customHeight="true" outlineLevel="0" collapsed="false">
      <c r="A51" s="57" t="s">
        <v>225</v>
      </c>
      <c r="B51" s="57" t="s">
        <v>226</v>
      </c>
      <c r="C51" s="58" t="n">
        <v>46304</v>
      </c>
      <c r="D51" s="57" t="s">
        <v>1476</v>
      </c>
      <c r="E51" s="57" t="s">
        <v>192</v>
      </c>
      <c r="F51" s="57" t="s">
        <v>179</v>
      </c>
      <c r="G51" s="57" t="s">
        <v>403</v>
      </c>
      <c r="H51" s="57" t="s">
        <v>1477</v>
      </c>
      <c r="I51" s="57" t="s">
        <v>464</v>
      </c>
      <c r="J51" s="57"/>
      <c r="K51" s="57" t="s">
        <v>176</v>
      </c>
      <c r="L51" s="57" t="s">
        <v>346</v>
      </c>
      <c r="M51" s="57"/>
      <c r="N51" s="57" t="s">
        <v>406</v>
      </c>
    </row>
    <row r="52" customFormat="false" ht="40.5" hidden="false" customHeight="true" outlineLevel="0" collapsed="false">
      <c r="A52" s="57" t="s">
        <v>225</v>
      </c>
      <c r="B52" s="57" t="s">
        <v>226</v>
      </c>
      <c r="C52" s="58" t="n">
        <v>46304</v>
      </c>
      <c r="D52" s="57" t="s">
        <v>1476</v>
      </c>
      <c r="E52" s="57" t="s">
        <v>192</v>
      </c>
      <c r="F52" s="57" t="s">
        <v>179</v>
      </c>
      <c r="G52" s="57" t="s">
        <v>403</v>
      </c>
      <c r="H52" s="57" t="s">
        <v>1501</v>
      </c>
      <c r="I52" s="57" t="s">
        <v>693</v>
      </c>
      <c r="J52" s="57"/>
      <c r="K52" s="57" t="s">
        <v>177</v>
      </c>
      <c r="L52" s="74" t="s">
        <v>407</v>
      </c>
      <c r="M52" s="57" t="s">
        <v>783</v>
      </c>
      <c r="N52" s="57" t="s">
        <v>694</v>
      </c>
    </row>
    <row r="53" customFormat="false" ht="27.75" hidden="false" customHeight="true" outlineLevel="0" collapsed="false">
      <c r="A53" s="57" t="s">
        <v>225</v>
      </c>
      <c r="B53" s="57" t="s">
        <v>226</v>
      </c>
      <c r="C53" s="58" t="n">
        <v>46304</v>
      </c>
      <c r="D53" s="57" t="s">
        <v>1476</v>
      </c>
      <c r="E53" s="57" t="s">
        <v>192</v>
      </c>
      <c r="F53" s="57" t="s">
        <v>179</v>
      </c>
      <c r="G53" s="57" t="s">
        <v>403</v>
      </c>
      <c r="H53" s="57" t="s">
        <v>1494</v>
      </c>
      <c r="I53" s="57" t="s">
        <v>464</v>
      </c>
      <c r="J53" s="57"/>
      <c r="K53" s="57" t="s">
        <v>177</v>
      </c>
      <c r="L53" s="57" t="s">
        <v>346</v>
      </c>
      <c r="M53" s="57"/>
      <c r="N53" s="57" t="s">
        <v>697</v>
      </c>
    </row>
    <row r="54" customFormat="false" ht="27.75" hidden="false" customHeight="true" outlineLevel="0" collapsed="false">
      <c r="A54" s="57" t="s">
        <v>225</v>
      </c>
      <c r="B54" s="57" t="s">
        <v>226</v>
      </c>
      <c r="C54" s="58" t="n">
        <v>46304</v>
      </c>
      <c r="D54" s="57" t="s">
        <v>1476</v>
      </c>
      <c r="E54" s="57" t="s">
        <v>192</v>
      </c>
      <c r="F54" s="57" t="s">
        <v>179</v>
      </c>
      <c r="G54" s="57" t="s">
        <v>462</v>
      </c>
      <c r="H54" s="57" t="s">
        <v>1483</v>
      </c>
      <c r="I54" s="57" t="s">
        <v>464</v>
      </c>
      <c r="J54" s="57"/>
      <c r="K54" s="57" t="s">
        <v>414</v>
      </c>
      <c r="L54" s="57" t="s">
        <v>346</v>
      </c>
      <c r="M54" s="57"/>
      <c r="N54" s="57" t="s">
        <v>699</v>
      </c>
    </row>
    <row r="55" customFormat="false" ht="27.75" hidden="false" customHeight="true" outlineLevel="0" collapsed="false">
      <c r="A55" s="57" t="s">
        <v>225</v>
      </c>
      <c r="B55" s="57" t="s">
        <v>226</v>
      </c>
      <c r="C55" s="58" t="n">
        <v>46304</v>
      </c>
      <c r="D55" s="57" t="s">
        <v>1476</v>
      </c>
      <c r="E55" s="57" t="s">
        <v>192</v>
      </c>
      <c r="F55" s="57" t="s">
        <v>179</v>
      </c>
      <c r="G55" s="57" t="s">
        <v>462</v>
      </c>
      <c r="H55" s="57" t="s">
        <v>1484</v>
      </c>
      <c r="I55" s="57" t="s">
        <v>464</v>
      </c>
      <c r="J55" s="57"/>
      <c r="K55" s="57" t="s">
        <v>414</v>
      </c>
      <c r="L55" s="57" t="s">
        <v>346</v>
      </c>
      <c r="M55" s="57"/>
      <c r="N55" s="57" t="s">
        <v>701</v>
      </c>
    </row>
    <row r="56" customFormat="false" ht="27.75" hidden="false" customHeight="true" outlineLevel="0" collapsed="false">
      <c r="A56" s="57" t="s">
        <v>225</v>
      </c>
      <c r="B56" s="57" t="s">
        <v>226</v>
      </c>
      <c r="C56" s="58" t="n">
        <v>46304</v>
      </c>
      <c r="D56" s="57" t="s">
        <v>1476</v>
      </c>
      <c r="E56" s="57" t="s">
        <v>192</v>
      </c>
      <c r="F56" s="57" t="s">
        <v>179</v>
      </c>
      <c r="G56" s="57" t="s">
        <v>462</v>
      </c>
      <c r="H56" s="57" t="s">
        <v>1485</v>
      </c>
      <c r="I56" s="57" t="s">
        <v>464</v>
      </c>
      <c r="J56" s="57"/>
      <c r="K56" s="57" t="s">
        <v>414</v>
      </c>
      <c r="L56" s="57" t="s">
        <v>346</v>
      </c>
      <c r="M56" s="57"/>
      <c r="N56" s="57" t="s">
        <v>703</v>
      </c>
    </row>
    <row r="57" customFormat="false" ht="27.75" hidden="false" customHeight="true" outlineLevel="0" collapsed="false">
      <c r="A57" s="57" t="s">
        <v>225</v>
      </c>
      <c r="B57" s="57" t="s">
        <v>226</v>
      </c>
      <c r="C57" s="58" t="n">
        <v>46304</v>
      </c>
      <c r="D57" s="57" t="s">
        <v>1476</v>
      </c>
      <c r="E57" s="57" t="s">
        <v>192</v>
      </c>
      <c r="F57" s="57" t="s">
        <v>179</v>
      </c>
      <c r="G57" s="57" t="s">
        <v>462</v>
      </c>
      <c r="H57" s="57" t="s">
        <v>1486</v>
      </c>
      <c r="I57" s="57" t="s">
        <v>464</v>
      </c>
      <c r="J57" s="57"/>
      <c r="K57" s="57" t="s">
        <v>414</v>
      </c>
      <c r="L57" s="57" t="s">
        <v>346</v>
      </c>
      <c r="M57" s="57"/>
      <c r="N57" s="57" t="s">
        <v>705</v>
      </c>
    </row>
    <row r="58" customFormat="false" ht="27.75" hidden="false" customHeight="true" outlineLevel="0" collapsed="false">
      <c r="A58" s="57" t="s">
        <v>225</v>
      </c>
      <c r="B58" s="57" t="s">
        <v>226</v>
      </c>
      <c r="C58" s="58" t="n">
        <v>46304</v>
      </c>
      <c r="D58" s="57" t="s">
        <v>1476</v>
      </c>
      <c r="E58" s="57" t="s">
        <v>192</v>
      </c>
      <c r="F58" s="57" t="s">
        <v>179</v>
      </c>
      <c r="G58" s="57" t="s">
        <v>462</v>
      </c>
      <c r="H58" s="57" t="s">
        <v>1487</v>
      </c>
      <c r="I58" s="57" t="s">
        <v>464</v>
      </c>
      <c r="J58" s="57"/>
      <c r="K58" s="57" t="s">
        <v>414</v>
      </c>
      <c r="L58" s="57" t="s">
        <v>346</v>
      </c>
      <c r="M58" s="57"/>
      <c r="N58" s="57" t="s">
        <v>707</v>
      </c>
    </row>
    <row r="59" customFormat="false" ht="27.75" hidden="false" customHeight="true" outlineLevel="0" collapsed="false">
      <c r="A59" s="57" t="s">
        <v>225</v>
      </c>
      <c r="B59" s="57" t="s">
        <v>226</v>
      </c>
      <c r="C59" s="58" t="n">
        <v>46304</v>
      </c>
      <c r="D59" s="57" t="s">
        <v>1476</v>
      </c>
      <c r="E59" s="57" t="s">
        <v>192</v>
      </c>
      <c r="F59" s="57" t="s">
        <v>179</v>
      </c>
      <c r="G59" s="57" t="s">
        <v>462</v>
      </c>
      <c r="H59" s="57" t="s">
        <v>1488</v>
      </c>
      <c r="I59" s="57" t="s">
        <v>579</v>
      </c>
      <c r="J59" s="57"/>
      <c r="K59" s="57" t="s">
        <v>414</v>
      </c>
      <c r="L59" s="57" t="s">
        <v>346</v>
      </c>
      <c r="M59" s="57" t="s">
        <v>512</v>
      </c>
      <c r="N59" s="57" t="s">
        <v>709</v>
      </c>
    </row>
    <row r="60" customFormat="false" ht="27.75" hidden="false" customHeight="true" outlineLevel="0" collapsed="false">
      <c r="A60" s="57" t="s">
        <v>225</v>
      </c>
      <c r="B60" s="57" t="s">
        <v>226</v>
      </c>
      <c r="C60" s="58" t="n">
        <v>46304</v>
      </c>
      <c r="D60" s="57" t="s">
        <v>1476</v>
      </c>
      <c r="E60" s="57" t="s">
        <v>192</v>
      </c>
      <c r="F60" s="57" t="s">
        <v>179</v>
      </c>
      <c r="G60" s="57" t="s">
        <v>462</v>
      </c>
      <c r="H60" s="57" t="s">
        <v>1489</v>
      </c>
      <c r="I60" s="57" t="s">
        <v>464</v>
      </c>
      <c r="J60" s="57"/>
      <c r="K60" s="57" t="s">
        <v>414</v>
      </c>
      <c r="L60" s="57" t="s">
        <v>346</v>
      </c>
      <c r="M60" s="57"/>
      <c r="N60" s="57" t="s">
        <v>711</v>
      </c>
    </row>
    <row r="61" customFormat="false" ht="27.75" hidden="false" customHeight="true" outlineLevel="0" collapsed="false">
      <c r="A61" s="57" t="s">
        <v>225</v>
      </c>
      <c r="B61" s="57" t="s">
        <v>226</v>
      </c>
      <c r="C61" s="58" t="n">
        <v>46304</v>
      </c>
      <c r="D61" s="57" t="s">
        <v>1476</v>
      </c>
      <c r="E61" s="57" t="s">
        <v>192</v>
      </c>
      <c r="F61" s="57" t="s">
        <v>179</v>
      </c>
      <c r="G61" s="57" t="s">
        <v>410</v>
      </c>
      <c r="H61" s="57" t="s">
        <v>1490</v>
      </c>
      <c r="I61" s="57" t="s">
        <v>412</v>
      </c>
      <c r="J61" s="57"/>
      <c r="K61" s="57" t="s">
        <v>414</v>
      </c>
      <c r="L61" s="57" t="s">
        <v>346</v>
      </c>
      <c r="M61" s="57"/>
      <c r="N61" s="57" t="s">
        <v>713</v>
      </c>
    </row>
    <row r="62" customFormat="false" ht="27.75" hidden="false" customHeight="true" outlineLevel="0" collapsed="false">
      <c r="A62" s="57" t="s">
        <v>225</v>
      </c>
      <c r="B62" s="57" t="s">
        <v>226</v>
      </c>
      <c r="C62" s="58" t="n">
        <v>46304</v>
      </c>
      <c r="D62" s="57" t="s">
        <v>1476</v>
      </c>
      <c r="E62" s="57" t="s">
        <v>192</v>
      </c>
      <c r="F62" s="57" t="s">
        <v>179</v>
      </c>
      <c r="G62" s="57" t="s">
        <v>410</v>
      </c>
      <c r="H62" s="57" t="s">
        <v>1495</v>
      </c>
      <c r="I62" s="57" t="s">
        <v>412</v>
      </c>
      <c r="J62" s="57"/>
      <c r="K62" s="57" t="s">
        <v>414</v>
      </c>
      <c r="L62" s="57" t="s">
        <v>346</v>
      </c>
      <c r="M62" s="57"/>
      <c r="N62" s="57" t="s">
        <v>715</v>
      </c>
    </row>
    <row r="63" customFormat="false" ht="27.75" hidden="false" customHeight="true" outlineLevel="0" collapsed="false">
      <c r="A63" s="57" t="s">
        <v>225</v>
      </c>
      <c r="B63" s="57" t="s">
        <v>226</v>
      </c>
      <c r="C63" s="58" t="n">
        <v>46304</v>
      </c>
      <c r="D63" s="57" t="s">
        <v>1476</v>
      </c>
      <c r="E63" s="57" t="s">
        <v>192</v>
      </c>
      <c r="F63" s="57" t="s">
        <v>179</v>
      </c>
      <c r="G63" s="57" t="s">
        <v>410</v>
      </c>
      <c r="H63" s="57" t="s">
        <v>1496</v>
      </c>
      <c r="I63" s="57" t="s">
        <v>412</v>
      </c>
      <c r="J63" s="57"/>
      <c r="K63" s="57" t="s">
        <v>414</v>
      </c>
      <c r="L63" s="57" t="s">
        <v>346</v>
      </c>
      <c r="M63" s="57"/>
      <c r="N63" s="57" t="s">
        <v>717</v>
      </c>
    </row>
    <row r="64" customFormat="false" ht="27.75" hidden="false" customHeight="true" outlineLevel="0" collapsed="false">
      <c r="A64" s="57" t="s">
        <v>225</v>
      </c>
      <c r="B64" s="57" t="s">
        <v>226</v>
      </c>
      <c r="C64" s="58" t="n">
        <v>46304</v>
      </c>
      <c r="D64" s="57" t="s">
        <v>1476</v>
      </c>
      <c r="E64" s="57" t="s">
        <v>192</v>
      </c>
      <c r="F64" s="57" t="s">
        <v>179</v>
      </c>
      <c r="G64" s="57" t="s">
        <v>592</v>
      </c>
      <c r="H64" s="57" t="s">
        <v>1497</v>
      </c>
      <c r="I64" s="57" t="s">
        <v>464</v>
      </c>
      <c r="J64" s="57"/>
      <c r="K64" s="57" t="s">
        <v>177</v>
      </c>
      <c r="L64" s="57" t="s">
        <v>346</v>
      </c>
      <c r="M64" s="57" t="s">
        <v>595</v>
      </c>
      <c r="N64" s="57" t="s">
        <v>719</v>
      </c>
    </row>
    <row r="65" customFormat="false" ht="27.75" hidden="false" customHeight="true" outlineLevel="0" collapsed="false">
      <c r="A65" s="57" t="s">
        <v>228</v>
      </c>
      <c r="B65" s="57" t="s">
        <v>229</v>
      </c>
      <c r="C65" s="58" t="n">
        <v>46305</v>
      </c>
      <c r="D65" s="57" t="s">
        <v>1502</v>
      </c>
      <c r="E65" s="57" t="s">
        <v>178</v>
      </c>
      <c r="F65" s="57" t="s">
        <v>193</v>
      </c>
      <c r="G65" s="57" t="s">
        <v>410</v>
      </c>
      <c r="H65" s="57" t="s">
        <v>1478</v>
      </c>
      <c r="I65" s="57" t="s">
        <v>412</v>
      </c>
      <c r="J65" s="57"/>
      <c r="K65" s="57" t="s">
        <v>414</v>
      </c>
      <c r="L65" s="57" t="s">
        <v>346</v>
      </c>
      <c r="M65" s="57"/>
      <c r="N65" s="57" t="s">
        <v>816</v>
      </c>
    </row>
    <row r="66" customFormat="false" ht="27.75" hidden="false" customHeight="true" outlineLevel="0" collapsed="false">
      <c r="A66" s="57" t="s">
        <v>236</v>
      </c>
      <c r="B66" s="57" t="s">
        <v>238</v>
      </c>
      <c r="C66" s="58" t="n">
        <v>46306</v>
      </c>
      <c r="D66" s="57" t="s">
        <v>1503</v>
      </c>
      <c r="E66" s="57" t="s">
        <v>192</v>
      </c>
      <c r="F66" s="57" t="s">
        <v>193</v>
      </c>
      <c r="G66" s="57" t="s">
        <v>403</v>
      </c>
      <c r="H66" s="57" t="s">
        <v>1482</v>
      </c>
      <c r="I66" s="57" t="s">
        <v>458</v>
      </c>
      <c r="J66" s="57"/>
      <c r="K66" s="57" t="s">
        <v>414</v>
      </c>
      <c r="L66" s="57" t="s">
        <v>346</v>
      </c>
      <c r="M66" s="57" t="s">
        <v>498</v>
      </c>
      <c r="N66" s="57" t="s">
        <v>839</v>
      </c>
    </row>
    <row r="67" customFormat="false" ht="27.75" hidden="false" customHeight="true" outlineLevel="0" collapsed="false">
      <c r="A67" s="57" t="s">
        <v>236</v>
      </c>
      <c r="B67" s="57" t="s">
        <v>238</v>
      </c>
      <c r="C67" s="58" t="n">
        <v>46306</v>
      </c>
      <c r="D67" s="57" t="s">
        <v>1503</v>
      </c>
      <c r="E67" s="57" t="s">
        <v>192</v>
      </c>
      <c r="F67" s="57" t="s">
        <v>193</v>
      </c>
      <c r="G67" s="57" t="s">
        <v>462</v>
      </c>
      <c r="H67" s="57" t="s">
        <v>1483</v>
      </c>
      <c r="I67" s="57" t="s">
        <v>464</v>
      </c>
      <c r="J67" s="57"/>
      <c r="K67" s="57" t="s">
        <v>414</v>
      </c>
      <c r="L67" s="57" t="s">
        <v>346</v>
      </c>
      <c r="M67" s="57"/>
      <c r="N67" s="57" t="s">
        <v>842</v>
      </c>
    </row>
    <row r="68" customFormat="false" ht="27.75" hidden="false" customHeight="true" outlineLevel="0" collapsed="false">
      <c r="A68" s="57" t="s">
        <v>236</v>
      </c>
      <c r="B68" s="57" t="s">
        <v>238</v>
      </c>
      <c r="C68" s="58" t="n">
        <v>46306</v>
      </c>
      <c r="D68" s="57" t="s">
        <v>1503</v>
      </c>
      <c r="E68" s="57" t="s">
        <v>192</v>
      </c>
      <c r="F68" s="57" t="s">
        <v>193</v>
      </c>
      <c r="G68" s="57" t="s">
        <v>462</v>
      </c>
      <c r="H68" s="57" t="s">
        <v>1484</v>
      </c>
      <c r="I68" s="57" t="s">
        <v>464</v>
      </c>
      <c r="J68" s="57"/>
      <c r="K68" s="57" t="s">
        <v>414</v>
      </c>
      <c r="L68" s="57" t="s">
        <v>346</v>
      </c>
      <c r="M68" s="57"/>
      <c r="N68" s="57" t="s">
        <v>845</v>
      </c>
    </row>
    <row r="69" customFormat="false" ht="27.75" hidden="false" customHeight="true" outlineLevel="0" collapsed="false">
      <c r="A69" s="57" t="s">
        <v>236</v>
      </c>
      <c r="B69" s="57" t="s">
        <v>238</v>
      </c>
      <c r="C69" s="58" t="n">
        <v>46306</v>
      </c>
      <c r="D69" s="57" t="s">
        <v>1503</v>
      </c>
      <c r="E69" s="57" t="s">
        <v>192</v>
      </c>
      <c r="F69" s="57" t="s">
        <v>193</v>
      </c>
      <c r="G69" s="57" t="s">
        <v>462</v>
      </c>
      <c r="H69" s="57" t="s">
        <v>1485</v>
      </c>
      <c r="I69" s="57" t="s">
        <v>464</v>
      </c>
      <c r="J69" s="57"/>
      <c r="K69" s="57" t="s">
        <v>414</v>
      </c>
      <c r="L69" s="57" t="s">
        <v>346</v>
      </c>
      <c r="M69" s="57"/>
      <c r="N69" s="57" t="s">
        <v>847</v>
      </c>
    </row>
    <row r="70" customFormat="false" ht="65.25" hidden="false" customHeight="true" outlineLevel="0" collapsed="false">
      <c r="A70" s="57" t="s">
        <v>236</v>
      </c>
      <c r="B70" s="57" t="s">
        <v>238</v>
      </c>
      <c r="C70" s="58" t="n">
        <v>46306</v>
      </c>
      <c r="D70" s="57" t="s">
        <v>1503</v>
      </c>
      <c r="E70" s="57" t="s">
        <v>192</v>
      </c>
      <c r="F70" s="57" t="s">
        <v>193</v>
      </c>
      <c r="G70" s="57" t="s">
        <v>462</v>
      </c>
      <c r="H70" s="57" t="s">
        <v>1486</v>
      </c>
      <c r="I70" s="57" t="s">
        <v>464</v>
      </c>
      <c r="J70" s="57"/>
      <c r="K70" s="57" t="s">
        <v>414</v>
      </c>
      <c r="L70" s="74" t="s">
        <v>407</v>
      </c>
      <c r="M70" s="57" t="s">
        <v>507</v>
      </c>
      <c r="N70" s="57" t="s">
        <v>849</v>
      </c>
    </row>
    <row r="71" customFormat="false" ht="65.25" hidden="false" customHeight="true" outlineLevel="0" collapsed="false">
      <c r="A71" s="57" t="s">
        <v>236</v>
      </c>
      <c r="B71" s="57" t="s">
        <v>238</v>
      </c>
      <c r="C71" s="58" t="n">
        <v>46306</v>
      </c>
      <c r="D71" s="57" t="s">
        <v>1503</v>
      </c>
      <c r="E71" s="57" t="s">
        <v>192</v>
      </c>
      <c r="F71" s="57" t="s">
        <v>193</v>
      </c>
      <c r="G71" s="57" t="s">
        <v>462</v>
      </c>
      <c r="H71" s="57" t="s">
        <v>1487</v>
      </c>
      <c r="I71" s="57" t="s">
        <v>464</v>
      </c>
      <c r="J71" s="57"/>
      <c r="K71" s="57" t="s">
        <v>414</v>
      </c>
      <c r="L71" s="74" t="s">
        <v>407</v>
      </c>
      <c r="M71" s="57" t="s">
        <v>507</v>
      </c>
      <c r="N71" s="57" t="s">
        <v>852</v>
      </c>
    </row>
    <row r="72" customFormat="false" ht="27.75" hidden="false" customHeight="true" outlineLevel="0" collapsed="false">
      <c r="A72" s="57" t="s">
        <v>236</v>
      </c>
      <c r="B72" s="57" t="s">
        <v>238</v>
      </c>
      <c r="C72" s="58" t="n">
        <v>46306</v>
      </c>
      <c r="D72" s="57" t="s">
        <v>1503</v>
      </c>
      <c r="E72" s="57" t="s">
        <v>192</v>
      </c>
      <c r="F72" s="57" t="s">
        <v>193</v>
      </c>
      <c r="G72" s="57" t="s">
        <v>462</v>
      </c>
      <c r="H72" s="57" t="s">
        <v>1488</v>
      </c>
      <c r="I72" s="57" t="s">
        <v>482</v>
      </c>
      <c r="J72" s="57"/>
      <c r="K72" s="57" t="s">
        <v>414</v>
      </c>
      <c r="L72" s="57" t="s">
        <v>346</v>
      </c>
      <c r="M72" s="57" t="s">
        <v>512</v>
      </c>
      <c r="N72" s="57" t="s">
        <v>854</v>
      </c>
    </row>
    <row r="73" customFormat="false" ht="27.75" hidden="false" customHeight="true" outlineLevel="0" collapsed="false">
      <c r="A73" s="57" t="s">
        <v>236</v>
      </c>
      <c r="B73" s="57" t="s">
        <v>238</v>
      </c>
      <c r="C73" s="58" t="n">
        <v>46306</v>
      </c>
      <c r="D73" s="57" t="s">
        <v>1503</v>
      </c>
      <c r="E73" s="57" t="s">
        <v>192</v>
      </c>
      <c r="F73" s="57" t="s">
        <v>193</v>
      </c>
      <c r="G73" s="57" t="s">
        <v>462</v>
      </c>
      <c r="H73" s="57" t="s">
        <v>1489</v>
      </c>
      <c r="I73" s="57" t="s">
        <v>464</v>
      </c>
      <c r="J73" s="57"/>
      <c r="K73" s="57" t="s">
        <v>414</v>
      </c>
      <c r="L73" s="57" t="s">
        <v>346</v>
      </c>
      <c r="M73" s="57"/>
      <c r="N73" s="57" t="s">
        <v>857</v>
      </c>
    </row>
    <row r="74" customFormat="false" ht="27.75" hidden="false" customHeight="true" outlineLevel="0" collapsed="false">
      <c r="A74" s="57" t="s">
        <v>236</v>
      </c>
      <c r="B74" s="57" t="s">
        <v>238</v>
      </c>
      <c r="C74" s="58" t="n">
        <v>46306</v>
      </c>
      <c r="D74" s="57" t="s">
        <v>1503</v>
      </c>
      <c r="E74" s="57" t="s">
        <v>192</v>
      </c>
      <c r="F74" s="57" t="s">
        <v>193</v>
      </c>
      <c r="G74" s="57" t="s">
        <v>410</v>
      </c>
      <c r="H74" s="57" t="s">
        <v>1490</v>
      </c>
      <c r="I74" s="57" t="s">
        <v>412</v>
      </c>
      <c r="J74" s="57"/>
      <c r="K74" s="57" t="s">
        <v>414</v>
      </c>
      <c r="L74" s="57" t="s">
        <v>346</v>
      </c>
      <c r="M74" s="57"/>
      <c r="N74" s="57" t="s">
        <v>859</v>
      </c>
    </row>
    <row r="75" customFormat="false" ht="27.75" hidden="false" customHeight="true" outlineLevel="0" collapsed="false">
      <c r="A75" s="57" t="s">
        <v>236</v>
      </c>
      <c r="B75" s="57" t="s">
        <v>238</v>
      </c>
      <c r="C75" s="58" t="n">
        <v>46306</v>
      </c>
      <c r="D75" s="57" t="s">
        <v>1503</v>
      </c>
      <c r="E75" s="57" t="s">
        <v>192</v>
      </c>
      <c r="F75" s="57" t="s">
        <v>193</v>
      </c>
      <c r="G75" s="57" t="s">
        <v>410</v>
      </c>
      <c r="H75" s="57" t="s">
        <v>1491</v>
      </c>
      <c r="I75" s="57" t="s">
        <v>412</v>
      </c>
      <c r="J75" s="57"/>
      <c r="K75" s="57" t="s">
        <v>414</v>
      </c>
      <c r="L75" s="57" t="s">
        <v>346</v>
      </c>
      <c r="M75" s="57"/>
      <c r="N75" s="57" t="s">
        <v>861</v>
      </c>
    </row>
    <row r="76" customFormat="false" ht="27.75" hidden="false" customHeight="true" outlineLevel="0" collapsed="false">
      <c r="A76" s="57" t="s">
        <v>241</v>
      </c>
      <c r="B76" s="57" t="s">
        <v>243</v>
      </c>
      <c r="C76" s="58" t="n">
        <v>46307</v>
      </c>
      <c r="D76" s="57" t="s">
        <v>1504</v>
      </c>
      <c r="E76" s="57" t="s">
        <v>192</v>
      </c>
      <c r="F76" s="57" t="s">
        <v>193</v>
      </c>
      <c r="G76" s="57" t="s">
        <v>403</v>
      </c>
      <c r="H76" s="57" t="s">
        <v>1482</v>
      </c>
      <c r="I76" s="57" t="s">
        <v>458</v>
      </c>
      <c r="J76" s="57"/>
      <c r="K76" s="57" t="s">
        <v>414</v>
      </c>
      <c r="L76" s="57" t="s">
        <v>346</v>
      </c>
      <c r="M76" s="57" t="s">
        <v>498</v>
      </c>
      <c r="N76" s="57" t="s">
        <v>896</v>
      </c>
    </row>
    <row r="77" customFormat="false" ht="27.75" hidden="false" customHeight="true" outlineLevel="0" collapsed="false">
      <c r="A77" s="57" t="s">
        <v>241</v>
      </c>
      <c r="B77" s="57" t="s">
        <v>243</v>
      </c>
      <c r="C77" s="58" t="n">
        <v>46307</v>
      </c>
      <c r="D77" s="57" t="s">
        <v>1504</v>
      </c>
      <c r="E77" s="57" t="s">
        <v>192</v>
      </c>
      <c r="F77" s="57" t="s">
        <v>193</v>
      </c>
      <c r="G77" s="57" t="s">
        <v>462</v>
      </c>
      <c r="H77" s="57" t="s">
        <v>1483</v>
      </c>
      <c r="I77" s="57" t="s">
        <v>464</v>
      </c>
      <c r="J77" s="57"/>
      <c r="K77" s="57" t="s">
        <v>414</v>
      </c>
      <c r="L77" s="57" t="s">
        <v>346</v>
      </c>
      <c r="M77" s="57"/>
      <c r="N77" s="57" t="s">
        <v>898</v>
      </c>
    </row>
    <row r="78" customFormat="false" ht="27.75" hidden="false" customHeight="true" outlineLevel="0" collapsed="false">
      <c r="A78" s="57" t="s">
        <v>241</v>
      </c>
      <c r="B78" s="57" t="s">
        <v>243</v>
      </c>
      <c r="C78" s="58" t="n">
        <v>46307</v>
      </c>
      <c r="D78" s="57" t="s">
        <v>1504</v>
      </c>
      <c r="E78" s="57" t="s">
        <v>192</v>
      </c>
      <c r="F78" s="57" t="s">
        <v>193</v>
      </c>
      <c r="G78" s="57" t="s">
        <v>462</v>
      </c>
      <c r="H78" s="57" t="s">
        <v>1484</v>
      </c>
      <c r="I78" s="57" t="s">
        <v>464</v>
      </c>
      <c r="J78" s="57"/>
      <c r="K78" s="57" t="s">
        <v>414</v>
      </c>
      <c r="L78" s="57" t="s">
        <v>346</v>
      </c>
      <c r="M78" s="57"/>
      <c r="N78" s="57" t="s">
        <v>900</v>
      </c>
    </row>
    <row r="79" customFormat="false" ht="27.75" hidden="false" customHeight="true" outlineLevel="0" collapsed="false">
      <c r="A79" s="57" t="s">
        <v>241</v>
      </c>
      <c r="B79" s="57" t="s">
        <v>243</v>
      </c>
      <c r="C79" s="58" t="n">
        <v>46307</v>
      </c>
      <c r="D79" s="57" t="s">
        <v>1504</v>
      </c>
      <c r="E79" s="57" t="s">
        <v>192</v>
      </c>
      <c r="F79" s="57" t="s">
        <v>193</v>
      </c>
      <c r="G79" s="57" t="s">
        <v>462</v>
      </c>
      <c r="H79" s="57" t="s">
        <v>1485</v>
      </c>
      <c r="I79" s="57" t="s">
        <v>464</v>
      </c>
      <c r="J79" s="57"/>
      <c r="K79" s="57" t="s">
        <v>414</v>
      </c>
      <c r="L79" s="57" t="s">
        <v>346</v>
      </c>
      <c r="M79" s="57"/>
      <c r="N79" s="57" t="s">
        <v>902</v>
      </c>
    </row>
    <row r="80" customFormat="false" ht="27.75" hidden="false" customHeight="true" outlineLevel="0" collapsed="false">
      <c r="A80" s="57" t="s">
        <v>241</v>
      </c>
      <c r="B80" s="57" t="s">
        <v>243</v>
      </c>
      <c r="C80" s="58" t="n">
        <v>46307</v>
      </c>
      <c r="D80" s="57" t="s">
        <v>1504</v>
      </c>
      <c r="E80" s="57" t="s">
        <v>192</v>
      </c>
      <c r="F80" s="57" t="s">
        <v>193</v>
      </c>
      <c r="G80" s="57" t="s">
        <v>462</v>
      </c>
      <c r="H80" s="57" t="s">
        <v>1488</v>
      </c>
      <c r="I80" s="57" t="s">
        <v>482</v>
      </c>
      <c r="J80" s="57"/>
      <c r="K80" s="57" t="s">
        <v>414</v>
      </c>
      <c r="L80" s="57" t="s">
        <v>346</v>
      </c>
      <c r="M80" s="57" t="s">
        <v>512</v>
      </c>
      <c r="N80" s="57" t="s">
        <v>904</v>
      </c>
    </row>
    <row r="81" customFormat="false" ht="27.75" hidden="false" customHeight="true" outlineLevel="0" collapsed="false">
      <c r="A81" s="57" t="s">
        <v>241</v>
      </c>
      <c r="B81" s="57" t="s">
        <v>243</v>
      </c>
      <c r="C81" s="58" t="n">
        <v>46307</v>
      </c>
      <c r="D81" s="57" t="s">
        <v>1504</v>
      </c>
      <c r="E81" s="57" t="s">
        <v>192</v>
      </c>
      <c r="F81" s="57" t="s">
        <v>193</v>
      </c>
      <c r="G81" s="57" t="s">
        <v>462</v>
      </c>
      <c r="H81" s="57" t="s">
        <v>1489</v>
      </c>
      <c r="I81" s="57" t="s">
        <v>464</v>
      </c>
      <c r="J81" s="57"/>
      <c r="K81" s="57" t="s">
        <v>414</v>
      </c>
      <c r="L81" s="57" t="s">
        <v>346</v>
      </c>
      <c r="M81" s="57"/>
      <c r="N81" s="57" t="s">
        <v>906</v>
      </c>
    </row>
    <row r="82" customFormat="false" ht="27.75" hidden="false" customHeight="true" outlineLevel="0" collapsed="false">
      <c r="A82" s="57" t="s">
        <v>241</v>
      </c>
      <c r="B82" s="57" t="s">
        <v>243</v>
      </c>
      <c r="C82" s="58" t="n">
        <v>46307</v>
      </c>
      <c r="D82" s="57" t="s">
        <v>1504</v>
      </c>
      <c r="E82" s="57" t="s">
        <v>192</v>
      </c>
      <c r="F82" s="57" t="s">
        <v>193</v>
      </c>
      <c r="G82" s="57" t="s">
        <v>410</v>
      </c>
      <c r="H82" s="57" t="s">
        <v>1490</v>
      </c>
      <c r="I82" s="57" t="s">
        <v>412</v>
      </c>
      <c r="J82" s="57"/>
      <c r="K82" s="57" t="s">
        <v>414</v>
      </c>
      <c r="L82" s="57" t="s">
        <v>346</v>
      </c>
      <c r="M82" s="57"/>
      <c r="N82" s="57" t="s">
        <v>908</v>
      </c>
    </row>
    <row r="83" customFormat="false" ht="27.75" hidden="false" customHeight="true" outlineLevel="0" collapsed="false">
      <c r="A83" s="57" t="s">
        <v>241</v>
      </c>
      <c r="B83" s="57" t="s">
        <v>243</v>
      </c>
      <c r="C83" s="58" t="n">
        <v>46307</v>
      </c>
      <c r="D83" s="57" t="s">
        <v>1504</v>
      </c>
      <c r="E83" s="57" t="s">
        <v>192</v>
      </c>
      <c r="F83" s="57" t="s">
        <v>193</v>
      </c>
      <c r="G83" s="57" t="s">
        <v>410</v>
      </c>
      <c r="H83" s="57" t="s">
        <v>1491</v>
      </c>
      <c r="I83" s="57" t="s">
        <v>412</v>
      </c>
      <c r="J83" s="57"/>
      <c r="K83" s="57" t="s">
        <v>414</v>
      </c>
      <c r="L83" s="57" t="s">
        <v>346</v>
      </c>
      <c r="M83" s="57"/>
      <c r="N83" s="57" t="s">
        <v>910</v>
      </c>
    </row>
    <row r="84" customFormat="false" ht="27.75" hidden="false" customHeight="true" outlineLevel="0" collapsed="false">
      <c r="A84" s="57" t="s">
        <v>248</v>
      </c>
      <c r="B84" s="57" t="s">
        <v>249</v>
      </c>
      <c r="C84" s="58" t="n">
        <v>46307</v>
      </c>
      <c r="D84" s="57" t="s">
        <v>1505</v>
      </c>
      <c r="E84" s="57" t="s">
        <v>178</v>
      </c>
      <c r="F84" s="57" t="s">
        <v>193</v>
      </c>
      <c r="G84" s="57" t="s">
        <v>410</v>
      </c>
      <c r="H84" s="57" t="s">
        <v>1478</v>
      </c>
      <c r="I84" s="57" t="s">
        <v>412</v>
      </c>
      <c r="J84" s="57"/>
      <c r="K84" s="57" t="s">
        <v>414</v>
      </c>
      <c r="L84" s="57" t="s">
        <v>346</v>
      </c>
      <c r="M84" s="57"/>
      <c r="N84" s="57" t="s">
        <v>946</v>
      </c>
    </row>
    <row r="85" customFormat="false" ht="27.75" hidden="false" customHeight="true" outlineLevel="0" collapsed="false">
      <c r="A85" s="57" t="s">
        <v>251</v>
      </c>
      <c r="B85" s="57" t="s">
        <v>252</v>
      </c>
      <c r="C85" s="58" t="n">
        <v>46307</v>
      </c>
      <c r="D85" s="57" t="s">
        <v>1506</v>
      </c>
      <c r="E85" s="57" t="s">
        <v>192</v>
      </c>
      <c r="F85" s="57" t="s">
        <v>254</v>
      </c>
      <c r="G85" s="57" t="s">
        <v>403</v>
      </c>
      <c r="H85" s="57" t="s">
        <v>1477</v>
      </c>
      <c r="I85" s="57" t="s">
        <v>464</v>
      </c>
      <c r="J85" s="57"/>
      <c r="K85" s="57" t="s">
        <v>177</v>
      </c>
      <c r="L85" s="57" t="s">
        <v>346</v>
      </c>
      <c r="M85" s="57"/>
      <c r="N85" s="57" t="s">
        <v>977</v>
      </c>
    </row>
    <row r="86" customFormat="false" ht="27.75" hidden="false" customHeight="true" outlineLevel="0" collapsed="false">
      <c r="A86" s="57" t="s">
        <v>251</v>
      </c>
      <c r="B86" s="57" t="s">
        <v>252</v>
      </c>
      <c r="C86" s="58" t="n">
        <v>46307</v>
      </c>
      <c r="D86" s="57" t="s">
        <v>1506</v>
      </c>
      <c r="E86" s="57" t="s">
        <v>192</v>
      </c>
      <c r="F86" s="57" t="s">
        <v>254</v>
      </c>
      <c r="G86" s="57" t="s">
        <v>403</v>
      </c>
      <c r="H86" s="57" t="s">
        <v>1494</v>
      </c>
      <c r="I86" s="57" t="s">
        <v>464</v>
      </c>
      <c r="J86" s="57"/>
      <c r="K86" s="57" t="s">
        <v>177</v>
      </c>
      <c r="L86" s="57" t="s">
        <v>346</v>
      </c>
      <c r="M86" s="57"/>
      <c r="N86" s="57" t="s">
        <v>979</v>
      </c>
    </row>
    <row r="87" customFormat="false" ht="27.75" hidden="false" customHeight="true" outlineLevel="0" collapsed="false">
      <c r="A87" s="57" t="s">
        <v>251</v>
      </c>
      <c r="B87" s="57" t="s">
        <v>252</v>
      </c>
      <c r="C87" s="58" t="n">
        <v>46307</v>
      </c>
      <c r="D87" s="57" t="s">
        <v>1506</v>
      </c>
      <c r="E87" s="57" t="s">
        <v>192</v>
      </c>
      <c r="F87" s="57" t="s">
        <v>254</v>
      </c>
      <c r="G87" s="57" t="s">
        <v>462</v>
      </c>
      <c r="H87" s="57" t="s">
        <v>1483</v>
      </c>
      <c r="I87" s="57" t="s">
        <v>464</v>
      </c>
      <c r="J87" s="57"/>
      <c r="K87" s="57" t="s">
        <v>414</v>
      </c>
      <c r="L87" s="57" t="s">
        <v>346</v>
      </c>
      <c r="M87" s="57"/>
      <c r="N87" s="57" t="s">
        <v>981</v>
      </c>
    </row>
    <row r="88" customFormat="false" ht="27.75" hidden="false" customHeight="true" outlineLevel="0" collapsed="false">
      <c r="A88" s="57" t="s">
        <v>251</v>
      </c>
      <c r="B88" s="57" t="s">
        <v>252</v>
      </c>
      <c r="C88" s="58" t="n">
        <v>46307</v>
      </c>
      <c r="D88" s="57" t="s">
        <v>1506</v>
      </c>
      <c r="E88" s="57" t="s">
        <v>192</v>
      </c>
      <c r="F88" s="57" t="s">
        <v>254</v>
      </c>
      <c r="G88" s="57" t="s">
        <v>462</v>
      </c>
      <c r="H88" s="57" t="s">
        <v>1484</v>
      </c>
      <c r="I88" s="57" t="s">
        <v>464</v>
      </c>
      <c r="J88" s="57"/>
      <c r="K88" s="57" t="s">
        <v>414</v>
      </c>
      <c r="L88" s="57" t="s">
        <v>346</v>
      </c>
      <c r="M88" s="57"/>
      <c r="N88" s="57" t="s">
        <v>983</v>
      </c>
    </row>
    <row r="89" customFormat="false" ht="27.75" hidden="false" customHeight="true" outlineLevel="0" collapsed="false">
      <c r="A89" s="57" t="s">
        <v>251</v>
      </c>
      <c r="B89" s="57" t="s">
        <v>252</v>
      </c>
      <c r="C89" s="58" t="n">
        <v>46307</v>
      </c>
      <c r="D89" s="57" t="s">
        <v>1506</v>
      </c>
      <c r="E89" s="57" t="s">
        <v>192</v>
      </c>
      <c r="F89" s="57" t="s">
        <v>254</v>
      </c>
      <c r="G89" s="57" t="s">
        <v>462</v>
      </c>
      <c r="H89" s="57" t="s">
        <v>1485</v>
      </c>
      <c r="I89" s="57" t="s">
        <v>464</v>
      </c>
      <c r="J89" s="57"/>
      <c r="K89" s="57" t="s">
        <v>414</v>
      </c>
      <c r="L89" s="57" t="s">
        <v>346</v>
      </c>
      <c r="M89" s="57"/>
      <c r="N89" s="57" t="s">
        <v>985</v>
      </c>
    </row>
    <row r="90" customFormat="false" ht="27.75" hidden="false" customHeight="true" outlineLevel="0" collapsed="false">
      <c r="A90" s="57" t="s">
        <v>251</v>
      </c>
      <c r="B90" s="57" t="s">
        <v>252</v>
      </c>
      <c r="C90" s="58" t="n">
        <v>46307</v>
      </c>
      <c r="D90" s="57" t="s">
        <v>1506</v>
      </c>
      <c r="E90" s="57" t="s">
        <v>192</v>
      </c>
      <c r="F90" s="57" t="s">
        <v>254</v>
      </c>
      <c r="G90" s="57" t="s">
        <v>462</v>
      </c>
      <c r="H90" s="57" t="s">
        <v>1486</v>
      </c>
      <c r="I90" s="57" t="s">
        <v>464</v>
      </c>
      <c r="J90" s="57"/>
      <c r="K90" s="57" t="s">
        <v>414</v>
      </c>
      <c r="L90" s="57" t="s">
        <v>346</v>
      </c>
      <c r="M90" s="57"/>
      <c r="N90" s="57" t="s">
        <v>987</v>
      </c>
    </row>
    <row r="91" customFormat="false" ht="27.75" hidden="false" customHeight="true" outlineLevel="0" collapsed="false">
      <c r="A91" s="57" t="s">
        <v>251</v>
      </c>
      <c r="B91" s="57" t="s">
        <v>252</v>
      </c>
      <c r="C91" s="58" t="n">
        <v>46307</v>
      </c>
      <c r="D91" s="57" t="s">
        <v>1506</v>
      </c>
      <c r="E91" s="57" t="s">
        <v>192</v>
      </c>
      <c r="F91" s="57" t="s">
        <v>254</v>
      </c>
      <c r="G91" s="57" t="s">
        <v>462</v>
      </c>
      <c r="H91" s="57" t="s">
        <v>1487</v>
      </c>
      <c r="I91" s="57" t="s">
        <v>464</v>
      </c>
      <c r="J91" s="57"/>
      <c r="K91" s="57" t="s">
        <v>414</v>
      </c>
      <c r="L91" s="57" t="s">
        <v>346</v>
      </c>
      <c r="M91" s="57"/>
      <c r="N91" s="57" t="s">
        <v>989</v>
      </c>
    </row>
    <row r="92" customFormat="false" ht="27.75" hidden="false" customHeight="true" outlineLevel="0" collapsed="false">
      <c r="A92" s="57" t="s">
        <v>251</v>
      </c>
      <c r="B92" s="57" t="s">
        <v>252</v>
      </c>
      <c r="C92" s="58" t="n">
        <v>46307</v>
      </c>
      <c r="D92" s="57" t="s">
        <v>1506</v>
      </c>
      <c r="E92" s="57" t="s">
        <v>192</v>
      </c>
      <c r="F92" s="57" t="s">
        <v>254</v>
      </c>
      <c r="G92" s="57" t="s">
        <v>462</v>
      </c>
      <c r="H92" s="57" t="s">
        <v>1488</v>
      </c>
      <c r="I92" s="57" t="s">
        <v>579</v>
      </c>
      <c r="J92" s="57"/>
      <c r="K92" s="57" t="s">
        <v>414</v>
      </c>
      <c r="L92" s="57" t="s">
        <v>346</v>
      </c>
      <c r="M92" s="57" t="s">
        <v>512</v>
      </c>
      <c r="N92" s="57" t="s">
        <v>991</v>
      </c>
    </row>
    <row r="93" customFormat="false" ht="27.75" hidden="false" customHeight="true" outlineLevel="0" collapsed="false">
      <c r="A93" s="57" t="s">
        <v>251</v>
      </c>
      <c r="B93" s="57" t="s">
        <v>252</v>
      </c>
      <c r="C93" s="58" t="n">
        <v>46307</v>
      </c>
      <c r="D93" s="57" t="s">
        <v>1506</v>
      </c>
      <c r="E93" s="57" t="s">
        <v>192</v>
      </c>
      <c r="F93" s="57" t="s">
        <v>254</v>
      </c>
      <c r="G93" s="57" t="s">
        <v>462</v>
      </c>
      <c r="H93" s="57" t="s">
        <v>1489</v>
      </c>
      <c r="I93" s="57" t="s">
        <v>464</v>
      </c>
      <c r="J93" s="57"/>
      <c r="K93" s="57" t="s">
        <v>414</v>
      </c>
      <c r="L93" s="57" t="s">
        <v>346</v>
      </c>
      <c r="M93" s="57"/>
      <c r="N93" s="57" t="s">
        <v>993</v>
      </c>
    </row>
    <row r="94" customFormat="false" ht="27.75" hidden="false" customHeight="true" outlineLevel="0" collapsed="false">
      <c r="A94" s="57" t="s">
        <v>251</v>
      </c>
      <c r="B94" s="57" t="s">
        <v>252</v>
      </c>
      <c r="C94" s="58" t="n">
        <v>46307</v>
      </c>
      <c r="D94" s="57" t="s">
        <v>1506</v>
      </c>
      <c r="E94" s="57" t="s">
        <v>192</v>
      </c>
      <c r="F94" s="57" t="s">
        <v>254</v>
      </c>
      <c r="G94" s="57" t="s">
        <v>410</v>
      </c>
      <c r="H94" s="57" t="s">
        <v>1490</v>
      </c>
      <c r="I94" s="57" t="s">
        <v>412</v>
      </c>
      <c r="J94" s="57"/>
      <c r="K94" s="57" t="s">
        <v>414</v>
      </c>
      <c r="L94" s="57" t="s">
        <v>346</v>
      </c>
      <c r="M94" s="57"/>
      <c r="N94" s="57" t="s">
        <v>995</v>
      </c>
    </row>
    <row r="95" customFormat="false" ht="27.75" hidden="false" customHeight="true" outlineLevel="0" collapsed="false">
      <c r="A95" s="57" t="s">
        <v>251</v>
      </c>
      <c r="B95" s="57" t="s">
        <v>252</v>
      </c>
      <c r="C95" s="58" t="n">
        <v>46307</v>
      </c>
      <c r="D95" s="57" t="s">
        <v>1506</v>
      </c>
      <c r="E95" s="57" t="s">
        <v>192</v>
      </c>
      <c r="F95" s="57" t="s">
        <v>254</v>
      </c>
      <c r="G95" s="57" t="s">
        <v>410</v>
      </c>
      <c r="H95" s="57" t="s">
        <v>1495</v>
      </c>
      <c r="I95" s="57" t="s">
        <v>412</v>
      </c>
      <c r="J95" s="57"/>
      <c r="K95" s="57" t="s">
        <v>414</v>
      </c>
      <c r="L95" s="57" t="s">
        <v>346</v>
      </c>
      <c r="M95" s="57"/>
      <c r="N95" s="57" t="s">
        <v>997</v>
      </c>
    </row>
    <row r="96" customFormat="false" ht="27.75" hidden="false" customHeight="true" outlineLevel="0" collapsed="false">
      <c r="A96" s="57" t="s">
        <v>251</v>
      </c>
      <c r="B96" s="57" t="s">
        <v>252</v>
      </c>
      <c r="C96" s="58" t="n">
        <v>46307</v>
      </c>
      <c r="D96" s="57" t="s">
        <v>1506</v>
      </c>
      <c r="E96" s="57" t="s">
        <v>192</v>
      </c>
      <c r="F96" s="57" t="s">
        <v>254</v>
      </c>
      <c r="G96" s="57" t="s">
        <v>410</v>
      </c>
      <c r="H96" s="57" t="s">
        <v>1496</v>
      </c>
      <c r="I96" s="57" t="s">
        <v>412</v>
      </c>
      <c r="J96" s="57"/>
      <c r="K96" s="57" t="s">
        <v>414</v>
      </c>
      <c r="L96" s="57" t="s">
        <v>346</v>
      </c>
      <c r="M96" s="57"/>
      <c r="N96" s="57" t="s">
        <v>999</v>
      </c>
    </row>
    <row r="97" customFormat="false" ht="27.75" hidden="false" customHeight="true" outlineLevel="0" collapsed="false">
      <c r="A97" s="57" t="s">
        <v>251</v>
      </c>
      <c r="B97" s="57" t="s">
        <v>252</v>
      </c>
      <c r="C97" s="58" t="n">
        <v>46307</v>
      </c>
      <c r="D97" s="57" t="s">
        <v>1506</v>
      </c>
      <c r="E97" s="57" t="s">
        <v>192</v>
      </c>
      <c r="F97" s="57" t="s">
        <v>254</v>
      </c>
      <c r="G97" s="57" t="s">
        <v>592</v>
      </c>
      <c r="H97" s="57" t="s">
        <v>1497</v>
      </c>
      <c r="I97" s="57" t="s">
        <v>464</v>
      </c>
      <c r="J97" s="57"/>
      <c r="K97" s="57" t="s">
        <v>177</v>
      </c>
      <c r="L97" s="57" t="s">
        <v>346</v>
      </c>
      <c r="M97" s="57" t="s">
        <v>595</v>
      </c>
      <c r="N97" s="57" t="s">
        <v>1001</v>
      </c>
    </row>
    <row r="98" customFormat="false" ht="27.75" hidden="false" customHeight="true" outlineLevel="0" collapsed="false">
      <c r="A98" s="57" t="s">
        <v>251</v>
      </c>
      <c r="B98" s="57" t="s">
        <v>252</v>
      </c>
      <c r="C98" s="58" t="n">
        <v>46307</v>
      </c>
      <c r="D98" s="57" t="s">
        <v>1506</v>
      </c>
      <c r="E98" s="57" t="s">
        <v>192</v>
      </c>
      <c r="F98" s="57" t="s">
        <v>254</v>
      </c>
      <c r="G98" s="57" t="s">
        <v>597</v>
      </c>
      <c r="H98" s="57" t="s">
        <v>1498</v>
      </c>
      <c r="I98" s="57" t="s">
        <v>1003</v>
      </c>
      <c r="J98" s="57"/>
      <c r="K98" s="57" t="s">
        <v>414</v>
      </c>
      <c r="L98" s="57" t="s">
        <v>346</v>
      </c>
      <c r="M98" s="57" t="s">
        <v>1022</v>
      </c>
      <c r="N98" s="57" t="s">
        <v>1004</v>
      </c>
    </row>
    <row r="99" customFormat="false" ht="40.5" hidden="false" customHeight="true" outlineLevel="0" collapsed="false">
      <c r="A99" s="57" t="s">
        <v>262</v>
      </c>
      <c r="B99" s="57" t="s">
        <v>264</v>
      </c>
      <c r="C99" s="58" t="n">
        <v>46309</v>
      </c>
      <c r="D99" s="57" t="s">
        <v>1507</v>
      </c>
      <c r="E99" s="57" t="s">
        <v>178</v>
      </c>
      <c r="F99" s="57" t="s">
        <v>254</v>
      </c>
      <c r="G99" s="57" t="s">
        <v>403</v>
      </c>
      <c r="H99" s="57" t="s">
        <v>1477</v>
      </c>
      <c r="I99" s="57" t="s">
        <v>405</v>
      </c>
      <c r="J99" s="57"/>
      <c r="K99" s="57" t="s">
        <v>177</v>
      </c>
      <c r="L99" s="74" t="s">
        <v>407</v>
      </c>
      <c r="M99" s="57" t="s">
        <v>408</v>
      </c>
      <c r="N99" s="57" t="s">
        <v>977</v>
      </c>
    </row>
    <row r="100" customFormat="false" ht="27.75" hidden="false" customHeight="true" outlineLevel="0" collapsed="false">
      <c r="A100" s="57" t="s">
        <v>262</v>
      </c>
      <c r="B100" s="57" t="s">
        <v>264</v>
      </c>
      <c r="C100" s="58" t="n">
        <v>46309</v>
      </c>
      <c r="D100" s="57" t="s">
        <v>1507</v>
      </c>
      <c r="E100" s="57" t="s">
        <v>178</v>
      </c>
      <c r="F100" s="57" t="s">
        <v>254</v>
      </c>
      <c r="G100" s="57" t="s">
        <v>410</v>
      </c>
      <c r="H100" s="57" t="s">
        <v>1478</v>
      </c>
      <c r="I100" s="57" t="s">
        <v>412</v>
      </c>
      <c r="J100" s="57"/>
      <c r="K100" s="57" t="s">
        <v>414</v>
      </c>
      <c r="L100" s="57" t="s">
        <v>346</v>
      </c>
      <c r="M100" s="57"/>
      <c r="N100" s="57" t="s">
        <v>1048</v>
      </c>
    </row>
    <row r="101" customFormat="false" ht="40.5" hidden="false" customHeight="true" outlineLevel="0" collapsed="false">
      <c r="A101" s="57" t="s">
        <v>262</v>
      </c>
      <c r="B101" s="57" t="s">
        <v>264</v>
      </c>
      <c r="C101" s="58" t="n">
        <v>46309</v>
      </c>
      <c r="D101" s="57" t="s">
        <v>1507</v>
      </c>
      <c r="E101" s="57" t="s">
        <v>178</v>
      </c>
      <c r="F101" s="57" t="s">
        <v>254</v>
      </c>
      <c r="G101" s="57" t="s">
        <v>410</v>
      </c>
      <c r="H101" s="57" t="s">
        <v>1479</v>
      </c>
      <c r="I101" s="57" t="s">
        <v>412</v>
      </c>
      <c r="J101" s="57" t="s">
        <v>1508</v>
      </c>
      <c r="K101" s="57" t="s">
        <v>414</v>
      </c>
      <c r="L101" s="57" t="s">
        <v>346</v>
      </c>
      <c r="M101" s="57" t="s">
        <v>1063</v>
      </c>
      <c r="N101" s="57" t="s">
        <v>1052</v>
      </c>
    </row>
    <row r="102" customFormat="false" ht="52.5" hidden="false" customHeight="true" outlineLevel="0" collapsed="false">
      <c r="A102" s="57" t="s">
        <v>262</v>
      </c>
      <c r="B102" s="57" t="s">
        <v>264</v>
      </c>
      <c r="C102" s="58" t="n">
        <v>46309</v>
      </c>
      <c r="D102" s="57" t="s">
        <v>1507</v>
      </c>
      <c r="E102" s="57" t="s">
        <v>178</v>
      </c>
      <c r="F102" s="57" t="s">
        <v>254</v>
      </c>
      <c r="G102" s="57" t="s">
        <v>597</v>
      </c>
      <c r="H102" s="57" t="s">
        <v>1498</v>
      </c>
      <c r="I102" s="57" t="s">
        <v>1003</v>
      </c>
      <c r="J102" s="57"/>
      <c r="K102" s="57" t="s">
        <v>414</v>
      </c>
      <c r="L102" s="74" t="s">
        <v>407</v>
      </c>
      <c r="M102" s="57" t="s">
        <v>1065</v>
      </c>
      <c r="N102" s="57" t="s">
        <v>1004</v>
      </c>
    </row>
    <row r="103" customFormat="false" ht="102.75" hidden="false" customHeight="true" outlineLevel="0" collapsed="false">
      <c r="A103" s="57" t="s">
        <v>266</v>
      </c>
      <c r="B103" s="57" t="s">
        <v>267</v>
      </c>
      <c r="C103" s="58" t="n">
        <v>46310</v>
      </c>
      <c r="D103" s="57" t="s">
        <v>1500</v>
      </c>
      <c r="E103" s="57" t="s">
        <v>178</v>
      </c>
      <c r="F103" s="57" t="s">
        <v>179</v>
      </c>
      <c r="G103" s="57" t="s">
        <v>403</v>
      </c>
      <c r="H103" s="57" t="s">
        <v>1477</v>
      </c>
      <c r="I103" s="57" t="s">
        <v>464</v>
      </c>
      <c r="J103" s="57"/>
      <c r="K103" s="57" t="s">
        <v>689</v>
      </c>
      <c r="L103" s="74" t="s">
        <v>407</v>
      </c>
      <c r="M103" s="57" t="s">
        <v>1084</v>
      </c>
      <c r="N103" s="57" t="s">
        <v>406</v>
      </c>
    </row>
    <row r="104" customFormat="false" ht="27.75" hidden="false" customHeight="true" outlineLevel="0" collapsed="false">
      <c r="A104" s="57" t="s">
        <v>266</v>
      </c>
      <c r="B104" s="57" t="s">
        <v>267</v>
      </c>
      <c r="C104" s="58" t="n">
        <v>46310</v>
      </c>
      <c r="D104" s="57" t="s">
        <v>1500</v>
      </c>
      <c r="E104" s="57" t="s">
        <v>178</v>
      </c>
      <c r="F104" s="57" t="s">
        <v>179</v>
      </c>
      <c r="G104" s="57" t="s">
        <v>410</v>
      </c>
      <c r="H104" s="57" t="s">
        <v>1478</v>
      </c>
      <c r="I104" s="57" t="s">
        <v>412</v>
      </c>
      <c r="J104" s="57"/>
      <c r="K104" s="57" t="s">
        <v>414</v>
      </c>
      <c r="L104" s="57" t="s">
        <v>346</v>
      </c>
      <c r="M104" s="57"/>
      <c r="N104" s="57" t="s">
        <v>413</v>
      </c>
    </row>
    <row r="105" customFormat="false" ht="52.5" hidden="false" customHeight="true" outlineLevel="0" collapsed="false">
      <c r="A105" s="57" t="s">
        <v>266</v>
      </c>
      <c r="B105" s="57" t="s">
        <v>267</v>
      </c>
      <c r="C105" s="58" t="n">
        <v>46310</v>
      </c>
      <c r="D105" s="57" t="s">
        <v>1500</v>
      </c>
      <c r="E105" s="57" t="s">
        <v>178</v>
      </c>
      <c r="F105" s="57" t="s">
        <v>179</v>
      </c>
      <c r="G105" s="57" t="s">
        <v>410</v>
      </c>
      <c r="H105" s="57" t="s">
        <v>1479</v>
      </c>
      <c r="I105" s="57" t="s">
        <v>412</v>
      </c>
      <c r="J105" s="57" t="s">
        <v>1480</v>
      </c>
      <c r="K105" s="57" t="s">
        <v>414</v>
      </c>
      <c r="L105" s="57" t="s">
        <v>346</v>
      </c>
      <c r="M105" s="57" t="s">
        <v>1093</v>
      </c>
      <c r="N105" s="57" t="s">
        <v>419</v>
      </c>
    </row>
    <row r="106" customFormat="false" ht="40.5" hidden="false" customHeight="true" outlineLevel="0" collapsed="false">
      <c r="A106" s="57" t="s">
        <v>268</v>
      </c>
      <c r="B106" s="57" t="s">
        <v>226</v>
      </c>
      <c r="C106" s="58" t="n">
        <v>46320</v>
      </c>
      <c r="D106" s="57" t="s">
        <v>1476</v>
      </c>
      <c r="E106" s="57" t="s">
        <v>178</v>
      </c>
      <c r="F106" s="57" t="s">
        <v>179</v>
      </c>
      <c r="G106" s="57" t="s">
        <v>403</v>
      </c>
      <c r="H106" s="57" t="s">
        <v>1477</v>
      </c>
      <c r="I106" s="57" t="s">
        <v>405</v>
      </c>
      <c r="J106" s="57"/>
      <c r="K106" s="57" t="s">
        <v>176</v>
      </c>
      <c r="L106" s="74" t="s">
        <v>407</v>
      </c>
      <c r="M106" s="57" t="s">
        <v>408</v>
      </c>
      <c r="N106" s="57" t="s">
        <v>406</v>
      </c>
    </row>
    <row r="107" customFormat="false" ht="27.75" hidden="false" customHeight="true" outlineLevel="0" collapsed="false">
      <c r="A107" s="57" t="s">
        <v>268</v>
      </c>
      <c r="B107" s="57" t="s">
        <v>226</v>
      </c>
      <c r="C107" s="58" t="n">
        <v>46320</v>
      </c>
      <c r="D107" s="57" t="s">
        <v>1476</v>
      </c>
      <c r="E107" s="57" t="s">
        <v>178</v>
      </c>
      <c r="F107" s="57" t="s">
        <v>179</v>
      </c>
      <c r="G107" s="57" t="s">
        <v>410</v>
      </c>
      <c r="H107" s="57" t="s">
        <v>1478</v>
      </c>
      <c r="I107" s="57" t="s">
        <v>412</v>
      </c>
      <c r="J107" s="57"/>
      <c r="K107" s="57" t="s">
        <v>414</v>
      </c>
      <c r="L107" s="57" t="s">
        <v>346</v>
      </c>
      <c r="M107" s="57"/>
      <c r="N107" s="57" t="s">
        <v>413</v>
      </c>
    </row>
    <row r="108" customFormat="false" ht="52.5" hidden="false" customHeight="true" outlineLevel="0" collapsed="false">
      <c r="A108" s="57" t="s">
        <v>268</v>
      </c>
      <c r="B108" s="57" t="s">
        <v>226</v>
      </c>
      <c r="C108" s="58" t="n">
        <v>46320</v>
      </c>
      <c r="D108" s="57" t="s">
        <v>1476</v>
      </c>
      <c r="E108" s="57" t="s">
        <v>178</v>
      </c>
      <c r="F108" s="57" t="s">
        <v>179</v>
      </c>
      <c r="G108" s="57" t="s">
        <v>410</v>
      </c>
      <c r="H108" s="57" t="s">
        <v>1479</v>
      </c>
      <c r="I108" s="57" t="s">
        <v>412</v>
      </c>
      <c r="J108" s="57" t="s">
        <v>1480</v>
      </c>
      <c r="K108" s="57" t="s">
        <v>414</v>
      </c>
      <c r="L108" s="57" t="s">
        <v>346</v>
      </c>
      <c r="M108" s="57" t="s">
        <v>1120</v>
      </c>
      <c r="N108" s="57" t="s">
        <v>419</v>
      </c>
    </row>
    <row r="109" customFormat="false" ht="27.75" hidden="false" customHeight="true" outlineLevel="0" collapsed="false">
      <c r="A109" s="57" t="s">
        <v>270</v>
      </c>
      <c r="B109" s="57" t="s">
        <v>271</v>
      </c>
      <c r="C109" s="58" t="n">
        <v>46321</v>
      </c>
      <c r="D109" s="57" t="s">
        <v>1509</v>
      </c>
      <c r="E109" s="57" t="s">
        <v>178</v>
      </c>
      <c r="F109" s="57" t="s">
        <v>193</v>
      </c>
      <c r="G109" s="57" t="s">
        <v>410</v>
      </c>
      <c r="H109" s="57" t="s">
        <v>1478</v>
      </c>
      <c r="I109" s="57" t="s">
        <v>412</v>
      </c>
      <c r="J109" s="57"/>
      <c r="K109" s="57" t="s">
        <v>414</v>
      </c>
      <c r="L109" s="57" t="s">
        <v>346</v>
      </c>
      <c r="M109" s="57"/>
      <c r="N109" s="57" t="s">
        <v>1141</v>
      </c>
    </row>
    <row r="110" customFormat="false" ht="65.25" hidden="false" customHeight="true" outlineLevel="0" collapsed="false">
      <c r="A110" s="57" t="s">
        <v>270</v>
      </c>
      <c r="B110" s="57" t="s">
        <v>271</v>
      </c>
      <c r="C110" s="58" t="n">
        <v>46321</v>
      </c>
      <c r="D110" s="57" t="s">
        <v>1509</v>
      </c>
      <c r="E110" s="57" t="s">
        <v>178</v>
      </c>
      <c r="F110" s="57" t="s">
        <v>193</v>
      </c>
      <c r="G110" s="57" t="s">
        <v>410</v>
      </c>
      <c r="H110" s="57" t="s">
        <v>1479</v>
      </c>
      <c r="I110" s="57" t="s">
        <v>412</v>
      </c>
      <c r="J110" s="57"/>
      <c r="K110" s="57" t="s">
        <v>414</v>
      </c>
      <c r="L110" s="74" t="s">
        <v>407</v>
      </c>
      <c r="M110" s="57" t="s">
        <v>1154</v>
      </c>
      <c r="N110" s="57" t="s">
        <v>1143</v>
      </c>
    </row>
    <row r="111" customFormat="false" ht="27.75" hidden="false" customHeight="true" outlineLevel="0" collapsed="false">
      <c r="A111" s="57" t="s">
        <v>270</v>
      </c>
      <c r="B111" s="57" t="s">
        <v>271</v>
      </c>
      <c r="C111" s="58" t="n">
        <v>46321</v>
      </c>
      <c r="D111" s="57" t="s">
        <v>1509</v>
      </c>
      <c r="E111" s="57" t="s">
        <v>178</v>
      </c>
      <c r="F111" s="57" t="s">
        <v>193</v>
      </c>
      <c r="G111" s="57" t="s">
        <v>597</v>
      </c>
      <c r="H111" s="57" t="s">
        <v>1510</v>
      </c>
      <c r="I111" s="57" t="s">
        <v>1147</v>
      </c>
      <c r="J111" s="57"/>
      <c r="K111" s="57" t="s">
        <v>414</v>
      </c>
      <c r="L111" s="57" t="s">
        <v>346</v>
      </c>
      <c r="M111" s="57" t="s">
        <v>1157</v>
      </c>
      <c r="N111" s="57" t="s">
        <v>1148</v>
      </c>
    </row>
    <row r="112" customFormat="false" ht="27.75" hidden="false" customHeight="true" outlineLevel="0" collapsed="false">
      <c r="A112" s="57" t="s">
        <v>280</v>
      </c>
      <c r="B112" s="57" t="s">
        <v>282</v>
      </c>
      <c r="C112" s="58" t="n">
        <v>46322</v>
      </c>
      <c r="D112" s="57" t="s">
        <v>1511</v>
      </c>
      <c r="E112" s="57" t="s">
        <v>192</v>
      </c>
      <c r="F112" s="57" t="s">
        <v>193</v>
      </c>
      <c r="G112" s="57" t="s">
        <v>403</v>
      </c>
      <c r="H112" s="57" t="s">
        <v>1512</v>
      </c>
      <c r="I112" s="57" t="s">
        <v>464</v>
      </c>
      <c r="J112" s="57"/>
      <c r="K112" s="57" t="s">
        <v>177</v>
      </c>
      <c r="L112" s="57" t="s">
        <v>346</v>
      </c>
      <c r="M112" s="57"/>
      <c r="N112" s="57" t="s">
        <v>1182</v>
      </c>
    </row>
    <row r="113" customFormat="false" ht="27.75" hidden="false" customHeight="true" outlineLevel="0" collapsed="false">
      <c r="A113" s="57" t="s">
        <v>280</v>
      </c>
      <c r="B113" s="57" t="s">
        <v>282</v>
      </c>
      <c r="C113" s="58" t="n">
        <v>46322</v>
      </c>
      <c r="D113" s="57" t="s">
        <v>1511</v>
      </c>
      <c r="E113" s="57" t="s">
        <v>192</v>
      </c>
      <c r="F113" s="57" t="s">
        <v>193</v>
      </c>
      <c r="G113" s="57" t="s">
        <v>462</v>
      </c>
      <c r="H113" s="57" t="s">
        <v>1483</v>
      </c>
      <c r="I113" s="57" t="s">
        <v>464</v>
      </c>
      <c r="J113" s="57"/>
      <c r="K113" s="57" t="s">
        <v>414</v>
      </c>
      <c r="L113" s="57" t="s">
        <v>346</v>
      </c>
      <c r="M113" s="57"/>
      <c r="N113" s="57" t="s">
        <v>1185</v>
      </c>
    </row>
    <row r="114" customFormat="false" ht="27.75" hidden="false" customHeight="true" outlineLevel="0" collapsed="false">
      <c r="A114" s="57" t="s">
        <v>280</v>
      </c>
      <c r="B114" s="57" t="s">
        <v>282</v>
      </c>
      <c r="C114" s="58" t="n">
        <v>46322</v>
      </c>
      <c r="D114" s="57" t="s">
        <v>1511</v>
      </c>
      <c r="E114" s="57" t="s">
        <v>192</v>
      </c>
      <c r="F114" s="57" t="s">
        <v>193</v>
      </c>
      <c r="G114" s="57" t="s">
        <v>462</v>
      </c>
      <c r="H114" s="57" t="s">
        <v>1484</v>
      </c>
      <c r="I114" s="57" t="s">
        <v>464</v>
      </c>
      <c r="J114" s="57"/>
      <c r="K114" s="57" t="s">
        <v>414</v>
      </c>
      <c r="L114" s="57" t="s">
        <v>346</v>
      </c>
      <c r="M114" s="57"/>
      <c r="N114" s="57" t="s">
        <v>1188</v>
      </c>
    </row>
    <row r="115" customFormat="false" ht="27.75" hidden="false" customHeight="true" outlineLevel="0" collapsed="false">
      <c r="A115" s="57" t="s">
        <v>280</v>
      </c>
      <c r="B115" s="57" t="s">
        <v>282</v>
      </c>
      <c r="C115" s="58" t="n">
        <v>46322</v>
      </c>
      <c r="D115" s="57" t="s">
        <v>1511</v>
      </c>
      <c r="E115" s="57" t="s">
        <v>192</v>
      </c>
      <c r="F115" s="57" t="s">
        <v>193</v>
      </c>
      <c r="G115" s="57" t="s">
        <v>462</v>
      </c>
      <c r="H115" s="57" t="s">
        <v>1485</v>
      </c>
      <c r="I115" s="57" t="s">
        <v>464</v>
      </c>
      <c r="J115" s="57"/>
      <c r="K115" s="57" t="s">
        <v>414</v>
      </c>
      <c r="L115" s="57" t="s">
        <v>346</v>
      </c>
      <c r="M115" s="57"/>
      <c r="N115" s="57" t="s">
        <v>1190</v>
      </c>
    </row>
    <row r="116" customFormat="false" ht="65.25" hidden="false" customHeight="true" outlineLevel="0" collapsed="false">
      <c r="A116" s="57" t="s">
        <v>280</v>
      </c>
      <c r="B116" s="57" t="s">
        <v>282</v>
      </c>
      <c r="C116" s="58" t="n">
        <v>46322</v>
      </c>
      <c r="D116" s="57" t="s">
        <v>1511</v>
      </c>
      <c r="E116" s="57" t="s">
        <v>192</v>
      </c>
      <c r="F116" s="57" t="s">
        <v>193</v>
      </c>
      <c r="G116" s="57" t="s">
        <v>462</v>
      </c>
      <c r="H116" s="57" t="s">
        <v>1486</v>
      </c>
      <c r="I116" s="57" t="s">
        <v>464</v>
      </c>
      <c r="J116" s="57"/>
      <c r="K116" s="57" t="s">
        <v>414</v>
      </c>
      <c r="L116" s="74" t="s">
        <v>407</v>
      </c>
      <c r="M116" s="57" t="s">
        <v>1218</v>
      </c>
      <c r="N116" s="57" t="s">
        <v>1192</v>
      </c>
    </row>
    <row r="117" customFormat="false" ht="65.25" hidden="false" customHeight="true" outlineLevel="0" collapsed="false">
      <c r="A117" s="57" t="s">
        <v>280</v>
      </c>
      <c r="B117" s="57" t="s">
        <v>282</v>
      </c>
      <c r="C117" s="58" t="n">
        <v>46322</v>
      </c>
      <c r="D117" s="57" t="s">
        <v>1511</v>
      </c>
      <c r="E117" s="57" t="s">
        <v>192</v>
      </c>
      <c r="F117" s="57" t="s">
        <v>193</v>
      </c>
      <c r="G117" s="57" t="s">
        <v>462</v>
      </c>
      <c r="H117" s="57" t="s">
        <v>1487</v>
      </c>
      <c r="I117" s="57" t="s">
        <v>464</v>
      </c>
      <c r="J117" s="57"/>
      <c r="K117" s="57" t="s">
        <v>414</v>
      </c>
      <c r="L117" s="74" t="s">
        <v>407</v>
      </c>
      <c r="M117" s="57" t="s">
        <v>1218</v>
      </c>
      <c r="N117" s="57" t="s">
        <v>1195</v>
      </c>
    </row>
    <row r="118" customFormat="false" ht="27.75" hidden="false" customHeight="true" outlineLevel="0" collapsed="false">
      <c r="A118" s="57" t="s">
        <v>280</v>
      </c>
      <c r="B118" s="57" t="s">
        <v>282</v>
      </c>
      <c r="C118" s="58" t="n">
        <v>46322</v>
      </c>
      <c r="D118" s="57" t="s">
        <v>1511</v>
      </c>
      <c r="E118" s="57" t="s">
        <v>192</v>
      </c>
      <c r="F118" s="57" t="s">
        <v>193</v>
      </c>
      <c r="G118" s="57" t="s">
        <v>462</v>
      </c>
      <c r="H118" s="57" t="s">
        <v>1488</v>
      </c>
      <c r="I118" s="57" t="s">
        <v>482</v>
      </c>
      <c r="J118" s="57"/>
      <c r="K118" s="57" t="s">
        <v>414</v>
      </c>
      <c r="L118" s="57" t="s">
        <v>346</v>
      </c>
      <c r="M118" s="57" t="s">
        <v>512</v>
      </c>
      <c r="N118" s="57" t="s">
        <v>1197</v>
      </c>
    </row>
    <row r="119" customFormat="false" ht="27.75" hidden="false" customHeight="true" outlineLevel="0" collapsed="false">
      <c r="A119" s="57" t="s">
        <v>280</v>
      </c>
      <c r="B119" s="57" t="s">
        <v>282</v>
      </c>
      <c r="C119" s="58" t="n">
        <v>46322</v>
      </c>
      <c r="D119" s="57" t="s">
        <v>1511</v>
      </c>
      <c r="E119" s="57" t="s">
        <v>192</v>
      </c>
      <c r="F119" s="57" t="s">
        <v>193</v>
      </c>
      <c r="G119" s="57" t="s">
        <v>462</v>
      </c>
      <c r="H119" s="57" t="s">
        <v>1489</v>
      </c>
      <c r="I119" s="57" t="s">
        <v>464</v>
      </c>
      <c r="J119" s="57"/>
      <c r="K119" s="57" t="s">
        <v>414</v>
      </c>
      <c r="L119" s="57" t="s">
        <v>346</v>
      </c>
      <c r="M119" s="57"/>
      <c r="N119" s="57" t="s">
        <v>1200</v>
      </c>
    </row>
    <row r="120" customFormat="false" ht="27.75" hidden="false" customHeight="true" outlineLevel="0" collapsed="false">
      <c r="A120" s="57" t="s">
        <v>280</v>
      </c>
      <c r="B120" s="57" t="s">
        <v>282</v>
      </c>
      <c r="C120" s="58" t="n">
        <v>46322</v>
      </c>
      <c r="D120" s="57" t="s">
        <v>1511</v>
      </c>
      <c r="E120" s="57" t="s">
        <v>192</v>
      </c>
      <c r="F120" s="57" t="s">
        <v>193</v>
      </c>
      <c r="G120" s="57" t="s">
        <v>410</v>
      </c>
      <c r="H120" s="57" t="s">
        <v>1490</v>
      </c>
      <c r="I120" s="57" t="s">
        <v>412</v>
      </c>
      <c r="J120" s="57"/>
      <c r="K120" s="57" t="s">
        <v>414</v>
      </c>
      <c r="L120" s="57" t="s">
        <v>346</v>
      </c>
      <c r="M120" s="57"/>
      <c r="N120" s="57" t="s">
        <v>1202</v>
      </c>
    </row>
    <row r="121" customFormat="false" ht="27.75" hidden="false" customHeight="true" outlineLevel="0" collapsed="false">
      <c r="A121" s="57" t="s">
        <v>280</v>
      </c>
      <c r="B121" s="57" t="s">
        <v>282</v>
      </c>
      <c r="C121" s="58" t="n">
        <v>46322</v>
      </c>
      <c r="D121" s="57" t="s">
        <v>1511</v>
      </c>
      <c r="E121" s="57" t="s">
        <v>192</v>
      </c>
      <c r="F121" s="57" t="s">
        <v>193</v>
      </c>
      <c r="G121" s="57" t="s">
        <v>410</v>
      </c>
      <c r="H121" s="57" t="s">
        <v>1491</v>
      </c>
      <c r="I121" s="57" t="s">
        <v>412</v>
      </c>
      <c r="J121" s="57"/>
      <c r="K121" s="57" t="s">
        <v>414</v>
      </c>
      <c r="L121" s="57" t="s">
        <v>346</v>
      </c>
      <c r="M121" s="57"/>
      <c r="N121" s="57" t="s">
        <v>1204</v>
      </c>
    </row>
    <row r="122" customFormat="false" ht="52.5" hidden="false" customHeight="true" outlineLevel="0" collapsed="false">
      <c r="A122" s="57" t="s">
        <v>280</v>
      </c>
      <c r="B122" s="57" t="s">
        <v>282</v>
      </c>
      <c r="C122" s="58" t="n">
        <v>46322</v>
      </c>
      <c r="D122" s="57" t="s">
        <v>1511</v>
      </c>
      <c r="E122" s="57" t="s">
        <v>192</v>
      </c>
      <c r="F122" s="57" t="s">
        <v>193</v>
      </c>
      <c r="G122" s="57" t="s">
        <v>597</v>
      </c>
      <c r="H122" s="57" t="s">
        <v>1510</v>
      </c>
      <c r="I122" s="57" t="s">
        <v>1147</v>
      </c>
      <c r="J122" s="57"/>
      <c r="K122" s="57" t="s">
        <v>414</v>
      </c>
      <c r="L122" s="74" t="s">
        <v>407</v>
      </c>
      <c r="M122" s="57" t="s">
        <v>1225</v>
      </c>
      <c r="N122" s="57" t="s">
        <v>1148</v>
      </c>
    </row>
    <row r="123" customFormat="false" ht="27.75" hidden="false" customHeight="true" outlineLevel="0" collapsed="false">
      <c r="A123" s="57" t="s">
        <v>283</v>
      </c>
      <c r="B123" s="57" t="s">
        <v>284</v>
      </c>
      <c r="C123" s="58" t="n">
        <v>46322</v>
      </c>
      <c r="D123" s="57" t="s">
        <v>1513</v>
      </c>
      <c r="E123" s="57" t="s">
        <v>192</v>
      </c>
      <c r="F123" s="57" t="s">
        <v>205</v>
      </c>
      <c r="G123" s="57" t="s">
        <v>403</v>
      </c>
      <c r="H123" s="57" t="s">
        <v>1494</v>
      </c>
      <c r="I123" s="57" t="s">
        <v>464</v>
      </c>
      <c r="J123" s="57"/>
      <c r="K123" s="57" t="s">
        <v>177</v>
      </c>
      <c r="L123" s="57" t="s">
        <v>346</v>
      </c>
      <c r="M123" s="57"/>
      <c r="N123" s="57" t="s">
        <v>1246</v>
      </c>
    </row>
    <row r="124" customFormat="false" ht="27.75" hidden="false" customHeight="true" outlineLevel="0" collapsed="false">
      <c r="A124" s="57" t="s">
        <v>283</v>
      </c>
      <c r="B124" s="57" t="s">
        <v>284</v>
      </c>
      <c r="C124" s="58" t="n">
        <v>46322</v>
      </c>
      <c r="D124" s="57" t="s">
        <v>1513</v>
      </c>
      <c r="E124" s="57" t="s">
        <v>192</v>
      </c>
      <c r="F124" s="57" t="s">
        <v>205</v>
      </c>
      <c r="G124" s="57" t="s">
        <v>462</v>
      </c>
      <c r="H124" s="57" t="s">
        <v>1483</v>
      </c>
      <c r="I124" s="57" t="s">
        <v>464</v>
      </c>
      <c r="J124" s="57"/>
      <c r="K124" s="57" t="s">
        <v>414</v>
      </c>
      <c r="L124" s="57" t="s">
        <v>346</v>
      </c>
      <c r="M124" s="57"/>
      <c r="N124" s="57" t="s">
        <v>1248</v>
      </c>
    </row>
    <row r="125" customFormat="false" ht="27.75" hidden="false" customHeight="true" outlineLevel="0" collapsed="false">
      <c r="A125" s="57" t="s">
        <v>283</v>
      </c>
      <c r="B125" s="57" t="s">
        <v>284</v>
      </c>
      <c r="C125" s="58" t="n">
        <v>46322</v>
      </c>
      <c r="D125" s="57" t="s">
        <v>1513</v>
      </c>
      <c r="E125" s="57" t="s">
        <v>192</v>
      </c>
      <c r="F125" s="57" t="s">
        <v>205</v>
      </c>
      <c r="G125" s="57" t="s">
        <v>462</v>
      </c>
      <c r="H125" s="57" t="s">
        <v>1484</v>
      </c>
      <c r="I125" s="57" t="s">
        <v>464</v>
      </c>
      <c r="J125" s="57"/>
      <c r="K125" s="57" t="s">
        <v>414</v>
      </c>
      <c r="L125" s="57" t="s">
        <v>346</v>
      </c>
      <c r="M125" s="57"/>
      <c r="N125" s="57" t="s">
        <v>1250</v>
      </c>
    </row>
    <row r="126" customFormat="false" ht="27.75" hidden="false" customHeight="true" outlineLevel="0" collapsed="false">
      <c r="A126" s="57" t="s">
        <v>283</v>
      </c>
      <c r="B126" s="57" t="s">
        <v>284</v>
      </c>
      <c r="C126" s="58" t="n">
        <v>46322</v>
      </c>
      <c r="D126" s="57" t="s">
        <v>1513</v>
      </c>
      <c r="E126" s="57" t="s">
        <v>192</v>
      </c>
      <c r="F126" s="57" t="s">
        <v>205</v>
      </c>
      <c r="G126" s="57" t="s">
        <v>462</v>
      </c>
      <c r="H126" s="57" t="s">
        <v>1485</v>
      </c>
      <c r="I126" s="57" t="s">
        <v>464</v>
      </c>
      <c r="J126" s="57"/>
      <c r="K126" s="57" t="s">
        <v>414</v>
      </c>
      <c r="L126" s="57" t="s">
        <v>346</v>
      </c>
      <c r="M126" s="57"/>
      <c r="N126" s="57" t="s">
        <v>1252</v>
      </c>
    </row>
    <row r="127" customFormat="false" ht="27.75" hidden="false" customHeight="true" outlineLevel="0" collapsed="false">
      <c r="A127" s="57" t="s">
        <v>283</v>
      </c>
      <c r="B127" s="57" t="s">
        <v>284</v>
      </c>
      <c r="C127" s="58" t="n">
        <v>46322</v>
      </c>
      <c r="D127" s="57" t="s">
        <v>1513</v>
      </c>
      <c r="E127" s="57" t="s">
        <v>192</v>
      </c>
      <c r="F127" s="57" t="s">
        <v>205</v>
      </c>
      <c r="G127" s="57" t="s">
        <v>462</v>
      </c>
      <c r="H127" s="57" t="s">
        <v>1486</v>
      </c>
      <c r="I127" s="57" t="s">
        <v>464</v>
      </c>
      <c r="J127" s="57"/>
      <c r="K127" s="57" t="s">
        <v>414</v>
      </c>
      <c r="L127" s="57" t="s">
        <v>346</v>
      </c>
      <c r="M127" s="57"/>
      <c r="N127" s="57" t="s">
        <v>1254</v>
      </c>
    </row>
    <row r="128" customFormat="false" ht="27.75" hidden="false" customHeight="true" outlineLevel="0" collapsed="false">
      <c r="A128" s="57" t="s">
        <v>283</v>
      </c>
      <c r="B128" s="57" t="s">
        <v>284</v>
      </c>
      <c r="C128" s="58" t="n">
        <v>46322</v>
      </c>
      <c r="D128" s="57" t="s">
        <v>1513</v>
      </c>
      <c r="E128" s="57" t="s">
        <v>192</v>
      </c>
      <c r="F128" s="57" t="s">
        <v>205</v>
      </c>
      <c r="G128" s="57" t="s">
        <v>462</v>
      </c>
      <c r="H128" s="57" t="s">
        <v>1487</v>
      </c>
      <c r="I128" s="57" t="s">
        <v>464</v>
      </c>
      <c r="J128" s="57"/>
      <c r="K128" s="57" t="s">
        <v>414</v>
      </c>
      <c r="L128" s="57" t="s">
        <v>346</v>
      </c>
      <c r="M128" s="57"/>
      <c r="N128" s="57" t="s">
        <v>1256</v>
      </c>
    </row>
    <row r="129" customFormat="false" ht="27.75" hidden="false" customHeight="true" outlineLevel="0" collapsed="false">
      <c r="A129" s="57" t="s">
        <v>283</v>
      </c>
      <c r="B129" s="57" t="s">
        <v>284</v>
      </c>
      <c r="C129" s="58" t="n">
        <v>46322</v>
      </c>
      <c r="D129" s="57" t="s">
        <v>1513</v>
      </c>
      <c r="E129" s="57" t="s">
        <v>192</v>
      </c>
      <c r="F129" s="57" t="s">
        <v>205</v>
      </c>
      <c r="G129" s="57" t="s">
        <v>462</v>
      </c>
      <c r="H129" s="57" t="s">
        <v>1488</v>
      </c>
      <c r="I129" s="57" t="s">
        <v>579</v>
      </c>
      <c r="J129" s="57"/>
      <c r="K129" s="57" t="s">
        <v>414</v>
      </c>
      <c r="L129" s="57" t="s">
        <v>346</v>
      </c>
      <c r="M129" s="57" t="s">
        <v>512</v>
      </c>
      <c r="N129" s="57" t="s">
        <v>1258</v>
      </c>
    </row>
    <row r="130" customFormat="false" ht="27.75" hidden="false" customHeight="true" outlineLevel="0" collapsed="false">
      <c r="A130" s="57" t="s">
        <v>283</v>
      </c>
      <c r="B130" s="57" t="s">
        <v>284</v>
      </c>
      <c r="C130" s="58" t="n">
        <v>46322</v>
      </c>
      <c r="D130" s="57" t="s">
        <v>1513</v>
      </c>
      <c r="E130" s="57" t="s">
        <v>192</v>
      </c>
      <c r="F130" s="57" t="s">
        <v>205</v>
      </c>
      <c r="G130" s="57" t="s">
        <v>462</v>
      </c>
      <c r="H130" s="57" t="s">
        <v>1489</v>
      </c>
      <c r="I130" s="57" t="s">
        <v>464</v>
      </c>
      <c r="J130" s="57"/>
      <c r="K130" s="57" t="s">
        <v>414</v>
      </c>
      <c r="L130" s="57" t="s">
        <v>346</v>
      </c>
      <c r="M130" s="57"/>
      <c r="N130" s="57" t="s">
        <v>1260</v>
      </c>
    </row>
    <row r="131" customFormat="false" ht="27.75" hidden="false" customHeight="true" outlineLevel="0" collapsed="false">
      <c r="A131" s="57" t="s">
        <v>283</v>
      </c>
      <c r="B131" s="57" t="s">
        <v>284</v>
      </c>
      <c r="C131" s="58" t="n">
        <v>46322</v>
      </c>
      <c r="D131" s="57" t="s">
        <v>1513</v>
      </c>
      <c r="E131" s="57" t="s">
        <v>192</v>
      </c>
      <c r="F131" s="57" t="s">
        <v>205</v>
      </c>
      <c r="G131" s="57" t="s">
        <v>410</v>
      </c>
      <c r="H131" s="57" t="s">
        <v>1490</v>
      </c>
      <c r="I131" s="57" t="s">
        <v>412</v>
      </c>
      <c r="J131" s="57"/>
      <c r="K131" s="57" t="s">
        <v>414</v>
      </c>
      <c r="L131" s="57" t="s">
        <v>346</v>
      </c>
      <c r="M131" s="57"/>
      <c r="N131" s="57" t="s">
        <v>1262</v>
      </c>
    </row>
    <row r="132" customFormat="false" ht="27.75" hidden="false" customHeight="true" outlineLevel="0" collapsed="false">
      <c r="A132" s="57" t="s">
        <v>283</v>
      </c>
      <c r="B132" s="57" t="s">
        <v>284</v>
      </c>
      <c r="C132" s="58" t="n">
        <v>46322</v>
      </c>
      <c r="D132" s="57" t="s">
        <v>1513</v>
      </c>
      <c r="E132" s="57" t="s">
        <v>192</v>
      </c>
      <c r="F132" s="57" t="s">
        <v>205</v>
      </c>
      <c r="G132" s="57" t="s">
        <v>410</v>
      </c>
      <c r="H132" s="57" t="s">
        <v>1495</v>
      </c>
      <c r="I132" s="57" t="s">
        <v>412</v>
      </c>
      <c r="J132" s="57"/>
      <c r="K132" s="57" t="s">
        <v>414</v>
      </c>
      <c r="L132" s="57" t="s">
        <v>346</v>
      </c>
      <c r="M132" s="57"/>
      <c r="N132" s="57" t="s">
        <v>1264</v>
      </c>
    </row>
    <row r="133" customFormat="false" ht="27.75" hidden="false" customHeight="true" outlineLevel="0" collapsed="false">
      <c r="A133" s="57" t="s">
        <v>283</v>
      </c>
      <c r="B133" s="57" t="s">
        <v>284</v>
      </c>
      <c r="C133" s="58" t="n">
        <v>46322</v>
      </c>
      <c r="D133" s="57" t="s">
        <v>1513</v>
      </c>
      <c r="E133" s="57" t="s">
        <v>192</v>
      </c>
      <c r="F133" s="57" t="s">
        <v>205</v>
      </c>
      <c r="G133" s="57" t="s">
        <v>410</v>
      </c>
      <c r="H133" s="57" t="s">
        <v>1496</v>
      </c>
      <c r="I133" s="57" t="s">
        <v>412</v>
      </c>
      <c r="J133" s="57"/>
      <c r="K133" s="57" t="s">
        <v>414</v>
      </c>
      <c r="L133" s="57" t="s">
        <v>346</v>
      </c>
      <c r="M133" s="57"/>
      <c r="N133" s="57" t="s">
        <v>1266</v>
      </c>
    </row>
    <row r="134" customFormat="false" ht="27.75" hidden="false" customHeight="true" outlineLevel="0" collapsed="false">
      <c r="A134" s="57" t="s">
        <v>283</v>
      </c>
      <c r="B134" s="57" t="s">
        <v>284</v>
      </c>
      <c r="C134" s="58" t="n">
        <v>46322</v>
      </c>
      <c r="D134" s="57" t="s">
        <v>1513</v>
      </c>
      <c r="E134" s="57" t="s">
        <v>192</v>
      </c>
      <c r="F134" s="57" t="s">
        <v>205</v>
      </c>
      <c r="G134" s="57" t="s">
        <v>592</v>
      </c>
      <c r="H134" s="57" t="s">
        <v>1497</v>
      </c>
      <c r="I134" s="57" t="s">
        <v>464</v>
      </c>
      <c r="J134" s="57"/>
      <c r="K134" s="57" t="s">
        <v>177</v>
      </c>
      <c r="L134" s="57" t="s">
        <v>346</v>
      </c>
      <c r="M134" s="57" t="s">
        <v>595</v>
      </c>
      <c r="N134" s="57" t="s">
        <v>1268</v>
      </c>
    </row>
    <row r="135" customFormat="false" ht="27.75" hidden="false" customHeight="true" outlineLevel="0" collapsed="false">
      <c r="A135" s="57" t="s">
        <v>283</v>
      </c>
      <c r="B135" s="57" t="s">
        <v>284</v>
      </c>
      <c r="C135" s="58" t="n">
        <v>46322</v>
      </c>
      <c r="D135" s="57" t="s">
        <v>1513</v>
      </c>
      <c r="E135" s="57" t="s">
        <v>192</v>
      </c>
      <c r="F135" s="57" t="s">
        <v>205</v>
      </c>
      <c r="G135" s="57" t="s">
        <v>597</v>
      </c>
      <c r="H135" s="57" t="s">
        <v>1498</v>
      </c>
      <c r="I135" s="57" t="s">
        <v>1270</v>
      </c>
      <c r="J135" s="57"/>
      <c r="K135" s="57" t="s">
        <v>414</v>
      </c>
      <c r="L135" s="57" t="s">
        <v>346</v>
      </c>
      <c r="M135" s="57" t="s">
        <v>1288</v>
      </c>
      <c r="N135" s="57" t="s">
        <v>1271</v>
      </c>
    </row>
    <row r="136" customFormat="false" ht="27.75" hidden="false" customHeight="true" outlineLevel="0" collapsed="false">
      <c r="A136" s="57" t="s">
        <v>291</v>
      </c>
      <c r="B136" s="57" t="s">
        <v>292</v>
      </c>
      <c r="C136" s="58" t="n">
        <v>46324</v>
      </c>
      <c r="D136" s="57" t="s">
        <v>1514</v>
      </c>
      <c r="E136" s="57" t="s">
        <v>178</v>
      </c>
      <c r="F136" s="57" t="s">
        <v>205</v>
      </c>
      <c r="G136" s="57" t="s">
        <v>410</v>
      </c>
      <c r="H136" s="57" t="s">
        <v>1478</v>
      </c>
      <c r="I136" s="57" t="s">
        <v>412</v>
      </c>
      <c r="J136" s="57"/>
      <c r="K136" s="57" t="s">
        <v>414</v>
      </c>
      <c r="L136" s="57" t="s">
        <v>346</v>
      </c>
      <c r="M136" s="57"/>
      <c r="N136" s="57" t="s">
        <v>1308</v>
      </c>
    </row>
    <row r="137" customFormat="false" ht="40.5" hidden="false" customHeight="true" outlineLevel="0" collapsed="false">
      <c r="A137" s="57" t="s">
        <v>291</v>
      </c>
      <c r="B137" s="57" t="s">
        <v>292</v>
      </c>
      <c r="C137" s="58" t="n">
        <v>46324</v>
      </c>
      <c r="D137" s="57" t="s">
        <v>1514</v>
      </c>
      <c r="E137" s="57" t="s">
        <v>178</v>
      </c>
      <c r="F137" s="57" t="s">
        <v>205</v>
      </c>
      <c r="G137" s="57" t="s">
        <v>410</v>
      </c>
      <c r="H137" s="57" t="s">
        <v>1479</v>
      </c>
      <c r="I137" s="57" t="s">
        <v>412</v>
      </c>
      <c r="J137" s="57" t="s">
        <v>1508</v>
      </c>
      <c r="K137" s="57" t="s">
        <v>414</v>
      </c>
      <c r="L137" s="57" t="s">
        <v>346</v>
      </c>
      <c r="M137" s="57" t="s">
        <v>1319</v>
      </c>
      <c r="N137" s="57" t="s">
        <v>1311</v>
      </c>
    </row>
    <row r="138" customFormat="false" ht="52.5" hidden="false" customHeight="true" outlineLevel="0" collapsed="false">
      <c r="A138" s="57" t="s">
        <v>291</v>
      </c>
      <c r="B138" s="57" t="s">
        <v>292</v>
      </c>
      <c r="C138" s="58" t="n">
        <v>46324</v>
      </c>
      <c r="D138" s="57" t="s">
        <v>1514</v>
      </c>
      <c r="E138" s="57" t="s">
        <v>178</v>
      </c>
      <c r="F138" s="57" t="s">
        <v>205</v>
      </c>
      <c r="G138" s="57" t="s">
        <v>597</v>
      </c>
      <c r="H138" s="57" t="s">
        <v>1498</v>
      </c>
      <c r="I138" s="57" t="s">
        <v>1270</v>
      </c>
      <c r="J138" s="57"/>
      <c r="K138" s="57" t="s">
        <v>414</v>
      </c>
      <c r="L138" s="74" t="s">
        <v>407</v>
      </c>
      <c r="M138" s="57" t="s">
        <v>1321</v>
      </c>
      <c r="N138" s="57" t="s">
        <v>1271</v>
      </c>
    </row>
    <row r="139" customFormat="false" ht="27.75" hidden="false" customHeight="true" outlineLevel="0" collapsed="false">
      <c r="A139" s="57" t="s">
        <v>294</v>
      </c>
      <c r="B139" s="57" t="s">
        <v>295</v>
      </c>
      <c r="C139" s="58" t="n">
        <v>46324</v>
      </c>
      <c r="D139" s="57" t="s">
        <v>1515</v>
      </c>
      <c r="E139" s="57" t="s">
        <v>178</v>
      </c>
      <c r="F139" s="57" t="s">
        <v>193</v>
      </c>
      <c r="G139" s="57" t="s">
        <v>410</v>
      </c>
      <c r="H139" s="57" t="s">
        <v>1478</v>
      </c>
      <c r="I139" s="57" t="s">
        <v>412</v>
      </c>
      <c r="J139" s="57"/>
      <c r="K139" s="57" t="s">
        <v>414</v>
      </c>
      <c r="L139" s="57" t="s">
        <v>346</v>
      </c>
      <c r="M139" s="57"/>
      <c r="N139" s="57" t="s">
        <v>1341</v>
      </c>
    </row>
    <row r="140" customFormat="false" ht="27.75" hidden="false" customHeight="true" outlineLevel="0" collapsed="false">
      <c r="A140" s="57" t="s">
        <v>300</v>
      </c>
      <c r="B140" s="57" t="s">
        <v>301</v>
      </c>
      <c r="C140" s="58" t="n">
        <v>46325</v>
      </c>
      <c r="D140" s="57" t="s">
        <v>1516</v>
      </c>
      <c r="E140" s="57" t="s">
        <v>192</v>
      </c>
      <c r="F140" s="57" t="s">
        <v>193</v>
      </c>
      <c r="G140" s="57" t="s">
        <v>403</v>
      </c>
      <c r="H140" s="57" t="s">
        <v>1482</v>
      </c>
      <c r="I140" s="57" t="s">
        <v>458</v>
      </c>
      <c r="J140" s="57"/>
      <c r="K140" s="57" t="s">
        <v>414</v>
      </c>
      <c r="L140" s="57" t="s">
        <v>346</v>
      </c>
      <c r="M140" s="57" t="s">
        <v>498</v>
      </c>
      <c r="N140" s="57" t="s">
        <v>1366</v>
      </c>
    </row>
    <row r="141" customFormat="false" ht="27.75" hidden="false" customHeight="true" outlineLevel="0" collapsed="false">
      <c r="A141" s="57" t="s">
        <v>300</v>
      </c>
      <c r="B141" s="57" t="s">
        <v>301</v>
      </c>
      <c r="C141" s="58" t="n">
        <v>46325</v>
      </c>
      <c r="D141" s="57" t="s">
        <v>1516</v>
      </c>
      <c r="E141" s="57" t="s">
        <v>192</v>
      </c>
      <c r="F141" s="57" t="s">
        <v>193</v>
      </c>
      <c r="G141" s="57" t="s">
        <v>462</v>
      </c>
      <c r="H141" s="57" t="s">
        <v>1483</v>
      </c>
      <c r="I141" s="57" t="s">
        <v>464</v>
      </c>
      <c r="J141" s="57"/>
      <c r="K141" s="57" t="s">
        <v>414</v>
      </c>
      <c r="L141" s="57" t="s">
        <v>346</v>
      </c>
      <c r="M141" s="57"/>
      <c r="N141" s="57" t="s">
        <v>1369</v>
      </c>
    </row>
    <row r="142" customFormat="false" ht="27.75" hidden="false" customHeight="true" outlineLevel="0" collapsed="false">
      <c r="A142" s="57" t="s">
        <v>300</v>
      </c>
      <c r="B142" s="57" t="s">
        <v>301</v>
      </c>
      <c r="C142" s="58" t="n">
        <v>46325</v>
      </c>
      <c r="D142" s="57" t="s">
        <v>1516</v>
      </c>
      <c r="E142" s="57" t="s">
        <v>192</v>
      </c>
      <c r="F142" s="57" t="s">
        <v>193</v>
      </c>
      <c r="G142" s="57" t="s">
        <v>462</v>
      </c>
      <c r="H142" s="57" t="s">
        <v>1484</v>
      </c>
      <c r="I142" s="57" t="s">
        <v>464</v>
      </c>
      <c r="J142" s="57"/>
      <c r="K142" s="57" t="s">
        <v>414</v>
      </c>
      <c r="L142" s="57" t="s">
        <v>346</v>
      </c>
      <c r="M142" s="57"/>
      <c r="N142" s="57" t="s">
        <v>1371</v>
      </c>
    </row>
    <row r="143" customFormat="false" ht="27.75" hidden="false" customHeight="true" outlineLevel="0" collapsed="false">
      <c r="A143" s="57" t="s">
        <v>300</v>
      </c>
      <c r="B143" s="57" t="s">
        <v>301</v>
      </c>
      <c r="C143" s="58" t="n">
        <v>46325</v>
      </c>
      <c r="D143" s="57" t="s">
        <v>1516</v>
      </c>
      <c r="E143" s="57" t="s">
        <v>192</v>
      </c>
      <c r="F143" s="57" t="s">
        <v>193</v>
      </c>
      <c r="G143" s="57" t="s">
        <v>462</v>
      </c>
      <c r="H143" s="57" t="s">
        <v>1485</v>
      </c>
      <c r="I143" s="57" t="s">
        <v>464</v>
      </c>
      <c r="J143" s="57"/>
      <c r="K143" s="57" t="s">
        <v>414</v>
      </c>
      <c r="L143" s="57" t="s">
        <v>346</v>
      </c>
      <c r="M143" s="57"/>
      <c r="N143" s="57" t="s">
        <v>1373</v>
      </c>
    </row>
    <row r="144" customFormat="false" ht="27.75" hidden="false" customHeight="true" outlineLevel="0" collapsed="false">
      <c r="A144" s="57" t="s">
        <v>300</v>
      </c>
      <c r="B144" s="57" t="s">
        <v>301</v>
      </c>
      <c r="C144" s="58" t="n">
        <v>46325</v>
      </c>
      <c r="D144" s="57" t="s">
        <v>1516</v>
      </c>
      <c r="E144" s="57" t="s">
        <v>192</v>
      </c>
      <c r="F144" s="57" t="s">
        <v>193</v>
      </c>
      <c r="G144" s="57" t="s">
        <v>462</v>
      </c>
      <c r="H144" s="57" t="s">
        <v>1488</v>
      </c>
      <c r="I144" s="57" t="s">
        <v>482</v>
      </c>
      <c r="J144" s="57"/>
      <c r="K144" s="57" t="s">
        <v>414</v>
      </c>
      <c r="L144" s="57" t="s">
        <v>346</v>
      </c>
      <c r="M144" s="57" t="s">
        <v>512</v>
      </c>
      <c r="N144" s="57" t="s">
        <v>1375</v>
      </c>
    </row>
    <row r="145" customFormat="false" ht="27.75" hidden="false" customHeight="true" outlineLevel="0" collapsed="false">
      <c r="A145" s="57" t="s">
        <v>300</v>
      </c>
      <c r="B145" s="57" t="s">
        <v>301</v>
      </c>
      <c r="C145" s="58" t="n">
        <v>46325</v>
      </c>
      <c r="D145" s="57" t="s">
        <v>1516</v>
      </c>
      <c r="E145" s="57" t="s">
        <v>192</v>
      </c>
      <c r="F145" s="57" t="s">
        <v>193</v>
      </c>
      <c r="G145" s="57" t="s">
        <v>462</v>
      </c>
      <c r="H145" s="57" t="s">
        <v>1489</v>
      </c>
      <c r="I145" s="57" t="s">
        <v>464</v>
      </c>
      <c r="J145" s="57"/>
      <c r="K145" s="57" t="s">
        <v>414</v>
      </c>
      <c r="L145" s="57" t="s">
        <v>346</v>
      </c>
      <c r="M145" s="57"/>
      <c r="N145" s="57" t="s">
        <v>1378</v>
      </c>
    </row>
    <row r="146" customFormat="false" ht="27.75" hidden="false" customHeight="true" outlineLevel="0" collapsed="false">
      <c r="A146" s="57" t="s">
        <v>300</v>
      </c>
      <c r="B146" s="57" t="s">
        <v>301</v>
      </c>
      <c r="C146" s="58" t="n">
        <v>46325</v>
      </c>
      <c r="D146" s="57" t="s">
        <v>1516</v>
      </c>
      <c r="E146" s="57" t="s">
        <v>192</v>
      </c>
      <c r="F146" s="57" t="s">
        <v>193</v>
      </c>
      <c r="G146" s="57" t="s">
        <v>410</v>
      </c>
      <c r="H146" s="57" t="s">
        <v>1490</v>
      </c>
      <c r="I146" s="57" t="s">
        <v>412</v>
      </c>
      <c r="J146" s="57"/>
      <c r="K146" s="57" t="s">
        <v>414</v>
      </c>
      <c r="L146" s="57" t="s">
        <v>346</v>
      </c>
      <c r="M146" s="57"/>
      <c r="N146" s="57" t="s">
        <v>1380</v>
      </c>
    </row>
    <row r="147" customFormat="false" ht="27.75" hidden="false" customHeight="true" outlineLevel="0" collapsed="false">
      <c r="A147" s="57" t="s">
        <v>300</v>
      </c>
      <c r="B147" s="57" t="s">
        <v>301</v>
      </c>
      <c r="C147" s="58" t="n">
        <v>46325</v>
      </c>
      <c r="D147" s="57" t="s">
        <v>1516</v>
      </c>
      <c r="E147" s="57" t="s">
        <v>192</v>
      </c>
      <c r="F147" s="57" t="s">
        <v>193</v>
      </c>
      <c r="G147" s="57" t="s">
        <v>410</v>
      </c>
      <c r="H147" s="57" t="s">
        <v>1491</v>
      </c>
      <c r="I147" s="57" t="s">
        <v>412</v>
      </c>
      <c r="J147" s="57"/>
      <c r="K147" s="57" t="s">
        <v>414</v>
      </c>
      <c r="L147" s="57" t="s">
        <v>346</v>
      </c>
      <c r="M147" s="57"/>
      <c r="N147" s="57" t="s">
        <v>1382</v>
      </c>
    </row>
    <row r="148" customFormat="false" ht="78" hidden="false" customHeight="true" outlineLevel="0" collapsed="false">
      <c r="A148" s="57" t="s">
        <v>302</v>
      </c>
      <c r="B148" s="57" t="s">
        <v>222</v>
      </c>
      <c r="C148" s="58" t="n">
        <v>46325</v>
      </c>
      <c r="D148" s="57" t="s">
        <v>1500</v>
      </c>
      <c r="E148" s="57" t="s">
        <v>192</v>
      </c>
      <c r="F148" s="57" t="s">
        <v>179</v>
      </c>
      <c r="G148" s="57" t="s">
        <v>403</v>
      </c>
      <c r="H148" s="57" t="s">
        <v>1477</v>
      </c>
      <c r="I148" s="57" t="s">
        <v>464</v>
      </c>
      <c r="J148" s="57"/>
      <c r="K148" s="57" t="s">
        <v>689</v>
      </c>
      <c r="L148" s="74" t="s">
        <v>407</v>
      </c>
      <c r="M148" s="57" t="s">
        <v>690</v>
      </c>
      <c r="N148" s="57" t="s">
        <v>406</v>
      </c>
    </row>
    <row r="149" customFormat="false" ht="27.75" hidden="false" customHeight="true" outlineLevel="0" collapsed="false">
      <c r="A149" s="57" t="s">
        <v>302</v>
      </c>
      <c r="B149" s="57" t="s">
        <v>222</v>
      </c>
      <c r="C149" s="58" t="n">
        <v>46325</v>
      </c>
      <c r="D149" s="57" t="s">
        <v>1500</v>
      </c>
      <c r="E149" s="57" t="s">
        <v>192</v>
      </c>
      <c r="F149" s="57" t="s">
        <v>179</v>
      </c>
      <c r="G149" s="57" t="s">
        <v>403</v>
      </c>
      <c r="H149" s="57" t="s">
        <v>1501</v>
      </c>
      <c r="I149" s="57" t="s">
        <v>693</v>
      </c>
      <c r="J149" s="57"/>
      <c r="K149" s="57" t="s">
        <v>177</v>
      </c>
      <c r="L149" s="57" t="s">
        <v>346</v>
      </c>
      <c r="M149" s="57" t="s">
        <v>695</v>
      </c>
      <c r="N149" s="57" t="s">
        <v>694</v>
      </c>
    </row>
    <row r="150" customFormat="false" ht="27.75" hidden="false" customHeight="true" outlineLevel="0" collapsed="false">
      <c r="A150" s="57" t="s">
        <v>302</v>
      </c>
      <c r="B150" s="57" t="s">
        <v>222</v>
      </c>
      <c r="C150" s="58" t="n">
        <v>46325</v>
      </c>
      <c r="D150" s="57" t="s">
        <v>1500</v>
      </c>
      <c r="E150" s="57" t="s">
        <v>192</v>
      </c>
      <c r="F150" s="57" t="s">
        <v>179</v>
      </c>
      <c r="G150" s="57" t="s">
        <v>403</v>
      </c>
      <c r="H150" s="57" t="s">
        <v>1494</v>
      </c>
      <c r="I150" s="57" t="s">
        <v>464</v>
      </c>
      <c r="J150" s="57"/>
      <c r="K150" s="57" t="s">
        <v>177</v>
      </c>
      <c r="L150" s="57" t="s">
        <v>346</v>
      </c>
      <c r="M150" s="57"/>
      <c r="N150" s="57" t="s">
        <v>697</v>
      </c>
    </row>
    <row r="151" customFormat="false" ht="27.75" hidden="false" customHeight="true" outlineLevel="0" collapsed="false">
      <c r="A151" s="57" t="s">
        <v>302</v>
      </c>
      <c r="B151" s="57" t="s">
        <v>222</v>
      </c>
      <c r="C151" s="58" t="n">
        <v>46325</v>
      </c>
      <c r="D151" s="57" t="s">
        <v>1500</v>
      </c>
      <c r="E151" s="57" t="s">
        <v>192</v>
      </c>
      <c r="F151" s="57" t="s">
        <v>179</v>
      </c>
      <c r="G151" s="57" t="s">
        <v>462</v>
      </c>
      <c r="H151" s="57" t="s">
        <v>1483</v>
      </c>
      <c r="I151" s="57" t="s">
        <v>464</v>
      </c>
      <c r="J151" s="57"/>
      <c r="K151" s="57" t="s">
        <v>414</v>
      </c>
      <c r="L151" s="57" t="s">
        <v>346</v>
      </c>
      <c r="M151" s="57"/>
      <c r="N151" s="57" t="s">
        <v>699</v>
      </c>
    </row>
    <row r="152" customFormat="false" ht="27.75" hidden="false" customHeight="true" outlineLevel="0" collapsed="false">
      <c r="A152" s="57" t="s">
        <v>302</v>
      </c>
      <c r="B152" s="57" t="s">
        <v>222</v>
      </c>
      <c r="C152" s="58" t="n">
        <v>46325</v>
      </c>
      <c r="D152" s="57" t="s">
        <v>1500</v>
      </c>
      <c r="E152" s="57" t="s">
        <v>192</v>
      </c>
      <c r="F152" s="57" t="s">
        <v>179</v>
      </c>
      <c r="G152" s="57" t="s">
        <v>462</v>
      </c>
      <c r="H152" s="57" t="s">
        <v>1484</v>
      </c>
      <c r="I152" s="57" t="s">
        <v>464</v>
      </c>
      <c r="J152" s="57"/>
      <c r="K152" s="57" t="s">
        <v>414</v>
      </c>
      <c r="L152" s="57" t="s">
        <v>346</v>
      </c>
      <c r="M152" s="57"/>
      <c r="N152" s="57" t="s">
        <v>701</v>
      </c>
    </row>
    <row r="153" customFormat="false" ht="27.75" hidden="false" customHeight="true" outlineLevel="0" collapsed="false">
      <c r="A153" s="57" t="s">
        <v>302</v>
      </c>
      <c r="B153" s="57" t="s">
        <v>222</v>
      </c>
      <c r="C153" s="58" t="n">
        <v>46325</v>
      </c>
      <c r="D153" s="57" t="s">
        <v>1500</v>
      </c>
      <c r="E153" s="57" t="s">
        <v>192</v>
      </c>
      <c r="F153" s="57" t="s">
        <v>179</v>
      </c>
      <c r="G153" s="57" t="s">
        <v>462</v>
      </c>
      <c r="H153" s="57" t="s">
        <v>1485</v>
      </c>
      <c r="I153" s="57" t="s">
        <v>464</v>
      </c>
      <c r="J153" s="57"/>
      <c r="K153" s="57" t="s">
        <v>414</v>
      </c>
      <c r="L153" s="57" t="s">
        <v>346</v>
      </c>
      <c r="M153" s="57"/>
      <c r="N153" s="57" t="s">
        <v>703</v>
      </c>
    </row>
    <row r="154" customFormat="false" ht="27.75" hidden="false" customHeight="true" outlineLevel="0" collapsed="false">
      <c r="A154" s="57" t="s">
        <v>302</v>
      </c>
      <c r="B154" s="57" t="s">
        <v>222</v>
      </c>
      <c r="C154" s="58" t="n">
        <v>46325</v>
      </c>
      <c r="D154" s="57" t="s">
        <v>1500</v>
      </c>
      <c r="E154" s="57" t="s">
        <v>192</v>
      </c>
      <c r="F154" s="57" t="s">
        <v>179</v>
      </c>
      <c r="G154" s="57" t="s">
        <v>462</v>
      </c>
      <c r="H154" s="57" t="s">
        <v>1486</v>
      </c>
      <c r="I154" s="57" t="s">
        <v>464</v>
      </c>
      <c r="J154" s="57"/>
      <c r="K154" s="57" t="s">
        <v>414</v>
      </c>
      <c r="L154" s="57" t="s">
        <v>346</v>
      </c>
      <c r="M154" s="57"/>
      <c r="N154" s="57" t="s">
        <v>705</v>
      </c>
    </row>
    <row r="155" customFormat="false" ht="27.75" hidden="false" customHeight="true" outlineLevel="0" collapsed="false">
      <c r="A155" s="57" t="s">
        <v>302</v>
      </c>
      <c r="B155" s="57" t="s">
        <v>222</v>
      </c>
      <c r="C155" s="58" t="n">
        <v>46325</v>
      </c>
      <c r="D155" s="57" t="s">
        <v>1500</v>
      </c>
      <c r="E155" s="57" t="s">
        <v>192</v>
      </c>
      <c r="F155" s="57" t="s">
        <v>179</v>
      </c>
      <c r="G155" s="57" t="s">
        <v>462</v>
      </c>
      <c r="H155" s="57" t="s">
        <v>1487</v>
      </c>
      <c r="I155" s="57" t="s">
        <v>464</v>
      </c>
      <c r="J155" s="57"/>
      <c r="K155" s="57" t="s">
        <v>414</v>
      </c>
      <c r="L155" s="57" t="s">
        <v>346</v>
      </c>
      <c r="M155" s="57"/>
      <c r="N155" s="57" t="s">
        <v>707</v>
      </c>
    </row>
    <row r="156" customFormat="false" ht="27.75" hidden="false" customHeight="true" outlineLevel="0" collapsed="false">
      <c r="A156" s="57" t="s">
        <v>302</v>
      </c>
      <c r="B156" s="57" t="s">
        <v>222</v>
      </c>
      <c r="C156" s="58" t="n">
        <v>46325</v>
      </c>
      <c r="D156" s="57" t="s">
        <v>1500</v>
      </c>
      <c r="E156" s="57" t="s">
        <v>192</v>
      </c>
      <c r="F156" s="57" t="s">
        <v>179</v>
      </c>
      <c r="G156" s="57" t="s">
        <v>462</v>
      </c>
      <c r="H156" s="57" t="s">
        <v>1488</v>
      </c>
      <c r="I156" s="57" t="s">
        <v>579</v>
      </c>
      <c r="J156" s="57"/>
      <c r="K156" s="57" t="s">
        <v>414</v>
      </c>
      <c r="L156" s="57" t="s">
        <v>346</v>
      </c>
      <c r="M156" s="57" t="s">
        <v>512</v>
      </c>
      <c r="N156" s="57" t="s">
        <v>709</v>
      </c>
    </row>
    <row r="157" customFormat="false" ht="27.75" hidden="false" customHeight="true" outlineLevel="0" collapsed="false">
      <c r="A157" s="57" t="s">
        <v>302</v>
      </c>
      <c r="B157" s="57" t="s">
        <v>222</v>
      </c>
      <c r="C157" s="58" t="n">
        <v>46325</v>
      </c>
      <c r="D157" s="57" t="s">
        <v>1500</v>
      </c>
      <c r="E157" s="57" t="s">
        <v>192</v>
      </c>
      <c r="F157" s="57" t="s">
        <v>179</v>
      </c>
      <c r="G157" s="57" t="s">
        <v>462</v>
      </c>
      <c r="H157" s="57" t="s">
        <v>1489</v>
      </c>
      <c r="I157" s="57" t="s">
        <v>464</v>
      </c>
      <c r="J157" s="57"/>
      <c r="K157" s="57" t="s">
        <v>414</v>
      </c>
      <c r="L157" s="57" t="s">
        <v>346</v>
      </c>
      <c r="M157" s="57"/>
      <c r="N157" s="57" t="s">
        <v>711</v>
      </c>
    </row>
    <row r="158" customFormat="false" ht="27.75" hidden="false" customHeight="true" outlineLevel="0" collapsed="false">
      <c r="A158" s="57" t="s">
        <v>302</v>
      </c>
      <c r="B158" s="57" t="s">
        <v>222</v>
      </c>
      <c r="C158" s="58" t="n">
        <v>46325</v>
      </c>
      <c r="D158" s="57" t="s">
        <v>1500</v>
      </c>
      <c r="E158" s="57" t="s">
        <v>192</v>
      </c>
      <c r="F158" s="57" t="s">
        <v>179</v>
      </c>
      <c r="G158" s="57" t="s">
        <v>410</v>
      </c>
      <c r="H158" s="57" t="s">
        <v>1490</v>
      </c>
      <c r="I158" s="57" t="s">
        <v>412</v>
      </c>
      <c r="J158" s="57"/>
      <c r="K158" s="57" t="s">
        <v>414</v>
      </c>
      <c r="L158" s="57" t="s">
        <v>346</v>
      </c>
      <c r="M158" s="57"/>
      <c r="N158" s="57" t="s">
        <v>713</v>
      </c>
    </row>
    <row r="159" customFormat="false" ht="27.75" hidden="false" customHeight="true" outlineLevel="0" collapsed="false">
      <c r="A159" s="57" t="s">
        <v>302</v>
      </c>
      <c r="B159" s="57" t="s">
        <v>222</v>
      </c>
      <c r="C159" s="58" t="n">
        <v>46325</v>
      </c>
      <c r="D159" s="57" t="s">
        <v>1500</v>
      </c>
      <c r="E159" s="57" t="s">
        <v>192</v>
      </c>
      <c r="F159" s="57" t="s">
        <v>179</v>
      </c>
      <c r="G159" s="57" t="s">
        <v>410</v>
      </c>
      <c r="H159" s="57" t="s">
        <v>1495</v>
      </c>
      <c r="I159" s="57" t="s">
        <v>412</v>
      </c>
      <c r="J159" s="57"/>
      <c r="K159" s="57" t="s">
        <v>414</v>
      </c>
      <c r="L159" s="57" t="s">
        <v>346</v>
      </c>
      <c r="M159" s="57"/>
      <c r="N159" s="57" t="s">
        <v>715</v>
      </c>
    </row>
    <row r="160" customFormat="false" ht="27.75" hidden="false" customHeight="true" outlineLevel="0" collapsed="false">
      <c r="A160" s="57" t="s">
        <v>302</v>
      </c>
      <c r="B160" s="57" t="s">
        <v>222</v>
      </c>
      <c r="C160" s="58" t="n">
        <v>46325</v>
      </c>
      <c r="D160" s="57" t="s">
        <v>1500</v>
      </c>
      <c r="E160" s="57" t="s">
        <v>192</v>
      </c>
      <c r="F160" s="57" t="s">
        <v>179</v>
      </c>
      <c r="G160" s="57" t="s">
        <v>410</v>
      </c>
      <c r="H160" s="57" t="s">
        <v>1496</v>
      </c>
      <c r="I160" s="57" t="s">
        <v>412</v>
      </c>
      <c r="J160" s="57"/>
      <c r="K160" s="57" t="s">
        <v>414</v>
      </c>
      <c r="L160" s="57" t="s">
        <v>346</v>
      </c>
      <c r="M160" s="57"/>
      <c r="N160" s="57" t="s">
        <v>717</v>
      </c>
    </row>
    <row r="161" customFormat="false" ht="27.75" hidden="false" customHeight="true" outlineLevel="0" collapsed="false">
      <c r="A161" s="57" t="s">
        <v>302</v>
      </c>
      <c r="B161" s="57" t="s">
        <v>222</v>
      </c>
      <c r="C161" s="58" t="n">
        <v>46325</v>
      </c>
      <c r="D161" s="57" t="s">
        <v>1500</v>
      </c>
      <c r="E161" s="57" t="s">
        <v>192</v>
      </c>
      <c r="F161" s="57" t="s">
        <v>179</v>
      </c>
      <c r="G161" s="57" t="s">
        <v>592</v>
      </c>
      <c r="H161" s="57" t="s">
        <v>1497</v>
      </c>
      <c r="I161" s="57" t="s">
        <v>464</v>
      </c>
      <c r="J161" s="57"/>
      <c r="K161" s="57" t="s">
        <v>177</v>
      </c>
      <c r="L161" s="57" t="s">
        <v>346</v>
      </c>
      <c r="M161" s="57" t="s">
        <v>595</v>
      </c>
      <c r="N161" s="57" t="s">
        <v>719</v>
      </c>
    </row>
    <row r="163" customFormat="false" ht="15" hidden="false" customHeight="false" outlineLevel="0" collapsed="false">
      <c r="A163" s="75" t="s">
        <v>1517</v>
      </c>
    </row>
    <row r="164" customFormat="false" ht="30" hidden="false" customHeight="true" outlineLevel="0" collapsed="false">
      <c r="A164" s="56" t="s">
        <v>130</v>
      </c>
      <c r="B164" s="56" t="s">
        <v>133</v>
      </c>
      <c r="C164" s="56" t="s">
        <v>101</v>
      </c>
      <c r="D164" s="56" t="s">
        <v>102</v>
      </c>
      <c r="E164" s="56" t="s">
        <v>308</v>
      </c>
      <c r="F164" s="56" t="s">
        <v>104</v>
      </c>
      <c r="G164" s="56" t="s">
        <v>310</v>
      </c>
      <c r="H164" s="56" t="s">
        <v>1470</v>
      </c>
      <c r="I164" s="56" t="s">
        <v>1475</v>
      </c>
    </row>
    <row r="165" customFormat="false" ht="27.75" hidden="false" customHeight="true" outlineLevel="0" collapsed="false">
      <c r="A165" s="76" t="s">
        <v>173</v>
      </c>
      <c r="B165" s="76" t="s">
        <v>175</v>
      </c>
      <c r="C165" s="77" t="n">
        <v>46303</v>
      </c>
      <c r="D165" s="76" t="s">
        <v>1476</v>
      </c>
      <c r="E165" s="76" t="s">
        <v>178</v>
      </c>
      <c r="F165" s="76" t="s">
        <v>179</v>
      </c>
      <c r="G165" s="76" t="s">
        <v>597</v>
      </c>
      <c r="H165" s="76" t="s">
        <v>1518</v>
      </c>
      <c r="I165" s="76" t="s">
        <v>1519</v>
      </c>
    </row>
    <row r="166" customFormat="false" ht="27.75" hidden="false" customHeight="true" outlineLevel="0" collapsed="false">
      <c r="A166" s="76" t="s">
        <v>188</v>
      </c>
      <c r="B166" s="76" t="s">
        <v>190</v>
      </c>
      <c r="C166" s="77" t="n">
        <v>46304</v>
      </c>
      <c r="D166" s="76" t="s">
        <v>1481</v>
      </c>
      <c r="E166" s="76" t="s">
        <v>192</v>
      </c>
      <c r="F166" s="76" t="s">
        <v>193</v>
      </c>
      <c r="G166" s="76" t="s">
        <v>403</v>
      </c>
      <c r="H166" s="76" t="s">
        <v>1477</v>
      </c>
      <c r="I166" s="76" t="s">
        <v>1520</v>
      </c>
    </row>
    <row r="167" customFormat="false" ht="27.75" hidden="false" customHeight="true" outlineLevel="0" collapsed="false">
      <c r="A167" s="76" t="s">
        <v>188</v>
      </c>
      <c r="B167" s="76" t="s">
        <v>190</v>
      </c>
      <c r="C167" s="77" t="n">
        <v>46304</v>
      </c>
      <c r="D167" s="76" t="s">
        <v>1481</v>
      </c>
      <c r="E167" s="76" t="s">
        <v>192</v>
      </c>
      <c r="F167" s="76" t="s">
        <v>193</v>
      </c>
      <c r="G167" s="76" t="s">
        <v>403</v>
      </c>
      <c r="H167" s="76" t="s">
        <v>1521</v>
      </c>
      <c r="I167" s="76" t="s">
        <v>1522</v>
      </c>
    </row>
    <row r="168" customFormat="false" ht="27.75" hidden="false" customHeight="true" outlineLevel="0" collapsed="false">
      <c r="A168" s="76" t="s">
        <v>188</v>
      </c>
      <c r="B168" s="76" t="s">
        <v>190</v>
      </c>
      <c r="C168" s="77" t="n">
        <v>46304</v>
      </c>
      <c r="D168" s="76" t="s">
        <v>1481</v>
      </c>
      <c r="E168" s="76" t="s">
        <v>192</v>
      </c>
      <c r="F168" s="76" t="s">
        <v>193</v>
      </c>
      <c r="G168" s="76" t="s">
        <v>403</v>
      </c>
      <c r="H168" s="76" t="s">
        <v>1494</v>
      </c>
      <c r="I168" s="76" t="s">
        <v>1523</v>
      </c>
    </row>
    <row r="169" customFormat="false" ht="27.75" hidden="false" customHeight="true" outlineLevel="0" collapsed="false">
      <c r="A169" s="76" t="s">
        <v>188</v>
      </c>
      <c r="B169" s="76" t="s">
        <v>190</v>
      </c>
      <c r="C169" s="77" t="n">
        <v>46304</v>
      </c>
      <c r="D169" s="76" t="s">
        <v>1481</v>
      </c>
      <c r="E169" s="76" t="s">
        <v>192</v>
      </c>
      <c r="F169" s="76" t="s">
        <v>193</v>
      </c>
      <c r="G169" s="76" t="s">
        <v>592</v>
      </c>
      <c r="H169" s="76" t="s">
        <v>1524</v>
      </c>
      <c r="I169" s="76" t="s">
        <v>1525</v>
      </c>
    </row>
    <row r="170" customFormat="false" ht="27.75" hidden="false" customHeight="true" outlineLevel="0" collapsed="false">
      <c r="A170" s="76" t="s">
        <v>188</v>
      </c>
      <c r="B170" s="76" t="s">
        <v>190</v>
      </c>
      <c r="C170" s="77" t="n">
        <v>46304</v>
      </c>
      <c r="D170" s="76" t="s">
        <v>1481</v>
      </c>
      <c r="E170" s="76" t="s">
        <v>192</v>
      </c>
      <c r="F170" s="76" t="s">
        <v>193</v>
      </c>
      <c r="G170" s="76" t="s">
        <v>410</v>
      </c>
      <c r="H170" s="76" t="s">
        <v>1526</v>
      </c>
      <c r="I170" s="76" t="s">
        <v>1527</v>
      </c>
    </row>
    <row r="171" customFormat="false" ht="27.75" hidden="false" customHeight="true" outlineLevel="0" collapsed="false">
      <c r="A171" s="76" t="s">
        <v>188</v>
      </c>
      <c r="B171" s="76" t="s">
        <v>190</v>
      </c>
      <c r="C171" s="77" t="n">
        <v>46304</v>
      </c>
      <c r="D171" s="76" t="s">
        <v>1481</v>
      </c>
      <c r="E171" s="76" t="s">
        <v>192</v>
      </c>
      <c r="F171" s="76" t="s">
        <v>193</v>
      </c>
      <c r="G171" s="76" t="s">
        <v>410</v>
      </c>
      <c r="H171" s="76" t="s">
        <v>1528</v>
      </c>
      <c r="I171" s="76" t="s">
        <v>1529</v>
      </c>
    </row>
    <row r="172" customFormat="false" ht="27.75" hidden="false" customHeight="true" outlineLevel="0" collapsed="false">
      <c r="A172" s="76" t="s">
        <v>188</v>
      </c>
      <c r="B172" s="76" t="s">
        <v>190</v>
      </c>
      <c r="C172" s="77" t="n">
        <v>46304</v>
      </c>
      <c r="D172" s="76" t="s">
        <v>1481</v>
      </c>
      <c r="E172" s="76" t="s">
        <v>192</v>
      </c>
      <c r="F172" s="76" t="s">
        <v>193</v>
      </c>
      <c r="G172" s="76" t="s">
        <v>597</v>
      </c>
      <c r="H172" s="76" t="s">
        <v>1530</v>
      </c>
      <c r="I172" s="76" t="s">
        <v>1531</v>
      </c>
    </row>
    <row r="173" customFormat="false" ht="27.75" hidden="false" customHeight="true" outlineLevel="0" collapsed="false">
      <c r="A173" s="76" t="s">
        <v>202</v>
      </c>
      <c r="B173" s="76" t="s">
        <v>204</v>
      </c>
      <c r="C173" s="77" t="n">
        <v>46305</v>
      </c>
      <c r="D173" s="76" t="s">
        <v>1492</v>
      </c>
      <c r="E173" s="76" t="s">
        <v>178</v>
      </c>
      <c r="F173" s="76" t="s">
        <v>205</v>
      </c>
      <c r="G173" s="76" t="s">
        <v>403</v>
      </c>
      <c r="H173" s="76" t="s">
        <v>1477</v>
      </c>
      <c r="I173" s="76" t="s">
        <v>1520</v>
      </c>
    </row>
    <row r="174" customFormat="false" ht="27.75" hidden="false" customHeight="true" outlineLevel="0" collapsed="false">
      <c r="A174" s="76" t="s">
        <v>202</v>
      </c>
      <c r="B174" s="76" t="s">
        <v>204</v>
      </c>
      <c r="C174" s="77" t="n">
        <v>46305</v>
      </c>
      <c r="D174" s="76" t="s">
        <v>1492</v>
      </c>
      <c r="E174" s="76" t="s">
        <v>178</v>
      </c>
      <c r="F174" s="76" t="s">
        <v>205</v>
      </c>
      <c r="G174" s="76" t="s">
        <v>410</v>
      </c>
      <c r="H174" s="76" t="s">
        <v>1479</v>
      </c>
      <c r="I174" s="76" t="s">
        <v>1532</v>
      </c>
    </row>
    <row r="175" customFormat="false" ht="27.75" hidden="false" customHeight="true" outlineLevel="0" collapsed="false">
      <c r="A175" s="76" t="s">
        <v>202</v>
      </c>
      <c r="B175" s="76" t="s">
        <v>204</v>
      </c>
      <c r="C175" s="77" t="n">
        <v>46305</v>
      </c>
      <c r="D175" s="76" t="s">
        <v>1492</v>
      </c>
      <c r="E175" s="76" t="s">
        <v>178</v>
      </c>
      <c r="F175" s="76" t="s">
        <v>205</v>
      </c>
      <c r="G175" s="76" t="s">
        <v>597</v>
      </c>
      <c r="H175" s="76" t="s">
        <v>1530</v>
      </c>
      <c r="I175" s="76" t="s">
        <v>1531</v>
      </c>
    </row>
    <row r="176" customFormat="false" ht="27.75" hidden="false" customHeight="true" outlineLevel="0" collapsed="false">
      <c r="A176" s="76" t="s">
        <v>208</v>
      </c>
      <c r="B176" s="76" t="s">
        <v>209</v>
      </c>
      <c r="C176" s="77" t="n">
        <v>46305</v>
      </c>
      <c r="D176" s="76" t="s">
        <v>1493</v>
      </c>
      <c r="E176" s="76" t="s">
        <v>192</v>
      </c>
      <c r="F176" s="76" t="s">
        <v>179</v>
      </c>
      <c r="G176" s="76" t="s">
        <v>403</v>
      </c>
      <c r="H176" s="76" t="s">
        <v>1521</v>
      </c>
      <c r="I176" s="76" t="s">
        <v>1533</v>
      </c>
    </row>
    <row r="177" customFormat="false" ht="27.75" hidden="false" customHeight="true" outlineLevel="0" collapsed="false">
      <c r="A177" s="76" t="s">
        <v>208</v>
      </c>
      <c r="B177" s="76" t="s">
        <v>209</v>
      </c>
      <c r="C177" s="77" t="n">
        <v>46305</v>
      </c>
      <c r="D177" s="76" t="s">
        <v>1493</v>
      </c>
      <c r="E177" s="76" t="s">
        <v>192</v>
      </c>
      <c r="F177" s="76" t="s">
        <v>179</v>
      </c>
      <c r="G177" s="76" t="s">
        <v>410</v>
      </c>
      <c r="H177" s="76" t="s">
        <v>1534</v>
      </c>
      <c r="I177" s="76" t="s">
        <v>1535</v>
      </c>
    </row>
    <row r="178" customFormat="false" ht="27.75" hidden="false" customHeight="true" outlineLevel="0" collapsed="false">
      <c r="A178" s="76" t="s">
        <v>221</v>
      </c>
      <c r="B178" s="76" t="s">
        <v>222</v>
      </c>
      <c r="C178" s="77" t="n">
        <v>46310</v>
      </c>
      <c r="D178" s="76" t="s">
        <v>1500</v>
      </c>
      <c r="E178" s="76" t="s">
        <v>192</v>
      </c>
      <c r="F178" s="76" t="s">
        <v>179</v>
      </c>
      <c r="G178" s="76" t="s">
        <v>410</v>
      </c>
      <c r="H178" s="76" t="s">
        <v>1534</v>
      </c>
      <c r="I178" s="76" t="s">
        <v>1536</v>
      </c>
    </row>
    <row r="179" customFormat="false" ht="27.75" hidden="false" customHeight="true" outlineLevel="0" collapsed="false">
      <c r="A179" s="76" t="s">
        <v>221</v>
      </c>
      <c r="B179" s="76" t="s">
        <v>222</v>
      </c>
      <c r="C179" s="77" t="n">
        <v>46310</v>
      </c>
      <c r="D179" s="76" t="s">
        <v>1500</v>
      </c>
      <c r="E179" s="76" t="s">
        <v>192</v>
      </c>
      <c r="F179" s="76" t="s">
        <v>179</v>
      </c>
      <c r="G179" s="76" t="s">
        <v>597</v>
      </c>
      <c r="H179" s="76" t="s">
        <v>1518</v>
      </c>
      <c r="I179" s="76" t="s">
        <v>1519</v>
      </c>
    </row>
    <row r="180" customFormat="false" ht="27.75" hidden="false" customHeight="true" outlineLevel="0" collapsed="false">
      <c r="A180" s="76" t="s">
        <v>225</v>
      </c>
      <c r="B180" s="76" t="s">
        <v>226</v>
      </c>
      <c r="C180" s="77" t="n">
        <v>46304</v>
      </c>
      <c r="D180" s="76" t="s">
        <v>1476</v>
      </c>
      <c r="E180" s="76" t="s">
        <v>192</v>
      </c>
      <c r="F180" s="76" t="s">
        <v>179</v>
      </c>
      <c r="G180" s="76" t="s">
        <v>410</v>
      </c>
      <c r="H180" s="76" t="s">
        <v>1534</v>
      </c>
      <c r="I180" s="76" t="s">
        <v>1536</v>
      </c>
    </row>
    <row r="181" customFormat="false" ht="27.75" hidden="false" customHeight="true" outlineLevel="0" collapsed="false">
      <c r="A181" s="76" t="s">
        <v>225</v>
      </c>
      <c r="B181" s="76" t="s">
        <v>226</v>
      </c>
      <c r="C181" s="77" t="n">
        <v>46304</v>
      </c>
      <c r="D181" s="76" t="s">
        <v>1476</v>
      </c>
      <c r="E181" s="76" t="s">
        <v>192</v>
      </c>
      <c r="F181" s="76" t="s">
        <v>179</v>
      </c>
      <c r="G181" s="76" t="s">
        <v>597</v>
      </c>
      <c r="H181" s="76" t="s">
        <v>1518</v>
      </c>
      <c r="I181" s="76" t="s">
        <v>1519</v>
      </c>
    </row>
    <row r="182" customFormat="false" ht="27.75" hidden="false" customHeight="true" outlineLevel="0" collapsed="false">
      <c r="A182" s="76" t="s">
        <v>228</v>
      </c>
      <c r="B182" s="76" t="s">
        <v>229</v>
      </c>
      <c r="C182" s="77" t="n">
        <v>46305</v>
      </c>
      <c r="D182" s="76" t="s">
        <v>1502</v>
      </c>
      <c r="E182" s="76" t="s">
        <v>178</v>
      </c>
      <c r="F182" s="76" t="s">
        <v>193</v>
      </c>
      <c r="G182" s="76" t="s">
        <v>403</v>
      </c>
      <c r="H182" s="76" t="s">
        <v>1477</v>
      </c>
      <c r="I182" s="76" t="s">
        <v>1537</v>
      </c>
    </row>
    <row r="183" customFormat="false" ht="27.75" hidden="false" customHeight="true" outlineLevel="0" collapsed="false">
      <c r="A183" s="76" t="s">
        <v>228</v>
      </c>
      <c r="B183" s="76" t="s">
        <v>229</v>
      </c>
      <c r="C183" s="77" t="n">
        <v>46305</v>
      </c>
      <c r="D183" s="76" t="s">
        <v>1502</v>
      </c>
      <c r="E183" s="76" t="s">
        <v>178</v>
      </c>
      <c r="F183" s="76" t="s">
        <v>193</v>
      </c>
      <c r="G183" s="76" t="s">
        <v>410</v>
      </c>
      <c r="H183" s="76" t="s">
        <v>1479</v>
      </c>
      <c r="I183" s="76" t="s">
        <v>1532</v>
      </c>
    </row>
    <row r="184" customFormat="false" ht="27.75" hidden="false" customHeight="true" outlineLevel="0" collapsed="false">
      <c r="A184" s="76" t="s">
        <v>228</v>
      </c>
      <c r="B184" s="76" t="s">
        <v>229</v>
      </c>
      <c r="C184" s="77" t="n">
        <v>46305</v>
      </c>
      <c r="D184" s="76" t="s">
        <v>1502</v>
      </c>
      <c r="E184" s="76" t="s">
        <v>178</v>
      </c>
      <c r="F184" s="76" t="s">
        <v>193</v>
      </c>
      <c r="G184" s="76" t="s">
        <v>597</v>
      </c>
      <c r="H184" s="76" t="s">
        <v>1530</v>
      </c>
      <c r="I184" s="76" t="s">
        <v>1531</v>
      </c>
    </row>
    <row r="185" customFormat="false" ht="27.75" hidden="false" customHeight="true" outlineLevel="0" collapsed="false">
      <c r="A185" s="76" t="s">
        <v>236</v>
      </c>
      <c r="B185" s="76" t="s">
        <v>238</v>
      </c>
      <c r="C185" s="77" t="n">
        <v>46306</v>
      </c>
      <c r="D185" s="76" t="s">
        <v>1503</v>
      </c>
      <c r="E185" s="76" t="s">
        <v>192</v>
      </c>
      <c r="F185" s="76" t="s">
        <v>193</v>
      </c>
      <c r="G185" s="76" t="s">
        <v>403</v>
      </c>
      <c r="H185" s="76" t="s">
        <v>1477</v>
      </c>
      <c r="I185" s="76" t="s">
        <v>1537</v>
      </c>
    </row>
    <row r="186" customFormat="false" ht="27.75" hidden="false" customHeight="true" outlineLevel="0" collapsed="false">
      <c r="A186" s="76" t="s">
        <v>236</v>
      </c>
      <c r="B186" s="76" t="s">
        <v>238</v>
      </c>
      <c r="C186" s="77" t="n">
        <v>46306</v>
      </c>
      <c r="D186" s="76" t="s">
        <v>1503</v>
      </c>
      <c r="E186" s="76" t="s">
        <v>192</v>
      </c>
      <c r="F186" s="76" t="s">
        <v>193</v>
      </c>
      <c r="G186" s="76" t="s">
        <v>403</v>
      </c>
      <c r="H186" s="76" t="s">
        <v>1521</v>
      </c>
      <c r="I186" s="76" t="s">
        <v>1538</v>
      </c>
    </row>
    <row r="187" customFormat="false" ht="27.75" hidden="false" customHeight="true" outlineLevel="0" collapsed="false">
      <c r="A187" s="76" t="s">
        <v>236</v>
      </c>
      <c r="B187" s="76" t="s">
        <v>238</v>
      </c>
      <c r="C187" s="77" t="n">
        <v>46306</v>
      </c>
      <c r="D187" s="76" t="s">
        <v>1503</v>
      </c>
      <c r="E187" s="76" t="s">
        <v>192</v>
      </c>
      <c r="F187" s="76" t="s">
        <v>193</v>
      </c>
      <c r="G187" s="76" t="s">
        <v>403</v>
      </c>
      <c r="H187" s="76" t="s">
        <v>1494</v>
      </c>
      <c r="I187" s="76" t="s">
        <v>1539</v>
      </c>
    </row>
    <row r="188" customFormat="false" ht="27.75" hidden="false" customHeight="true" outlineLevel="0" collapsed="false">
      <c r="A188" s="76" t="s">
        <v>236</v>
      </c>
      <c r="B188" s="76" t="s">
        <v>238</v>
      </c>
      <c r="C188" s="77" t="n">
        <v>46306</v>
      </c>
      <c r="D188" s="76" t="s">
        <v>1503</v>
      </c>
      <c r="E188" s="76" t="s">
        <v>192</v>
      </c>
      <c r="F188" s="76" t="s">
        <v>193</v>
      </c>
      <c r="G188" s="76" t="s">
        <v>592</v>
      </c>
      <c r="H188" s="76" t="s">
        <v>1524</v>
      </c>
      <c r="I188" s="76" t="s">
        <v>1540</v>
      </c>
    </row>
    <row r="189" customFormat="false" ht="27.75" hidden="false" customHeight="true" outlineLevel="0" collapsed="false">
      <c r="A189" s="76" t="s">
        <v>236</v>
      </c>
      <c r="B189" s="76" t="s">
        <v>238</v>
      </c>
      <c r="C189" s="77" t="n">
        <v>46306</v>
      </c>
      <c r="D189" s="76" t="s">
        <v>1503</v>
      </c>
      <c r="E189" s="76" t="s">
        <v>192</v>
      </c>
      <c r="F189" s="76" t="s">
        <v>193</v>
      </c>
      <c r="G189" s="76" t="s">
        <v>410</v>
      </c>
      <c r="H189" s="76" t="s">
        <v>1526</v>
      </c>
      <c r="I189" s="76" t="s">
        <v>1541</v>
      </c>
    </row>
    <row r="190" customFormat="false" ht="27.75" hidden="false" customHeight="true" outlineLevel="0" collapsed="false">
      <c r="A190" s="76" t="s">
        <v>236</v>
      </c>
      <c r="B190" s="76" t="s">
        <v>238</v>
      </c>
      <c r="C190" s="77" t="n">
        <v>46306</v>
      </c>
      <c r="D190" s="76" t="s">
        <v>1503</v>
      </c>
      <c r="E190" s="76" t="s">
        <v>192</v>
      </c>
      <c r="F190" s="76" t="s">
        <v>193</v>
      </c>
      <c r="G190" s="76" t="s">
        <v>410</v>
      </c>
      <c r="H190" s="76" t="s">
        <v>1528</v>
      </c>
      <c r="I190" s="76" t="s">
        <v>1542</v>
      </c>
    </row>
    <row r="191" customFormat="false" ht="27.75" hidden="false" customHeight="true" outlineLevel="0" collapsed="false">
      <c r="A191" s="76" t="s">
        <v>236</v>
      </c>
      <c r="B191" s="76" t="s">
        <v>238</v>
      </c>
      <c r="C191" s="77" t="n">
        <v>46306</v>
      </c>
      <c r="D191" s="76" t="s">
        <v>1503</v>
      </c>
      <c r="E191" s="76" t="s">
        <v>192</v>
      </c>
      <c r="F191" s="76" t="s">
        <v>193</v>
      </c>
      <c r="G191" s="76" t="s">
        <v>597</v>
      </c>
      <c r="H191" s="76" t="s">
        <v>1530</v>
      </c>
      <c r="I191" s="76" t="s">
        <v>1531</v>
      </c>
    </row>
    <row r="192" customFormat="false" ht="27.75" hidden="false" customHeight="true" outlineLevel="0" collapsed="false">
      <c r="A192" s="76" t="s">
        <v>241</v>
      </c>
      <c r="B192" s="76" t="s">
        <v>243</v>
      </c>
      <c r="C192" s="77" t="n">
        <v>46307</v>
      </c>
      <c r="D192" s="76" t="s">
        <v>1504</v>
      </c>
      <c r="E192" s="76" t="s">
        <v>192</v>
      </c>
      <c r="F192" s="76" t="s">
        <v>193</v>
      </c>
      <c r="G192" s="76" t="s">
        <v>403</v>
      </c>
      <c r="H192" s="76" t="s">
        <v>1477</v>
      </c>
      <c r="I192" s="76" t="s">
        <v>1543</v>
      </c>
    </row>
    <row r="193" customFormat="false" ht="27.75" hidden="false" customHeight="true" outlineLevel="0" collapsed="false">
      <c r="A193" s="76" t="s">
        <v>241</v>
      </c>
      <c r="B193" s="76" t="s">
        <v>243</v>
      </c>
      <c r="C193" s="77" t="n">
        <v>46307</v>
      </c>
      <c r="D193" s="76" t="s">
        <v>1504</v>
      </c>
      <c r="E193" s="76" t="s">
        <v>192</v>
      </c>
      <c r="F193" s="76" t="s">
        <v>193</v>
      </c>
      <c r="G193" s="76" t="s">
        <v>403</v>
      </c>
      <c r="H193" s="76" t="s">
        <v>1521</v>
      </c>
      <c r="I193" s="76" t="s">
        <v>1544</v>
      </c>
    </row>
    <row r="194" customFormat="false" ht="27.75" hidden="false" customHeight="true" outlineLevel="0" collapsed="false">
      <c r="A194" s="76" t="s">
        <v>241</v>
      </c>
      <c r="B194" s="76" t="s">
        <v>243</v>
      </c>
      <c r="C194" s="77" t="n">
        <v>46307</v>
      </c>
      <c r="D194" s="76" t="s">
        <v>1504</v>
      </c>
      <c r="E194" s="76" t="s">
        <v>192</v>
      </c>
      <c r="F194" s="76" t="s">
        <v>193</v>
      </c>
      <c r="G194" s="76" t="s">
        <v>403</v>
      </c>
      <c r="H194" s="76" t="s">
        <v>1494</v>
      </c>
      <c r="I194" s="76" t="s">
        <v>1545</v>
      </c>
    </row>
    <row r="195" customFormat="false" ht="27.75" hidden="false" customHeight="true" outlineLevel="0" collapsed="false">
      <c r="A195" s="76" t="s">
        <v>241</v>
      </c>
      <c r="B195" s="76" t="s">
        <v>243</v>
      </c>
      <c r="C195" s="77" t="n">
        <v>46307</v>
      </c>
      <c r="D195" s="76" t="s">
        <v>1504</v>
      </c>
      <c r="E195" s="76" t="s">
        <v>192</v>
      </c>
      <c r="F195" s="76" t="s">
        <v>193</v>
      </c>
      <c r="G195" s="76" t="s">
        <v>462</v>
      </c>
      <c r="H195" s="76" t="s">
        <v>1486</v>
      </c>
      <c r="I195" s="76" t="s">
        <v>1546</v>
      </c>
    </row>
    <row r="196" customFormat="false" ht="27.75" hidden="false" customHeight="true" outlineLevel="0" collapsed="false">
      <c r="A196" s="76" t="s">
        <v>241</v>
      </c>
      <c r="B196" s="76" t="s">
        <v>243</v>
      </c>
      <c r="C196" s="77" t="n">
        <v>46307</v>
      </c>
      <c r="D196" s="76" t="s">
        <v>1504</v>
      </c>
      <c r="E196" s="76" t="s">
        <v>192</v>
      </c>
      <c r="F196" s="76" t="s">
        <v>193</v>
      </c>
      <c r="G196" s="76" t="s">
        <v>462</v>
      </c>
      <c r="H196" s="76" t="s">
        <v>1547</v>
      </c>
      <c r="I196" s="76" t="s">
        <v>1548</v>
      </c>
    </row>
    <row r="197" customFormat="false" ht="27.75" hidden="false" customHeight="true" outlineLevel="0" collapsed="false">
      <c r="A197" s="76" t="s">
        <v>241</v>
      </c>
      <c r="B197" s="76" t="s">
        <v>243</v>
      </c>
      <c r="C197" s="77" t="n">
        <v>46307</v>
      </c>
      <c r="D197" s="76" t="s">
        <v>1504</v>
      </c>
      <c r="E197" s="76" t="s">
        <v>192</v>
      </c>
      <c r="F197" s="76" t="s">
        <v>193</v>
      </c>
      <c r="G197" s="76" t="s">
        <v>592</v>
      </c>
      <c r="H197" s="76" t="s">
        <v>1524</v>
      </c>
      <c r="I197" s="76" t="s">
        <v>1549</v>
      </c>
    </row>
    <row r="198" customFormat="false" ht="27.75" hidden="false" customHeight="true" outlineLevel="0" collapsed="false">
      <c r="A198" s="76" t="s">
        <v>241</v>
      </c>
      <c r="B198" s="76" t="s">
        <v>243</v>
      </c>
      <c r="C198" s="77" t="n">
        <v>46307</v>
      </c>
      <c r="D198" s="76" t="s">
        <v>1504</v>
      </c>
      <c r="E198" s="76" t="s">
        <v>192</v>
      </c>
      <c r="F198" s="76" t="s">
        <v>193</v>
      </c>
      <c r="G198" s="76" t="s">
        <v>410</v>
      </c>
      <c r="H198" s="76" t="s">
        <v>1526</v>
      </c>
      <c r="I198" s="76" t="s">
        <v>1550</v>
      </c>
    </row>
    <row r="199" customFormat="false" ht="27.75" hidden="false" customHeight="true" outlineLevel="0" collapsed="false">
      <c r="A199" s="76" t="s">
        <v>241</v>
      </c>
      <c r="B199" s="76" t="s">
        <v>243</v>
      </c>
      <c r="C199" s="77" t="n">
        <v>46307</v>
      </c>
      <c r="D199" s="76" t="s">
        <v>1504</v>
      </c>
      <c r="E199" s="76" t="s">
        <v>192</v>
      </c>
      <c r="F199" s="76" t="s">
        <v>193</v>
      </c>
      <c r="G199" s="76" t="s">
        <v>410</v>
      </c>
      <c r="H199" s="76" t="s">
        <v>1528</v>
      </c>
      <c r="I199" s="76" t="s">
        <v>1551</v>
      </c>
    </row>
    <row r="200" customFormat="false" ht="27.75" hidden="false" customHeight="true" outlineLevel="0" collapsed="false">
      <c r="A200" s="76" t="s">
        <v>241</v>
      </c>
      <c r="B200" s="76" t="s">
        <v>243</v>
      </c>
      <c r="C200" s="77" t="n">
        <v>46307</v>
      </c>
      <c r="D200" s="76" t="s">
        <v>1504</v>
      </c>
      <c r="E200" s="76" t="s">
        <v>192</v>
      </c>
      <c r="F200" s="76" t="s">
        <v>193</v>
      </c>
      <c r="G200" s="76" t="s">
        <v>597</v>
      </c>
      <c r="H200" s="76" t="s">
        <v>1530</v>
      </c>
      <c r="I200" s="76" t="s">
        <v>1531</v>
      </c>
    </row>
    <row r="201" customFormat="false" ht="27.75" hidden="false" customHeight="true" outlineLevel="0" collapsed="false">
      <c r="A201" s="76" t="s">
        <v>248</v>
      </c>
      <c r="B201" s="76" t="s">
        <v>249</v>
      </c>
      <c r="C201" s="77" t="n">
        <v>46307</v>
      </c>
      <c r="D201" s="76" t="s">
        <v>1505</v>
      </c>
      <c r="E201" s="76" t="s">
        <v>178</v>
      </c>
      <c r="F201" s="76" t="s">
        <v>193</v>
      </c>
      <c r="G201" s="76" t="s">
        <v>403</v>
      </c>
      <c r="H201" s="76" t="s">
        <v>1477</v>
      </c>
      <c r="I201" s="76" t="s">
        <v>1543</v>
      </c>
    </row>
    <row r="202" customFormat="false" ht="27.75" hidden="false" customHeight="true" outlineLevel="0" collapsed="false">
      <c r="A202" s="76" t="s">
        <v>248</v>
      </c>
      <c r="B202" s="76" t="s">
        <v>249</v>
      </c>
      <c r="C202" s="77" t="n">
        <v>46307</v>
      </c>
      <c r="D202" s="76" t="s">
        <v>1505</v>
      </c>
      <c r="E202" s="76" t="s">
        <v>178</v>
      </c>
      <c r="F202" s="76" t="s">
        <v>193</v>
      </c>
      <c r="G202" s="76" t="s">
        <v>410</v>
      </c>
      <c r="H202" s="76" t="s">
        <v>1479</v>
      </c>
      <c r="I202" s="76" t="s">
        <v>1532</v>
      </c>
    </row>
    <row r="203" customFormat="false" ht="27.75" hidden="false" customHeight="true" outlineLevel="0" collapsed="false">
      <c r="A203" s="76" t="s">
        <v>248</v>
      </c>
      <c r="B203" s="76" t="s">
        <v>249</v>
      </c>
      <c r="C203" s="77" t="n">
        <v>46307</v>
      </c>
      <c r="D203" s="76" t="s">
        <v>1505</v>
      </c>
      <c r="E203" s="76" t="s">
        <v>178</v>
      </c>
      <c r="F203" s="76" t="s">
        <v>193</v>
      </c>
      <c r="G203" s="76" t="s">
        <v>597</v>
      </c>
      <c r="H203" s="76" t="s">
        <v>1530</v>
      </c>
      <c r="I203" s="76" t="s">
        <v>1531</v>
      </c>
    </row>
    <row r="204" customFormat="false" ht="27.75" hidden="false" customHeight="true" outlineLevel="0" collapsed="false">
      <c r="A204" s="76" t="s">
        <v>251</v>
      </c>
      <c r="B204" s="76" t="s">
        <v>252</v>
      </c>
      <c r="C204" s="77" t="n">
        <v>46307</v>
      </c>
      <c r="D204" s="76" t="s">
        <v>1506</v>
      </c>
      <c r="E204" s="76" t="s">
        <v>192</v>
      </c>
      <c r="F204" s="76" t="s">
        <v>254</v>
      </c>
      <c r="G204" s="76" t="s">
        <v>403</v>
      </c>
      <c r="H204" s="76" t="s">
        <v>1521</v>
      </c>
      <c r="I204" s="76" t="s">
        <v>1552</v>
      </c>
    </row>
    <row r="205" customFormat="false" ht="27.75" hidden="false" customHeight="true" outlineLevel="0" collapsed="false">
      <c r="A205" s="76" t="s">
        <v>251</v>
      </c>
      <c r="B205" s="76" t="s">
        <v>252</v>
      </c>
      <c r="C205" s="77" t="n">
        <v>46307</v>
      </c>
      <c r="D205" s="76" t="s">
        <v>1506</v>
      </c>
      <c r="E205" s="76" t="s">
        <v>192</v>
      </c>
      <c r="F205" s="76" t="s">
        <v>254</v>
      </c>
      <c r="G205" s="76" t="s">
        <v>410</v>
      </c>
      <c r="H205" s="76" t="s">
        <v>1534</v>
      </c>
      <c r="I205" s="76" t="s">
        <v>1553</v>
      </c>
    </row>
    <row r="206" customFormat="false" ht="27.75" hidden="false" customHeight="true" outlineLevel="0" collapsed="false">
      <c r="A206" s="76" t="s">
        <v>266</v>
      </c>
      <c r="B206" s="76" t="s">
        <v>267</v>
      </c>
      <c r="C206" s="77" t="n">
        <v>46310</v>
      </c>
      <c r="D206" s="76" t="s">
        <v>1500</v>
      </c>
      <c r="E206" s="76" t="s">
        <v>178</v>
      </c>
      <c r="F206" s="76" t="s">
        <v>179</v>
      </c>
      <c r="G206" s="76" t="s">
        <v>597</v>
      </c>
      <c r="H206" s="76" t="s">
        <v>1518</v>
      </c>
      <c r="I206" s="76" t="s">
        <v>1519</v>
      </c>
    </row>
    <row r="207" customFormat="false" ht="27.75" hidden="false" customHeight="true" outlineLevel="0" collapsed="false">
      <c r="A207" s="76" t="s">
        <v>268</v>
      </c>
      <c r="B207" s="76" t="s">
        <v>226</v>
      </c>
      <c r="C207" s="77" t="n">
        <v>46320</v>
      </c>
      <c r="D207" s="76" t="s">
        <v>1476</v>
      </c>
      <c r="E207" s="76" t="s">
        <v>178</v>
      </c>
      <c r="F207" s="76" t="s">
        <v>179</v>
      </c>
      <c r="G207" s="76" t="s">
        <v>597</v>
      </c>
      <c r="H207" s="76" t="s">
        <v>1518</v>
      </c>
      <c r="I207" s="76" t="s">
        <v>1519</v>
      </c>
    </row>
    <row r="208" customFormat="false" ht="27.75" hidden="false" customHeight="true" outlineLevel="0" collapsed="false">
      <c r="A208" s="76" t="s">
        <v>270</v>
      </c>
      <c r="B208" s="76" t="s">
        <v>271</v>
      </c>
      <c r="C208" s="77" t="n">
        <v>46321</v>
      </c>
      <c r="D208" s="76" t="s">
        <v>1509</v>
      </c>
      <c r="E208" s="76" t="s">
        <v>178</v>
      </c>
      <c r="F208" s="76" t="s">
        <v>193</v>
      </c>
      <c r="G208" s="76" t="s">
        <v>403</v>
      </c>
      <c r="H208" s="76" t="s">
        <v>1477</v>
      </c>
      <c r="I208" s="76" t="s">
        <v>1554</v>
      </c>
    </row>
    <row r="209" customFormat="false" ht="27.75" hidden="false" customHeight="true" outlineLevel="0" collapsed="false">
      <c r="A209" s="76" t="s">
        <v>280</v>
      </c>
      <c r="B209" s="76" t="s">
        <v>282</v>
      </c>
      <c r="C209" s="77" t="n">
        <v>46322</v>
      </c>
      <c r="D209" s="76" t="s">
        <v>1511</v>
      </c>
      <c r="E209" s="76" t="s">
        <v>192</v>
      </c>
      <c r="F209" s="76" t="s">
        <v>193</v>
      </c>
      <c r="G209" s="76" t="s">
        <v>403</v>
      </c>
      <c r="H209" s="76" t="s">
        <v>1477</v>
      </c>
      <c r="I209" s="76" t="s">
        <v>1554</v>
      </c>
    </row>
    <row r="210" customFormat="false" ht="27.75" hidden="false" customHeight="true" outlineLevel="0" collapsed="false">
      <c r="A210" s="76" t="s">
        <v>280</v>
      </c>
      <c r="B210" s="76" t="s">
        <v>282</v>
      </c>
      <c r="C210" s="77" t="n">
        <v>46322</v>
      </c>
      <c r="D210" s="76" t="s">
        <v>1511</v>
      </c>
      <c r="E210" s="76" t="s">
        <v>192</v>
      </c>
      <c r="F210" s="76" t="s">
        <v>193</v>
      </c>
      <c r="G210" s="76" t="s">
        <v>403</v>
      </c>
      <c r="H210" s="76" t="s">
        <v>1521</v>
      </c>
      <c r="I210" s="76" t="s">
        <v>1555</v>
      </c>
    </row>
    <row r="211" customFormat="false" ht="27.75" hidden="false" customHeight="true" outlineLevel="0" collapsed="false">
      <c r="A211" s="76" t="s">
        <v>280</v>
      </c>
      <c r="B211" s="76" t="s">
        <v>282</v>
      </c>
      <c r="C211" s="77" t="n">
        <v>46322</v>
      </c>
      <c r="D211" s="76" t="s">
        <v>1511</v>
      </c>
      <c r="E211" s="76" t="s">
        <v>192</v>
      </c>
      <c r="F211" s="76" t="s">
        <v>193</v>
      </c>
      <c r="G211" s="76" t="s">
        <v>592</v>
      </c>
      <c r="H211" s="76" t="s">
        <v>1524</v>
      </c>
      <c r="I211" s="76" t="s">
        <v>1556</v>
      </c>
    </row>
    <row r="212" customFormat="false" ht="27.75" hidden="false" customHeight="true" outlineLevel="0" collapsed="false">
      <c r="A212" s="76" t="s">
        <v>280</v>
      </c>
      <c r="B212" s="76" t="s">
        <v>282</v>
      </c>
      <c r="C212" s="77" t="n">
        <v>46322</v>
      </c>
      <c r="D212" s="76" t="s">
        <v>1511</v>
      </c>
      <c r="E212" s="76" t="s">
        <v>192</v>
      </c>
      <c r="F212" s="76" t="s">
        <v>193</v>
      </c>
      <c r="G212" s="76" t="s">
        <v>410</v>
      </c>
      <c r="H212" s="76" t="s">
        <v>1526</v>
      </c>
      <c r="I212" s="76" t="s">
        <v>1557</v>
      </c>
    </row>
    <row r="213" customFormat="false" ht="27.75" hidden="false" customHeight="true" outlineLevel="0" collapsed="false">
      <c r="A213" s="76" t="s">
        <v>280</v>
      </c>
      <c r="B213" s="76" t="s">
        <v>282</v>
      </c>
      <c r="C213" s="77" t="n">
        <v>46322</v>
      </c>
      <c r="D213" s="76" t="s">
        <v>1511</v>
      </c>
      <c r="E213" s="76" t="s">
        <v>192</v>
      </c>
      <c r="F213" s="76" t="s">
        <v>193</v>
      </c>
      <c r="G213" s="76" t="s">
        <v>410</v>
      </c>
      <c r="H213" s="76" t="s">
        <v>1528</v>
      </c>
      <c r="I213" s="76" t="s">
        <v>1558</v>
      </c>
    </row>
    <row r="214" customFormat="false" ht="27.75" hidden="false" customHeight="true" outlineLevel="0" collapsed="false">
      <c r="A214" s="76" t="s">
        <v>283</v>
      </c>
      <c r="B214" s="76" t="s">
        <v>284</v>
      </c>
      <c r="C214" s="77" t="n">
        <v>46322</v>
      </c>
      <c r="D214" s="76" t="s">
        <v>1513</v>
      </c>
      <c r="E214" s="76" t="s">
        <v>192</v>
      </c>
      <c r="F214" s="76" t="s">
        <v>205</v>
      </c>
      <c r="G214" s="76" t="s">
        <v>403</v>
      </c>
      <c r="H214" s="76" t="s">
        <v>1477</v>
      </c>
      <c r="I214" s="76" t="s">
        <v>1559</v>
      </c>
    </row>
    <row r="215" customFormat="false" ht="27.75" hidden="false" customHeight="true" outlineLevel="0" collapsed="false">
      <c r="A215" s="76" t="s">
        <v>283</v>
      </c>
      <c r="B215" s="76" t="s">
        <v>284</v>
      </c>
      <c r="C215" s="77" t="n">
        <v>46322</v>
      </c>
      <c r="D215" s="76" t="s">
        <v>1513</v>
      </c>
      <c r="E215" s="76" t="s">
        <v>192</v>
      </c>
      <c r="F215" s="76" t="s">
        <v>205</v>
      </c>
      <c r="G215" s="76" t="s">
        <v>403</v>
      </c>
      <c r="H215" s="76" t="s">
        <v>1521</v>
      </c>
      <c r="I215" s="76" t="s">
        <v>1560</v>
      </c>
    </row>
    <row r="216" customFormat="false" ht="27.75" hidden="false" customHeight="true" outlineLevel="0" collapsed="false">
      <c r="A216" s="76" t="s">
        <v>283</v>
      </c>
      <c r="B216" s="76" t="s">
        <v>284</v>
      </c>
      <c r="C216" s="77" t="n">
        <v>46322</v>
      </c>
      <c r="D216" s="76" t="s">
        <v>1513</v>
      </c>
      <c r="E216" s="76" t="s">
        <v>192</v>
      </c>
      <c r="F216" s="76" t="s">
        <v>205</v>
      </c>
      <c r="G216" s="76" t="s">
        <v>410</v>
      </c>
      <c r="H216" s="76" t="s">
        <v>1534</v>
      </c>
      <c r="I216" s="76" t="s">
        <v>1561</v>
      </c>
    </row>
    <row r="217" customFormat="false" ht="27.75" hidden="false" customHeight="true" outlineLevel="0" collapsed="false">
      <c r="A217" s="76" t="s">
        <v>291</v>
      </c>
      <c r="B217" s="76" t="s">
        <v>292</v>
      </c>
      <c r="C217" s="77" t="n">
        <v>46324</v>
      </c>
      <c r="D217" s="76" t="s">
        <v>1514</v>
      </c>
      <c r="E217" s="76" t="s">
        <v>178</v>
      </c>
      <c r="F217" s="76" t="s">
        <v>205</v>
      </c>
      <c r="G217" s="76" t="s">
        <v>403</v>
      </c>
      <c r="H217" s="76" t="s">
        <v>1477</v>
      </c>
      <c r="I217" s="76" t="s">
        <v>1559</v>
      </c>
    </row>
    <row r="218" customFormat="false" ht="27.75" hidden="false" customHeight="true" outlineLevel="0" collapsed="false">
      <c r="A218" s="76" t="s">
        <v>294</v>
      </c>
      <c r="B218" s="76" t="s">
        <v>295</v>
      </c>
      <c r="C218" s="77" t="n">
        <v>46324</v>
      </c>
      <c r="D218" s="76" t="s">
        <v>1515</v>
      </c>
      <c r="E218" s="76" t="s">
        <v>178</v>
      </c>
      <c r="F218" s="76" t="s">
        <v>193</v>
      </c>
      <c r="G218" s="76" t="s">
        <v>403</v>
      </c>
      <c r="H218" s="76" t="s">
        <v>1477</v>
      </c>
      <c r="I218" s="76" t="s">
        <v>1562</v>
      </c>
    </row>
    <row r="219" customFormat="false" ht="27.75" hidden="false" customHeight="true" outlineLevel="0" collapsed="false">
      <c r="A219" s="76" t="s">
        <v>294</v>
      </c>
      <c r="B219" s="76" t="s">
        <v>295</v>
      </c>
      <c r="C219" s="77" t="n">
        <v>46324</v>
      </c>
      <c r="D219" s="76" t="s">
        <v>1515</v>
      </c>
      <c r="E219" s="76" t="s">
        <v>178</v>
      </c>
      <c r="F219" s="76" t="s">
        <v>193</v>
      </c>
      <c r="G219" s="76" t="s">
        <v>410</v>
      </c>
      <c r="H219" s="76" t="s">
        <v>1479</v>
      </c>
      <c r="I219" s="76" t="s">
        <v>1532</v>
      </c>
    </row>
    <row r="220" customFormat="false" ht="27.75" hidden="false" customHeight="true" outlineLevel="0" collapsed="false">
      <c r="A220" s="76" t="s">
        <v>294</v>
      </c>
      <c r="B220" s="76" t="s">
        <v>295</v>
      </c>
      <c r="C220" s="77" t="n">
        <v>46324</v>
      </c>
      <c r="D220" s="76" t="s">
        <v>1515</v>
      </c>
      <c r="E220" s="76" t="s">
        <v>178</v>
      </c>
      <c r="F220" s="76" t="s">
        <v>193</v>
      </c>
      <c r="G220" s="76" t="s">
        <v>597</v>
      </c>
      <c r="H220" s="76" t="s">
        <v>1530</v>
      </c>
      <c r="I220" s="76" t="s">
        <v>1531</v>
      </c>
    </row>
    <row r="221" customFormat="false" ht="27.75" hidden="false" customHeight="true" outlineLevel="0" collapsed="false">
      <c r="A221" s="76" t="s">
        <v>300</v>
      </c>
      <c r="B221" s="76" t="s">
        <v>301</v>
      </c>
      <c r="C221" s="77" t="n">
        <v>46325</v>
      </c>
      <c r="D221" s="76" t="s">
        <v>1516</v>
      </c>
      <c r="E221" s="76" t="s">
        <v>192</v>
      </c>
      <c r="F221" s="76" t="s">
        <v>193</v>
      </c>
      <c r="G221" s="76" t="s">
        <v>403</v>
      </c>
      <c r="H221" s="76" t="s">
        <v>1477</v>
      </c>
      <c r="I221" s="76" t="s">
        <v>1562</v>
      </c>
    </row>
    <row r="222" customFormat="false" ht="27.75" hidden="false" customHeight="true" outlineLevel="0" collapsed="false">
      <c r="A222" s="76" t="s">
        <v>300</v>
      </c>
      <c r="B222" s="76" t="s">
        <v>301</v>
      </c>
      <c r="C222" s="77" t="n">
        <v>46325</v>
      </c>
      <c r="D222" s="76" t="s">
        <v>1516</v>
      </c>
      <c r="E222" s="76" t="s">
        <v>192</v>
      </c>
      <c r="F222" s="76" t="s">
        <v>193</v>
      </c>
      <c r="G222" s="76" t="s">
        <v>403</v>
      </c>
      <c r="H222" s="76" t="s">
        <v>1521</v>
      </c>
      <c r="I222" s="76" t="s">
        <v>1563</v>
      </c>
    </row>
    <row r="223" customFormat="false" ht="27.75" hidden="false" customHeight="true" outlineLevel="0" collapsed="false">
      <c r="A223" s="76" t="s">
        <v>300</v>
      </c>
      <c r="B223" s="76" t="s">
        <v>301</v>
      </c>
      <c r="C223" s="77" t="n">
        <v>46325</v>
      </c>
      <c r="D223" s="76" t="s">
        <v>1516</v>
      </c>
      <c r="E223" s="76" t="s">
        <v>192</v>
      </c>
      <c r="F223" s="76" t="s">
        <v>193</v>
      </c>
      <c r="G223" s="76" t="s">
        <v>403</v>
      </c>
      <c r="H223" s="76" t="s">
        <v>1494</v>
      </c>
      <c r="I223" s="76" t="s">
        <v>1564</v>
      </c>
    </row>
    <row r="224" customFormat="false" ht="27.75" hidden="false" customHeight="true" outlineLevel="0" collapsed="false">
      <c r="A224" s="76" t="s">
        <v>300</v>
      </c>
      <c r="B224" s="76" t="s">
        <v>301</v>
      </c>
      <c r="C224" s="77" t="n">
        <v>46325</v>
      </c>
      <c r="D224" s="76" t="s">
        <v>1516</v>
      </c>
      <c r="E224" s="76" t="s">
        <v>192</v>
      </c>
      <c r="F224" s="76" t="s">
        <v>193</v>
      </c>
      <c r="G224" s="76" t="s">
        <v>462</v>
      </c>
      <c r="H224" s="76" t="s">
        <v>1486</v>
      </c>
      <c r="I224" s="76" t="s">
        <v>1565</v>
      </c>
    </row>
    <row r="225" customFormat="false" ht="27.75" hidden="false" customHeight="true" outlineLevel="0" collapsed="false">
      <c r="A225" s="76" t="s">
        <v>300</v>
      </c>
      <c r="B225" s="76" t="s">
        <v>301</v>
      </c>
      <c r="C225" s="77" t="n">
        <v>46325</v>
      </c>
      <c r="D225" s="76" t="s">
        <v>1516</v>
      </c>
      <c r="E225" s="76" t="s">
        <v>192</v>
      </c>
      <c r="F225" s="76" t="s">
        <v>193</v>
      </c>
      <c r="G225" s="76" t="s">
        <v>462</v>
      </c>
      <c r="H225" s="76" t="s">
        <v>1547</v>
      </c>
      <c r="I225" s="76" t="s">
        <v>1566</v>
      </c>
    </row>
    <row r="226" customFormat="false" ht="27.75" hidden="false" customHeight="true" outlineLevel="0" collapsed="false">
      <c r="A226" s="76" t="s">
        <v>300</v>
      </c>
      <c r="B226" s="76" t="s">
        <v>301</v>
      </c>
      <c r="C226" s="77" t="n">
        <v>46325</v>
      </c>
      <c r="D226" s="76" t="s">
        <v>1516</v>
      </c>
      <c r="E226" s="76" t="s">
        <v>192</v>
      </c>
      <c r="F226" s="76" t="s">
        <v>193</v>
      </c>
      <c r="G226" s="76" t="s">
        <v>592</v>
      </c>
      <c r="H226" s="76" t="s">
        <v>1524</v>
      </c>
      <c r="I226" s="76" t="s">
        <v>1567</v>
      </c>
    </row>
    <row r="227" customFormat="false" ht="27.75" hidden="false" customHeight="true" outlineLevel="0" collapsed="false">
      <c r="A227" s="76" t="s">
        <v>300</v>
      </c>
      <c r="B227" s="76" t="s">
        <v>301</v>
      </c>
      <c r="C227" s="77" t="n">
        <v>46325</v>
      </c>
      <c r="D227" s="76" t="s">
        <v>1516</v>
      </c>
      <c r="E227" s="76" t="s">
        <v>192</v>
      </c>
      <c r="F227" s="76" t="s">
        <v>193</v>
      </c>
      <c r="G227" s="76" t="s">
        <v>410</v>
      </c>
      <c r="H227" s="76" t="s">
        <v>1526</v>
      </c>
      <c r="I227" s="76" t="s">
        <v>1568</v>
      </c>
    </row>
    <row r="228" customFormat="false" ht="27.75" hidden="false" customHeight="true" outlineLevel="0" collapsed="false">
      <c r="A228" s="76" t="s">
        <v>300</v>
      </c>
      <c r="B228" s="76" t="s">
        <v>301</v>
      </c>
      <c r="C228" s="77" t="n">
        <v>46325</v>
      </c>
      <c r="D228" s="76" t="s">
        <v>1516</v>
      </c>
      <c r="E228" s="76" t="s">
        <v>192</v>
      </c>
      <c r="F228" s="76" t="s">
        <v>193</v>
      </c>
      <c r="G228" s="76" t="s">
        <v>410</v>
      </c>
      <c r="H228" s="76" t="s">
        <v>1528</v>
      </c>
      <c r="I228" s="76" t="s">
        <v>1569</v>
      </c>
    </row>
    <row r="229" customFormat="false" ht="27.75" hidden="false" customHeight="true" outlineLevel="0" collapsed="false">
      <c r="A229" s="76" t="s">
        <v>300</v>
      </c>
      <c r="B229" s="76" t="s">
        <v>301</v>
      </c>
      <c r="C229" s="77" t="n">
        <v>46325</v>
      </c>
      <c r="D229" s="76" t="s">
        <v>1516</v>
      </c>
      <c r="E229" s="76" t="s">
        <v>192</v>
      </c>
      <c r="F229" s="76" t="s">
        <v>193</v>
      </c>
      <c r="G229" s="76" t="s">
        <v>597</v>
      </c>
      <c r="H229" s="76" t="s">
        <v>1530</v>
      </c>
      <c r="I229" s="76" t="s">
        <v>1531</v>
      </c>
    </row>
    <row r="230" customFormat="false" ht="27.75" hidden="false" customHeight="true" outlineLevel="0" collapsed="false">
      <c r="A230" s="76" t="s">
        <v>302</v>
      </c>
      <c r="B230" s="76" t="s">
        <v>222</v>
      </c>
      <c r="C230" s="77" t="n">
        <v>46325</v>
      </c>
      <c r="D230" s="76" t="s">
        <v>1500</v>
      </c>
      <c r="E230" s="76" t="s">
        <v>192</v>
      </c>
      <c r="F230" s="76" t="s">
        <v>179</v>
      </c>
      <c r="G230" s="76" t="s">
        <v>410</v>
      </c>
      <c r="H230" s="76" t="s">
        <v>1534</v>
      </c>
      <c r="I230" s="76" t="s">
        <v>1536</v>
      </c>
    </row>
    <row r="231" customFormat="false" ht="27.75" hidden="false" customHeight="true" outlineLevel="0" collapsed="false">
      <c r="A231" s="76" t="s">
        <v>302</v>
      </c>
      <c r="B231" s="76" t="s">
        <v>222</v>
      </c>
      <c r="C231" s="77" t="n">
        <v>46325</v>
      </c>
      <c r="D231" s="76" t="s">
        <v>1500</v>
      </c>
      <c r="E231" s="76" t="s">
        <v>192</v>
      </c>
      <c r="F231" s="76" t="s">
        <v>179</v>
      </c>
      <c r="G231" s="76" t="s">
        <v>597</v>
      </c>
      <c r="H231" s="76" t="s">
        <v>1518</v>
      </c>
      <c r="I231" s="76" t="s">
        <v>1519</v>
      </c>
    </row>
  </sheetData>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2"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s>
  <sheetData>
    <row r="1" customFormat="false" ht="24" hidden="false" customHeight="true" outlineLevel="0" collapsed="false">
      <c r="A1" s="54" t="s">
        <v>1570</v>
      </c>
    </row>
    <row r="2" customFormat="false" ht="15" hidden="false" customHeight="false" outlineLevel="0" collapsed="false">
      <c r="A2" s="2" t="s">
        <v>1571</v>
      </c>
    </row>
    <row r="3" customFormat="false" ht="15" hidden="false" customHeight="false" outlineLevel="0" collapsed="false">
      <c r="H3" s="78" t="s">
        <v>1572</v>
      </c>
      <c r="I3" s="78" t="s">
        <v>1573</v>
      </c>
    </row>
    <row r="4" customFormat="false" ht="39.75" hidden="false" customHeight="true" outlineLevel="0" collapsed="false">
      <c r="A4" s="79" t="s">
        <v>1574</v>
      </c>
      <c r="B4" s="80"/>
      <c r="H4" s="81" t="s">
        <v>1575</v>
      </c>
      <c r="I4" s="81" t="s">
        <v>70</v>
      </c>
    </row>
    <row r="5" customFormat="false" ht="27.75" hidden="false" customHeight="true" outlineLevel="0" collapsed="false">
      <c r="A5" s="79" t="s">
        <v>1576</v>
      </c>
      <c r="B5" s="82" t="n">
        <v>8</v>
      </c>
      <c r="H5" s="81" t="s">
        <v>1577</v>
      </c>
      <c r="I5" s="81" t="s">
        <v>1578</v>
      </c>
    </row>
    <row r="6" customFormat="false" ht="25.5" hidden="false" customHeight="true" outlineLevel="0" collapsed="false">
      <c r="A6" s="79" t="s">
        <v>1579</v>
      </c>
      <c r="B6" s="83" t="n">
        <f aca="true">IF(B4&lt;&gt;"",B4,NOW()-B5/24)</f>
        <v>46293.1287984666</v>
      </c>
      <c r="C6" s="84" t="n">
        <f aca="false">B6+8/24</f>
        <v>46293.4621317999</v>
      </c>
      <c r="D6" s="85" t="s">
        <v>1580</v>
      </c>
      <c r="H6" s="81" t="s">
        <v>1581</v>
      </c>
    </row>
    <row r="7" customFormat="false" ht="39.75" hidden="false" customHeight="true" outlineLevel="0" collapsed="false">
      <c r="A7" s="79" t="s">
        <v>1582</v>
      </c>
      <c r="B7" s="82" t="n">
        <v>6</v>
      </c>
      <c r="H7" s="81" t="s">
        <v>1583</v>
      </c>
    </row>
    <row r="8" customFormat="false" ht="39.75" hidden="false" customHeight="true" outlineLevel="0" collapsed="false">
      <c r="A8" s="79" t="s">
        <v>1584</v>
      </c>
      <c r="B8" s="82" t="n">
        <v>24</v>
      </c>
      <c r="H8" s="81" t="s">
        <v>1585</v>
      </c>
    </row>
    <row r="9" customFormat="false" ht="27.75" hidden="false" customHeight="true" outlineLevel="0" collapsed="false">
      <c r="A9" s="79" t="s">
        <v>1586</v>
      </c>
      <c r="B9" s="82" t="n">
        <v>12</v>
      </c>
      <c r="H9" s="81" t="s">
        <v>87</v>
      </c>
    </row>
    <row r="11" customFormat="false" ht="15" hidden="false" customHeight="false" outlineLevel="0" collapsed="false">
      <c r="A11" s="86" t="s">
        <v>1587</v>
      </c>
    </row>
    <row r="12" customFormat="false" ht="30" hidden="false" customHeight="true" outlineLevel="0" collapsed="false">
      <c r="A12" s="56" t="s">
        <v>1588</v>
      </c>
      <c r="B12" s="56" t="s">
        <v>1589</v>
      </c>
      <c r="C12" s="56" t="s">
        <v>1590</v>
      </c>
      <c r="D12" s="56" t="s">
        <v>1591</v>
      </c>
      <c r="E12" s="56" t="s">
        <v>1592</v>
      </c>
      <c r="F12" s="56" t="s">
        <v>1593</v>
      </c>
    </row>
    <row r="13" customFormat="false" ht="15" hidden="false" customHeight="false" outlineLevel="0" collapsed="false">
      <c r="A13" s="87" t="s">
        <v>177</v>
      </c>
      <c r="B13" s="87" t="s">
        <v>1594</v>
      </c>
      <c r="C13" s="87" t="n">
        <v>8</v>
      </c>
      <c r="D13" s="87"/>
      <c r="E13" s="88"/>
      <c r="F13" s="88"/>
    </row>
    <row r="14" customFormat="false" ht="15" hidden="false" customHeight="false" outlineLevel="0" collapsed="false">
      <c r="A14" s="87" t="s">
        <v>244</v>
      </c>
      <c r="B14" s="87" t="s">
        <v>1594</v>
      </c>
      <c r="C14" s="87" t="n">
        <v>8</v>
      </c>
      <c r="D14" s="87"/>
      <c r="E14" s="88"/>
      <c r="F14" s="88"/>
    </row>
    <row r="15" customFormat="false" ht="15" hidden="false" customHeight="false" outlineLevel="0" collapsed="false">
      <c r="A15" s="87" t="s">
        <v>296</v>
      </c>
      <c r="B15" s="87" t="s">
        <v>1594</v>
      </c>
      <c r="C15" s="87" t="n">
        <v>8</v>
      </c>
      <c r="D15" s="87"/>
      <c r="E15" s="88"/>
      <c r="F15" s="88"/>
    </row>
    <row r="16" customFormat="false" ht="15" hidden="false" customHeight="false" outlineLevel="0" collapsed="false">
      <c r="A16" s="87" t="s">
        <v>176</v>
      </c>
      <c r="B16" s="87" t="s">
        <v>1595</v>
      </c>
      <c r="C16" s="87" t="n">
        <v>0</v>
      </c>
      <c r="D16" s="87" t="n">
        <v>1</v>
      </c>
      <c r="E16" s="88" t="n">
        <v>46110.0416666667</v>
      </c>
      <c r="F16" s="88" t="n">
        <v>46320.0416666667</v>
      </c>
    </row>
    <row r="17" customFormat="false" ht="15" hidden="false" customHeight="false" outlineLevel="0" collapsed="false">
      <c r="A17" s="87" t="s">
        <v>191</v>
      </c>
      <c r="B17" s="87" t="s">
        <v>1596</v>
      </c>
      <c r="C17" s="87" t="n">
        <v>7</v>
      </c>
      <c r="D17" s="87"/>
      <c r="E17" s="88"/>
      <c r="F17" s="88"/>
    </row>
    <row r="18" customFormat="false" ht="15" hidden="false" customHeight="false" outlineLevel="0" collapsed="false">
      <c r="A18" s="87" t="s">
        <v>230</v>
      </c>
      <c r="B18" s="87" t="s">
        <v>1597</v>
      </c>
      <c r="C18" s="87" t="n">
        <v>7</v>
      </c>
      <c r="D18" s="87"/>
      <c r="E18" s="88"/>
      <c r="F18" s="88"/>
    </row>
    <row r="19" customFormat="false" ht="15" hidden="false" customHeight="false" outlineLevel="0" collapsed="false">
      <c r="A19" s="87" t="s">
        <v>210</v>
      </c>
      <c r="B19" s="87" t="s">
        <v>1598</v>
      </c>
      <c r="C19" s="87" t="n">
        <v>9</v>
      </c>
      <c r="D19" s="87"/>
      <c r="E19" s="88"/>
      <c r="F19" s="88"/>
    </row>
    <row r="20" customFormat="false" ht="15" hidden="false" customHeight="false" outlineLevel="0" collapsed="false">
      <c r="A20" s="87" t="s">
        <v>285</v>
      </c>
      <c r="B20" s="87" t="s">
        <v>1598</v>
      </c>
      <c r="C20" s="87" t="n">
        <v>9</v>
      </c>
      <c r="D20" s="87"/>
      <c r="E20" s="88"/>
      <c r="F20" s="88"/>
    </row>
    <row r="21" customFormat="false" ht="15" hidden="false" customHeight="false" outlineLevel="0" collapsed="false">
      <c r="A21" s="87" t="s">
        <v>272</v>
      </c>
      <c r="B21" s="87" t="s">
        <v>1599</v>
      </c>
      <c r="C21" s="87" t="n">
        <v>8</v>
      </c>
      <c r="D21" s="87"/>
      <c r="E21" s="88"/>
      <c r="F21" s="88"/>
    </row>
    <row r="22" customFormat="false" ht="15" hidden="false" customHeight="false" outlineLevel="0" collapsed="false">
      <c r="A22" s="87" t="s">
        <v>253</v>
      </c>
      <c r="B22" s="87" t="s">
        <v>1600</v>
      </c>
      <c r="C22" s="87" t="n">
        <v>9.5</v>
      </c>
      <c r="D22" s="87" t="n">
        <v>10.5</v>
      </c>
      <c r="E22" s="88" t="n">
        <v>46298.6875</v>
      </c>
      <c r="F22" s="88" t="n">
        <v>46480.6875</v>
      </c>
    </row>
    <row r="23" customFormat="false" ht="30" hidden="false" customHeight="true" outlineLevel="0" collapsed="false">
      <c r="A23" s="89" t="s">
        <v>1601</v>
      </c>
      <c r="B23" s="89"/>
      <c r="C23" s="89"/>
      <c r="D23" s="89"/>
      <c r="E23" s="89"/>
      <c r="F23" s="89"/>
    </row>
  </sheetData>
  <mergeCells count="1">
    <mergeCell ref="A23:F23"/>
  </mergeCell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F01  "&amp;Flights!$F$5&amp;"  "&amp;TEXT(Flights!$D$5,"DD-MMM-YY")&amp;" ("&amp;Flights!$E$5&amp;")  "&amp;Flights!$G$5&amp;" → "&amp;Flights!$H$5&amp;"  |  Class "&amp;Flights!$K$5</f>
        <v>SKYTRAX 2026 CATERING READINESS CHECKLIST  |  F01  MH0001  08-Oct-26 (THU)  LHR → KUL  |  Class EY</v>
      </c>
      <c r="B1" s="90"/>
      <c r="C1" s="90"/>
      <c r="D1" s="90"/>
      <c r="E1" s="90"/>
      <c r="F1" s="90"/>
      <c r="G1" s="90"/>
      <c r="H1" s="90"/>
    </row>
    <row r="2" customFormat="false" ht="12.75" hidden="false" customHeight="true" outlineLevel="0" collapsed="false">
      <c r="A2" s="91" t="s">
        <v>1602</v>
      </c>
      <c r="B2" s="92" t="str">
        <f aca="false">Flights!$F$5&amp;"   "&amp;TEXT(Flights!$D$5,"DD-MMM-YY")&amp;" ("&amp;Flights!$E$5&amp;")"</f>
        <v>MH0001   08-Oct-26 (THU)</v>
      </c>
      <c r="C2" s="92"/>
      <c r="D2" s="92"/>
      <c r="E2" s="93" t="s">
        <v>1603</v>
      </c>
      <c r="F2" s="94" t="str">
        <f aca="false">Flights!$AT$5</f>
        <v>NOT READY – DOCUMENTS</v>
      </c>
      <c r="G2" s="94"/>
      <c r="H2" s="94"/>
    </row>
    <row r="3" customFormat="false" ht="24" hidden="false" customHeight="true" outlineLevel="0" collapsed="false">
      <c r="A3" s="91" t="s">
        <v>1604</v>
      </c>
      <c r="B3" s="92" t="str">
        <f aca="false">Flights!$G$5&amp;" → "&amp;Flights!$H$5&amp;"   Class "&amp;Flights!$K$5&amp;"   Seat "&amp;Flights!$O$5</f>
        <v>LHR → KUL   Class EY   Seat 14C</v>
      </c>
      <c r="C3" s="92"/>
      <c r="D3" s="92"/>
      <c r="E3" s="93" t="s">
        <v>66</v>
      </c>
      <c r="F3" s="93" t="s">
        <v>1605</v>
      </c>
      <c r="G3" s="93" t="s">
        <v>1606</v>
      </c>
      <c r="H3" s="93"/>
    </row>
    <row r="4" customFormat="false" ht="24" hidden="false" customHeight="true" outlineLevel="0" collapsed="false">
      <c r="A4" s="91" t="s">
        <v>1607</v>
      </c>
      <c r="B4" s="92" t="str">
        <f aca="false">IF(ISNUMBER(Flights!$I$5),TEXT(Flights!$I$5,"DD-MMM-YY HH:MM"),"")&amp;" "&amp;Flights!$G$5&amp;"  →  "&amp;IF(ISNUMBER(Flights!$J$5),TEXT(Flights!$J$5,"DD-MMM-YY HH:MM"),"")&amp;" "&amp;Flights!$H$5</f>
        <v>08-Oct-26 21:35 LHR  →  09-Oct-26 17:50 KUL</v>
      </c>
      <c r="C4" s="92"/>
      <c r="D4" s="92"/>
      <c r="E4" s="91" t="s">
        <v>1608</v>
      </c>
      <c r="F4" s="95" t="str">
        <f aca="false">IF(ISNUMBER(Flights!$AG$5),TEXT(Flights!$AG$5,"DD-MMM-YY HH:MM"),"")&amp;" "&amp;Flights!$V$5</f>
        <v>01-Oct-26 21:35 LHR</v>
      </c>
      <c r="G4" s="96" t="n">
        <f aca="false">Flights!$AJ$5</f>
        <v>0</v>
      </c>
      <c r="H4" s="96"/>
    </row>
    <row r="5" customFormat="false" ht="24" hidden="false" customHeight="true" outlineLevel="0" collapsed="false">
      <c r="A5" s="91" t="s">
        <v>1609</v>
      </c>
      <c r="B5" s="92" t="str">
        <f aca="false">Flights!$L$5&amp;" – "&amp;Flights!$M$5</f>
        <v>A350 – A350-900: A359 (9M-MAB..MAG, row 6) or A350 9M-MAH (row 7) - tail to confirm</v>
      </c>
      <c r="C5" s="92"/>
      <c r="D5" s="92"/>
      <c r="E5" s="91" t="s">
        <v>1610</v>
      </c>
      <c r="F5" s="95" t="str">
        <f aca="false">IF(ISNUMBER(Flights!$AH$5),TEXT(Flights!$AH$5,"DD-MMM-YY HH:MM"),"")&amp;" "&amp;Flights!$V$5</f>
        <v>07-Oct-26 21:35 LHR</v>
      </c>
      <c r="G5" s="96" t="n">
        <f aca="false">Flights!$AK$5</f>
        <v>0</v>
      </c>
      <c r="H5" s="96"/>
    </row>
    <row r="6" customFormat="false" ht="24" hidden="false" customHeight="true" outlineLevel="0" collapsed="false">
      <c r="A6" s="91" t="s">
        <v>1611</v>
      </c>
      <c r="B6" s="92" t="str">
        <f aca="false">IF(TRIM(Flights!$N$5)="","__________________",Flights!$N$5)</f>
        <v>__________________</v>
      </c>
      <c r="C6" s="92"/>
      <c r="D6" s="92"/>
      <c r="E6" s="91" t="s">
        <v>1612</v>
      </c>
      <c r="F6" s="95" t="str">
        <f aca="false">IF(ISNUMBER(Flights!$AI$5),TEXT(Flights!$AI$5,"DD-MMM-YY HH:MM"),"")&amp;" "&amp;Flights!$V$5&amp;IF(Flights!$AI$5=Flights!$AH$5,"  (= T-24H due)","")</f>
        <v>08-Oct-26 09:35 LHR</v>
      </c>
      <c r="G6" s="96" t="n">
        <f aca="false">Flights!$AL$5</f>
        <v>0</v>
      </c>
      <c r="H6" s="96"/>
    </row>
    <row r="7" customFormat="false" ht="24" hidden="false" customHeight="true" outlineLevel="0" collapsed="false">
      <c r="A7" s="91" t="s">
        <v>1613</v>
      </c>
      <c r="B7" s="92" t="str">
        <f aca="false">Flights!$T$5</f>
        <v>2.5 Meal (Meal)</v>
      </c>
      <c r="C7" s="92"/>
      <c r="D7" s="92"/>
      <c r="E7" s="91" t="s">
        <v>1614</v>
      </c>
      <c r="F7" s="95" t="str">
        <f aca="false">"STD "&amp;IF(ISNUMBER(Flights!$I$5),TEXT(Flights!$I$5,"DD-MMM-YY HH:MM"),"")&amp;" "&amp;Flights!$G$5&amp;" (dep stn)"</f>
        <v>STD 08-Oct-26 21:35 LHR (dep stn)</v>
      </c>
      <c r="G7" s="96" t="n">
        <f aca="false">Flights!$AM$5</f>
        <v>0</v>
      </c>
      <c r="H7" s="96"/>
    </row>
    <row r="8" customFormat="false" ht="12.75" hidden="false" customHeight="true" outlineLevel="0" collapsed="false">
      <c r="A8" s="91" t="s">
        <v>148</v>
      </c>
      <c r="B8" s="92" t="str">
        <f aca="false">Flights!$V$5&amp;"   (reference uplift stns: "&amp;Flights!$U$5&amp;")"</f>
        <v>LHR   (reference uplift stns: KUL/LHR)</v>
      </c>
      <c r="C8" s="92"/>
      <c r="D8" s="92"/>
      <c r="E8" s="91" t="s">
        <v>1615</v>
      </c>
      <c r="F8" s="97" t="s">
        <v>1616</v>
      </c>
      <c r="G8" s="96" t="n">
        <f aca="false">Flights!$AN$5</f>
        <v>0</v>
      </c>
      <c r="H8" s="96"/>
    </row>
    <row r="9" customFormat="false" ht="12.75" hidden="false" customHeight="true" outlineLevel="0" collapsed="false">
      <c r="A9" s="91" t="s">
        <v>1617</v>
      </c>
      <c r="B9" s="92" t="str">
        <f aca="false">TRIM(Flights!$P$5&amp;"  "&amp;Flights!$Q$5)</f>
        <v>-</v>
      </c>
      <c r="C9" s="92"/>
      <c r="D9" s="92"/>
      <c r="E9" s="91" t="s">
        <v>1618</v>
      </c>
      <c r="F9" s="98" t="n">
        <f aca="false">Flights!$AP$5</f>
        <v>0</v>
      </c>
      <c r="G9" s="98" t="n">
        <f aca="false">Flights!$AQ$5</f>
        <v>0</v>
      </c>
      <c r="H9" s="98" t="n">
        <f aca="false">Flights!$AU$5</f>
        <v>0</v>
      </c>
    </row>
    <row r="10" customFormat="false" ht="24" hidden="false" customHeight="true" outlineLevel="0" collapsed="false">
      <c r="A10" s="91" t="s">
        <v>1619</v>
      </c>
      <c r="B10" s="92" t="str">
        <f aca="false">IF(TRIM(Flights!$X$5)="","__________________",Flights!$X$5)</f>
        <v>__________________</v>
      </c>
      <c r="C10" s="92"/>
      <c r="D10" s="92"/>
      <c r="E10" s="91" t="s">
        <v>1620</v>
      </c>
      <c r="F10" s="98" t="n">
        <f aca="false">Flights!$AO$5</f>
        <v>24</v>
      </c>
      <c r="G10" s="98" t="n">
        <f aca="false">Flights!$AS$5</f>
        <v>2</v>
      </c>
      <c r="H10" s="98" t="n">
        <f aca="false">Flights!$AR$5</f>
        <v>2</v>
      </c>
    </row>
    <row r="11" customFormat="false" ht="21" hidden="false" customHeight="true" outlineLevel="0" collapsed="false">
      <c r="A11" s="91" t="s">
        <v>1621</v>
      </c>
      <c r="B11" s="92" t="str">
        <f aca="false">IF(TRIM(Flights!$Y$5)="","__________________",Flights!$Y$5)</f>
        <v>__________________</v>
      </c>
      <c r="C11" s="92"/>
      <c r="D11" s="92"/>
      <c r="E11" s="91" t="s">
        <v>1622</v>
      </c>
      <c r="F11" s="98" t="str">
        <f aca="false">Flights!$AV$5&amp;" / "&amp;Flights!$AW$5</f>
        <v>0 / 24</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IF(Documents!$F$5="","",Documents!$F$5)</f>
        <v/>
      </c>
      <c r="C14" s="97" t="str">
        <f aca="false">IF(Documents!$G$5="","",Documents!$G$5)&amp;IF(ISNUMBER(Documents!$H$5),"  "&amp;TEXT(Documents!$H$5,"DD-MMM-YY"),"")</f>
        <v/>
      </c>
      <c r="D14" s="97"/>
      <c r="E14" s="105" t="str">
        <f aca="false">IF(Documents!$J$5="OUTSTANDING","OUTSTANDING – attach before T-7D (due "&amp;IF(ISNUMBER(Flights!$AG$5),TEXT(Flights!$AG$5,"DD-MMM-YY HH:MM"),"")&amp;" "&amp;Flights!$V$5&amp;")",IF(Documents!$J$5="","Status not recorded",Documents!$J$5))</f>
        <v>OUTSTANDING – attach before T-7D (due 01-Oct-26 21:35 LHR)</v>
      </c>
      <c r="F14" s="106" t="str">
        <f aca="false">"Staple behind this sheet as page A1."&amp;IF(Documents!$I$5="",""," Location: "&amp;Documents!$I$5)</f>
        <v>Staple behind this sheet as page A1.</v>
      </c>
      <c r="G14" s="106"/>
      <c r="H14" s="106"/>
    </row>
    <row r="15" customFormat="false" ht="36" hidden="false" customHeight="true" outlineLevel="0" collapsed="false">
      <c r="A15" s="91" t="s">
        <v>1633</v>
      </c>
      <c r="B15" s="92" t="str">
        <f aca="false">IF(Documents!$K$5="","",Documents!$K$5)</f>
        <v/>
      </c>
      <c r="C15" s="97" t="str">
        <f aca="false">IF(Documents!$L$5="","",Documents!$L$5)&amp;IF(ISNUMBER(Documents!$M$5),"  "&amp;TEXT(Documents!$M$5,"DD-MMM-YY"),"")</f>
        <v/>
      </c>
      <c r="D15" s="97"/>
      <c r="E15" s="105" t="str">
        <f aca="false">IF(Documents!$O$5="OUTSTANDING","OUTSTANDING – attach before T-7D (due "&amp;IF(ISNUMBER(Flights!$AG$5),TEXT(Flights!$AG$5,"DD-MMM-YY HH:MM"),"")&amp;" "&amp;Flights!$V$5&amp;")",IF(Documents!$O$5="","Status not recorded",Documents!$O$5))</f>
        <v>OUTSTANDING – attach before T-7D (due 01-Oct-26 21:35 LHR)</v>
      </c>
      <c r="F15" s="106" t="str">
        <f aca="false">"Staple behind this sheet as page A2."&amp;IF(Documents!$N$5="",""," Location: "&amp;Documents!$N$5)</f>
        <v>Staple behind this sheet as page A2.</v>
      </c>
      <c r="G15" s="106"/>
      <c r="H15" s="106"/>
    </row>
    <row r="16" customFormat="false" ht="22.5" hidden="false" customHeight="true" outlineLevel="0" collapsed="false">
      <c r="A16" s="91" t="s">
        <v>1634</v>
      </c>
      <c r="B16" s="107" t="str">
        <f aca="false">IF(Documents!$Q$5="","",Documents!$Q$5)</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"&amp;IF(TRIM(Flights!$Y$5)="","__________________",Flights!$Y$5)</f>
        <v>Name: __________________</v>
      </c>
      <c r="B18" s="92"/>
      <c r="C18" s="92" t="str">
        <f aca="false">"Name: __________________"</f>
        <v>Name: __________________</v>
      </c>
      <c r="D18" s="92"/>
      <c r="E18" s="92"/>
      <c r="F18" s="92" t="str">
        <f aca="false">"Name: __________________"&amp;"   Station: "&amp;Flights!$V$5</f>
        <v>Name: __________________   Station: LHR</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Checks!$A$5&amp;CHAR(10)&amp;IF(Checks!$I$5="","",Checks!$I$5&amp;": ")&amp;Checks!$J$5</f>
        <v>F01-T7-01
Meal: Meal sensory testing completed for this flight's menu cycle (assessed class)</v>
      </c>
      <c r="B23" s="112" t="str">
        <f aca="false">Checks!$K$5&amp;IF(Checks!$O$5="","",IF(Checks!$K$5="","",CHAR(10))&amp;"Note: "&amp;Checks!$O$5)</f>
        <v>Record panel result / score in Result</v>
      </c>
      <c r="C23" s="112" t="str">
        <f aca="false">Checks!$N$5&amp;CHAR(10)&amp;IF(ISNUMBER(Checks!$R$5),TEXT(Checks!$R$5,"DD-MMM-YY HH:MM"),"")&amp;" "&amp;Checks!$P$5</f>
        <v>Required
01-Oct-26 21:35 LHR</v>
      </c>
      <c r="D23" s="112" t="str">
        <f aca="false">IF(Checks!$U$5="","",Checks!$U$5)&amp;IF(Checks!$AB$5="","",CHAR(10)&amp;"CA: "&amp;Checks!$AB$5)</f>
        <v/>
      </c>
      <c r="E23" s="112" t="str">
        <f aca="false">IF(Checks!$V$5="","",Checks!$V$5)&amp;IF(Checks!$AC$5="","",IF(Checks!$V$5="","",CHAR(10))&amp;"N/A just.: "&amp;Checks!$AC$5)&amp;IF(Checks!$W$5="","",CHAR(10)&amp;"Batch: "&amp;Checks!$W$5)&amp;IF(AND(Checks!$X$5="",Checks!$Y$5=""),"",CHAR(10)&amp;"Exp: "&amp;Checks!$X$5&amp;"  /  Act: "&amp;Checks!$Y$5)</f>
        <v/>
      </c>
      <c r="F23" s="112" t="str">
        <f aca="false">IF(Checks!$Z$5="","","Evidence: "&amp;Checks!$Z$5)&amp;IF(Checks!$AA$5="","",IF(Checks!$Z$5="","",CHAR(10))&amp;"CA: "&amp;Checks!$AA$5)</f>
        <v/>
      </c>
      <c r="G23" s="112" t="str">
        <f aca="false">IF(ISNUMBER(Checks!$AD$5),TEXT(Checks!$AD$5,"DD-MMM-YY HH:MM")&amp;" "&amp;Checks!$P$5,"")&amp;IF(Checks!$AE$5="","",CHAR(10)&amp;"Verifier: "&amp;Checks!$AE$5)&amp;IF(Checks!$T$5="","",CHAR(10)&amp;"PIC: "&amp;Checks!$T$5)</f>
        <v/>
      </c>
      <c r="H23" s="113" t="str">
        <f aca="false">IF(Checks!$AH$5="","",Checks!$AH$5)</f>
        <v>OPEN</v>
      </c>
    </row>
    <row r="24" customFormat="false" ht="114" hidden="false" customHeight="true" outlineLevel="0" collapsed="false">
      <c r="A24" s="112" t="str">
        <f aca="false">Checks!$A$6&amp;CHAR(10)&amp;IF(Checks!$I$6="","",Checks!$I$6&amp;": ")&amp;Checks!$J$6</f>
        <v>F01-T7-02
Menu: Printed menu cards confirmed (content, cycle, language, quantity)</v>
      </c>
      <c r="B24" s="112" t="str">
        <f aca="false">Checks!$K$6&amp;IF(Checks!$O$6="","",IF(Checks!$K$6="","",CHAR(10))&amp;"Note: "&amp;Checks!$O$6)</f>
        <v>Menu card matches approved menu for this flight</v>
      </c>
      <c r="C24" s="112" t="str">
        <f aca="false">Checks!$N$6&amp;CHAR(10)&amp;IF(ISNUMBER(Checks!$R$6),TEXT(Checks!$R$6,"DD-MMM-YY HH:MM"),"")&amp;" "&amp;Checks!$P$6</f>
        <v>Required
01-Oct-26 21:35 LHR</v>
      </c>
      <c r="D24" s="112" t="str">
        <f aca="false">IF(Checks!$U$6="","",Checks!$U$6)&amp;IF(Checks!$AB$6="","",CHAR(10)&amp;"CA: "&amp;Checks!$AB$6)</f>
        <v/>
      </c>
      <c r="E24" s="112" t="str">
        <f aca="false">IF(Checks!$V$6="","",Checks!$V$6)&amp;IF(Checks!$AC$6="","",IF(Checks!$V$6="","",CHAR(10))&amp;"N/A just.: "&amp;Checks!$AC$6)&amp;IF(Checks!$W$6="","",CHAR(10)&amp;"Batch: "&amp;Checks!$W$6)&amp;IF(AND(Checks!$X$6="",Checks!$Y$6=""),"",CHAR(10)&amp;"Exp: "&amp;Checks!$X$6&amp;"  /  Act: "&amp;Checks!$Y$6)</f>
        <v/>
      </c>
      <c r="F24" s="112" t="str">
        <f aca="false">IF(Checks!$Z$6="","","Evidence: "&amp;Checks!$Z$6)&amp;IF(Checks!$AA$6="","",IF(Checks!$Z$6="","",CHAR(10))&amp;"CA: "&amp;Checks!$AA$6)</f>
        <v/>
      </c>
      <c r="G24" s="112" t="str">
        <f aca="false">IF(ISNUMBER(Checks!$AD$6),TEXT(Checks!$AD$6,"DD-MMM-YY HH:MM")&amp;" "&amp;Checks!$P$6,"")&amp;IF(Checks!$AE$6="","",CHAR(10)&amp;"Verifier: "&amp;Checks!$AE$6)&amp;IF(Checks!$T$6="","",CHAR(10)&amp;"PIC: "&amp;Checks!$T$6)</f>
        <v/>
      </c>
      <c r="H24" s="113" t="str">
        <f aca="false">IF(Checks!$AH$6="","",Checks!$AH$6)</f>
        <v>OPEN</v>
      </c>
    </row>
    <row r="25" customFormat="false" ht="114" hidden="false" customHeight="true" outlineLevel="0" collapsed="false">
      <c r="A25" s="112" t="str">
        <f aca="false">Checks!$A$7&amp;CHAR(10)&amp;IF(Checks!$I$7="","",Checks!$I$7&amp;": ")&amp;Checks!$J$7</f>
        <v>F01-T7-03
IFE: Digital menu in IFE confirmed (A339 only)</v>
      </c>
      <c r="B25" s="112" t="str">
        <f aca="false">Checks!$K$7&amp;IF(Checks!$O$7="","",IF(Checks!$K$7="","",CHAR(10))&amp;"Note: "&amp;Checks!$O$7)</f>
        <v>Applies when fleet = A339
Note: Digital IFE menu applies to A339 only (user brief). Applicability follows the Fleet cell on Flights.</v>
      </c>
      <c r="C25" s="112" t="str">
        <f aca="false">Checks!$N$7&amp;CHAR(10)&amp;IF(ISNUMBER(Checks!$R$7),TEXT(Checks!$R$7,"DD-MMM-YY HH:MM"),"")&amp;" "&amp;Checks!$P$7</f>
        <v>N/A – rule
01-Oct-26 21:35 LHR</v>
      </c>
      <c r="D25" s="112" t="str">
        <f aca="false">IF(Checks!$U$7="","",Checks!$U$7)&amp;IF(Checks!$AB$7="","",CHAR(10)&amp;"CA: "&amp;Checks!$AB$7)</f>
        <v/>
      </c>
      <c r="E25" s="112" t="str">
        <f aca="false">IF(Checks!$V$7="","",Checks!$V$7)&amp;IF(Checks!$AC$7="","",IF(Checks!$V$7="","",CHAR(10))&amp;"N/A just.: "&amp;Checks!$AC$7)&amp;IF(Checks!$W$7="","",CHAR(10)&amp;"Batch: "&amp;Checks!$W$7)&amp;IF(AND(Checks!$X$7="",Checks!$Y$7=""),"",CHAR(10)&amp;"Exp: "&amp;Checks!$X$7&amp;"  /  Act: "&amp;Checks!$Y$7)</f>
        <v/>
      </c>
      <c r="F25" s="112" t="str">
        <f aca="false">IF(Checks!$Z$7="","","Evidence: "&amp;Checks!$Z$7)&amp;IF(Checks!$AA$7="","",IF(Checks!$Z$7="","",CHAR(10))&amp;"CA: "&amp;Checks!$AA$7)</f>
        <v/>
      </c>
      <c r="G25" s="112" t="str">
        <f aca="false">IF(ISNUMBER(Checks!$AD$7),TEXT(Checks!$AD$7,"DD-MMM-YY HH:MM")&amp;" "&amp;Checks!$P$7,"")&amp;IF(Checks!$AE$7="","",CHAR(10)&amp;"Verifier: "&amp;Checks!$AE$7)&amp;IF(Checks!$T$7="","",CHAR(10)&amp;"PIC: "&amp;Checks!$T$7)</f>
        <v/>
      </c>
      <c r="H25" s="113" t="str">
        <f aca="false">IF(Checks!$AH$7="","",Checks!$AH$7)</f>
        <v>N/A – RULE</v>
      </c>
    </row>
    <row r="26" customFormat="false" ht="114" hidden="false" customHeight="true" outlineLevel="0" collapsed="false">
      <c r="A26" s="112" t="str">
        <f aca="false">Checks!$A$8&amp;CHAR(10)&amp;IF(Checks!$I$8="","",Checks!$I$8&amp;": ")&amp;Checks!$J$8</f>
        <v>F01-T7-04
Staffing: Experienced catering officer assigned to this flight</v>
      </c>
      <c r="B26" s="112" t="str">
        <f aca="false">Checks!$K$8&amp;IF(Checks!$O$8="","",IF(Checks!$K$8="","",CHAR(10))&amp;"Note: "&amp;Checks!$O$8)</f>
        <v>Record officer name in Result</v>
      </c>
      <c r="C26" s="112" t="str">
        <f aca="false">Checks!$N$8&amp;CHAR(10)&amp;IF(ISNUMBER(Checks!$R$8),TEXT(Checks!$R$8,"DD-MMM-YY HH:MM"),"")&amp;" "&amp;Checks!$P$8</f>
        <v>Required
01-Oct-26 21:35 LHR</v>
      </c>
      <c r="D26" s="112" t="str">
        <f aca="false">IF(Checks!$U$8="","",Checks!$U$8)&amp;IF(Checks!$AB$8="","",CHAR(10)&amp;"CA: "&amp;Checks!$AB$8)</f>
        <v/>
      </c>
      <c r="E26" s="112" t="str">
        <f aca="false">IF(Checks!$V$8="","",Checks!$V$8)&amp;IF(Checks!$AC$8="","",IF(Checks!$V$8="","",CHAR(10))&amp;"N/A just.: "&amp;Checks!$AC$8)&amp;IF(Checks!$W$8="","",CHAR(10)&amp;"Batch: "&amp;Checks!$W$8)&amp;IF(AND(Checks!$X$8="",Checks!$Y$8=""),"",CHAR(10)&amp;"Exp: "&amp;Checks!$X$8&amp;"  /  Act: "&amp;Checks!$Y$8)</f>
        <v/>
      </c>
      <c r="F26" s="112" t="str">
        <f aca="false">IF(Checks!$Z$8="","","Evidence: "&amp;Checks!$Z$8)&amp;IF(Checks!$AA$8="","",IF(Checks!$Z$8="","",CHAR(10))&amp;"CA: "&amp;Checks!$AA$8)</f>
        <v/>
      </c>
      <c r="G26" s="112" t="str">
        <f aca="false">IF(ISNUMBER(Checks!$AD$8),TEXT(Checks!$AD$8,"DD-MMM-YY HH:MM")&amp;" "&amp;Checks!$P$8,"")&amp;IF(Checks!$AE$8="","",CHAR(10)&amp;"Verifier: "&amp;Checks!$AE$8)&amp;IF(Checks!$T$8="","",CHAR(10)&amp;"PIC: "&amp;Checks!$T$8)</f>
        <v/>
      </c>
      <c r="H26" s="113" t="str">
        <f aca="false">IF(Checks!$AH$8="","",Checks!$AH$8)</f>
        <v>OPEN</v>
      </c>
    </row>
    <row r="27" customFormat="false" ht="114" hidden="false" customHeight="true" outlineLevel="0" collapsed="false">
      <c r="A27" s="112" t="str">
        <f aca="false">Checks!$A$9&amp;CHAR(10)&amp;IF(Checks!$I$9="","",Checks!$I$9&amp;": ")&amp;Checks!$J$9</f>
        <v>F01-T7-05
ISOP: All latest applicable ISOP revisions communicated to caterer</v>
      </c>
      <c r="B27" s="112" t="str">
        <f aca="false">Checks!$K$9&amp;IF(Checks!$O$9="","",IF(Checks!$K$9="","",CHAR(10))&amp;"Note: "&amp;Checks!$O$9)</f>
        <v>List revision numbers in Result (see ISOP register)</v>
      </c>
      <c r="C27" s="112" t="str">
        <f aca="false">Checks!$N$9&amp;CHAR(10)&amp;IF(ISNUMBER(Checks!$R$9),TEXT(Checks!$R$9,"DD-MMM-YY HH:MM"),"")&amp;" "&amp;Checks!$P$9</f>
        <v>Required
01-Oct-26 21:35 LHR</v>
      </c>
      <c r="D27" s="112" t="str">
        <f aca="false">IF(Checks!$U$9="","",Checks!$U$9)&amp;IF(Checks!$AB$9="","",CHAR(10)&amp;"CA: "&amp;Checks!$AB$9)</f>
        <v/>
      </c>
      <c r="E27" s="112" t="str">
        <f aca="false">IF(Checks!$V$9="","",Checks!$V$9)&amp;IF(Checks!$AC$9="","",IF(Checks!$V$9="","",CHAR(10))&amp;"N/A just.: "&amp;Checks!$AC$9)&amp;IF(Checks!$W$9="","",CHAR(10)&amp;"Batch: "&amp;Checks!$W$9)&amp;IF(AND(Checks!$X$9="",Checks!$Y$9=""),"",CHAR(10)&amp;"Exp: "&amp;Checks!$X$9&amp;"  /  Act: "&amp;Checks!$Y$9)</f>
        <v/>
      </c>
      <c r="F27" s="112" t="str">
        <f aca="false">IF(Checks!$Z$9="","","Evidence: "&amp;Checks!$Z$9)&amp;IF(Checks!$AA$9="","",IF(Checks!$Z$9="","",CHAR(10))&amp;"CA: "&amp;Checks!$AA$9)</f>
        <v/>
      </c>
      <c r="G27" s="112" t="str">
        <f aca="false">IF(ISNUMBER(Checks!$AD$9),TEXT(Checks!$AD$9,"DD-MMM-YY HH:MM")&amp;" "&amp;Checks!$P$9,"")&amp;IF(Checks!$AE$9="","",CHAR(10)&amp;"Verifier: "&amp;Checks!$AE$9)&amp;IF(Checks!$T$9="","",CHAR(10)&amp;"PIC: "&amp;Checks!$T$9)</f>
        <v/>
      </c>
      <c r="H27" s="113" t="str">
        <f aca="false">IF(Checks!$AH$9="","",Checks!$AH$9)</f>
        <v>OPEN</v>
      </c>
    </row>
    <row r="28" customFormat="false" ht="114" hidden="false" customHeight="true" outlineLevel="0" collapsed="false">
      <c r="A28" s="112" t="str">
        <f aca="false">Checks!$A$10&amp;CHAR(10)&amp;IF(Checks!$I$10="","",Checks!$I$10&amp;": ")&amp;Checks!$J$10</f>
        <v>F01-T7-06
ISOP: Caterer acknowledgement of ISOP revisions recorded</v>
      </c>
      <c r="B28" s="112" t="str">
        <f aca="false">Checks!$K$10&amp;IF(Checks!$O$10="","",IF(Checks!$K$10="","",CHAR(10))&amp;"Note: "&amp;Checks!$O$10)</f>
        <v>Record acknowledgement ref in Evidence</v>
      </c>
      <c r="C28" s="112" t="str">
        <f aca="false">Checks!$N$10&amp;CHAR(10)&amp;IF(ISNUMBER(Checks!$R$10),TEXT(Checks!$R$10,"DD-MMM-YY HH:MM"),"")&amp;" "&amp;Checks!$P$10</f>
        <v>Required
01-Oct-26 21:35 LHR</v>
      </c>
      <c r="D28" s="112" t="str">
        <f aca="false">IF(Checks!$U$10="","",Checks!$U$10)&amp;IF(Checks!$AB$10="","",CHAR(10)&amp;"CA: "&amp;Checks!$AB$10)</f>
        <v/>
      </c>
      <c r="E28" s="112" t="str">
        <f aca="false">IF(Checks!$V$10="","",Checks!$V$10)&amp;IF(Checks!$AC$10="","",IF(Checks!$V$10="","",CHAR(10))&amp;"N/A just.: "&amp;Checks!$AC$10)&amp;IF(Checks!$W$10="","",CHAR(10)&amp;"Batch: "&amp;Checks!$W$10)&amp;IF(AND(Checks!$X$10="",Checks!$Y$10=""),"",CHAR(10)&amp;"Exp: "&amp;Checks!$X$10&amp;"  /  Act: "&amp;Checks!$Y$10)</f>
        <v/>
      </c>
      <c r="F28" s="112" t="str">
        <f aca="false">IF(Checks!$Z$10="","","Evidence: "&amp;Checks!$Z$10)&amp;IF(Checks!$AA$10="","",IF(Checks!$Z$10="","",CHAR(10))&amp;"CA: "&amp;Checks!$AA$10)</f>
        <v/>
      </c>
      <c r="G28" s="112" t="str">
        <f aca="false">IF(ISNUMBER(Checks!$AD$10),TEXT(Checks!$AD$10,"DD-MMM-YY HH:MM")&amp;" "&amp;Checks!$P$10,"")&amp;IF(Checks!$AE$10="","",CHAR(10)&amp;"Verifier: "&amp;Checks!$AE$10)&amp;IF(Checks!$T$10="","",CHAR(10)&amp;"PIC: "&amp;Checks!$T$10)</f>
        <v/>
      </c>
      <c r="H28" s="113" t="str">
        <f aca="false">IF(Checks!$AH$10="","",Checks!$AH$10)</f>
        <v>OPEN</v>
      </c>
    </row>
    <row r="29" customFormat="false" ht="114" hidden="false" customHeight="true" outlineLevel="0" collapsed="false">
      <c r="A29" s="112" t="str">
        <f aca="false">Checks!$A$11&amp;CHAR(10)&amp;IF(Checks!$I$11="","",Checks!$I$11&amp;": ")&amp;Checks!$J$11</f>
        <v>F01-T7-07
Documents: Galley loading diagram (GLD) received, revision recorded &amp; attached</v>
      </c>
      <c r="B29" s="112" t="str">
        <f aca="false">Checks!$K$11&amp;IF(Checks!$O$11="","",IF(Checks!$K$11="","",CHAR(10))&amp;"Note: "&amp;Checks!$O$11)</f>
        <v>Documents sheet row complete</v>
      </c>
      <c r="C29" s="112" t="str">
        <f aca="false">Checks!$N$11&amp;CHAR(10)&amp;IF(ISNUMBER(Checks!$R$11),TEXT(Checks!$R$11,"DD-MMM-YY HH:MM"),"")&amp;" "&amp;Checks!$P$11</f>
        <v>Required
01-Oct-26 21:35 LHR</v>
      </c>
      <c r="D29" s="112" t="str">
        <f aca="false">IF(Checks!$U$11="","",Checks!$U$11)&amp;IF(Checks!$AB$11="","",CHAR(10)&amp;"CA: "&amp;Checks!$AB$11)</f>
        <v/>
      </c>
      <c r="E29" s="112" t="str">
        <f aca="false">IF(Checks!$V$11="","",Checks!$V$11)&amp;IF(Checks!$AC$11="","",IF(Checks!$V$11="","",CHAR(10))&amp;"N/A just.: "&amp;Checks!$AC$11)&amp;IF(Checks!$W$11="","",CHAR(10)&amp;"Batch: "&amp;Checks!$W$11)&amp;IF(AND(Checks!$X$11="",Checks!$Y$11=""),"",CHAR(10)&amp;"Exp: "&amp;Checks!$X$11&amp;"  /  Act: "&amp;Checks!$Y$11)</f>
        <v/>
      </c>
      <c r="F29" s="112" t="str">
        <f aca="false">IF(Checks!$Z$11="","","Evidence: "&amp;Checks!$Z$11)&amp;IF(Checks!$AA$11="","",IF(Checks!$Z$11="","",CHAR(10))&amp;"CA: "&amp;Checks!$AA$11)</f>
        <v/>
      </c>
      <c r="G29" s="112" t="str">
        <f aca="false">IF(ISNUMBER(Checks!$AD$11),TEXT(Checks!$AD$11,"DD-MMM-YY HH:MM")&amp;" "&amp;Checks!$P$11,"")&amp;IF(Checks!$AE$11="","",CHAR(10)&amp;"Verifier: "&amp;Checks!$AE$11)&amp;IF(Checks!$T$11="","",CHAR(10)&amp;"PIC: "&amp;Checks!$T$11)</f>
        <v/>
      </c>
      <c r="H29" s="113" t="str">
        <f aca="false">IF(Checks!$AH$11="","",Checks!$AH$11)</f>
        <v>OPEN</v>
      </c>
    </row>
    <row r="30" customFormat="false" ht="114" hidden="false" customHeight="true" outlineLevel="0" collapsed="false">
      <c r="A30" s="112" t="str">
        <f aca="false">Checks!$A$12&amp;CHAR(10)&amp;IF(Checks!$I$12="","",Checks!$I$12&amp;": ")&amp;Checks!$J$12</f>
        <v>F01-T7-08
Documents: Menu checklist received, revision recorded &amp; attached</v>
      </c>
      <c r="B30" s="112" t="str">
        <f aca="false">Checks!$K$12&amp;IF(Checks!$O$12="","",IF(Checks!$K$12="","",CHAR(10))&amp;"Note: "&amp;Checks!$O$12)</f>
        <v>Documents sheet row complete</v>
      </c>
      <c r="C30" s="112" t="str">
        <f aca="false">Checks!$N$12&amp;CHAR(10)&amp;IF(ISNUMBER(Checks!$R$12),TEXT(Checks!$R$12,"DD-MMM-YY HH:MM"),"")&amp;" "&amp;Checks!$P$12</f>
        <v>Required
01-Oct-26 21:35 LHR</v>
      </c>
      <c r="D30" s="112" t="str">
        <f aca="false">IF(Checks!$U$12="","",Checks!$U$12)&amp;IF(Checks!$AB$12="","",CHAR(10)&amp;"CA: "&amp;Checks!$AB$12)</f>
        <v/>
      </c>
      <c r="E30" s="112" t="str">
        <f aca="false">IF(Checks!$V$12="","",Checks!$V$12)&amp;IF(Checks!$AC$12="","",IF(Checks!$V$12="","",CHAR(10))&amp;"N/A just.: "&amp;Checks!$AC$12)&amp;IF(Checks!$W$12="","",CHAR(10)&amp;"Batch: "&amp;Checks!$W$12)&amp;IF(AND(Checks!$X$12="",Checks!$Y$12=""),"",CHAR(10)&amp;"Exp: "&amp;Checks!$X$12&amp;"  /  Act: "&amp;Checks!$Y$12)</f>
        <v/>
      </c>
      <c r="F30" s="112" t="str">
        <f aca="false">IF(Checks!$Z$12="","","Evidence: "&amp;Checks!$Z$12)&amp;IF(Checks!$AA$12="","",IF(Checks!$Z$12="","",CHAR(10))&amp;"CA: "&amp;Checks!$AA$12)</f>
        <v/>
      </c>
      <c r="G30" s="112" t="str">
        <f aca="false">IF(ISNUMBER(Checks!$AD$12),TEXT(Checks!$AD$12,"DD-MMM-YY HH:MM")&amp;" "&amp;Checks!$P$12,"")&amp;IF(Checks!$AE$12="","",CHAR(10)&amp;"Verifier: "&amp;Checks!$AE$12)&amp;IF(Checks!$T$12="","",CHAR(10)&amp;"PIC: "&amp;Checks!$T$12)</f>
        <v/>
      </c>
      <c r="H30" s="113" t="str">
        <f aca="false">IF(Checks!$AH$12="","",Checks!$AH$12)</f>
        <v>OPEN</v>
      </c>
    </row>
    <row r="31" customFormat="false" ht="114" hidden="false" customHeight="true" outlineLevel="0" collapsed="false">
      <c r="A31" s="112" t="str">
        <f aca="false">Checks!$A$13&amp;CHAR(10)&amp;IF(Checks!$I$13="","",Checks!$I$13&amp;": ")&amp;Checks!$J$13</f>
        <v>F01-T7-09
Uplift plan: Uplift plan confirmed with caterer vs STD Uplift Information</v>
      </c>
      <c r="B31" s="112" t="str">
        <f aca="false">Checks!$K$13&amp;IF(Checks!$O$13="","",IF(Checks!$K$13="","",CHAR(10))&amp;"Note: "&amp;Checks!$O$13)</f>
        <v>Service: 2.5 Meal (Meal); meal uplift stn LHR (ref lists KUL/LHR)</v>
      </c>
      <c r="C31" s="112" t="str">
        <f aca="false">Checks!$N$13&amp;CHAR(10)&amp;IF(ISNUMBER(Checks!$R$13),TEXT(Checks!$R$13,"DD-MMM-YY HH:MM"),"")&amp;" "&amp;Checks!$P$13</f>
        <v>Required
01-Oct-26 21:35 LHR</v>
      </c>
      <c r="D31" s="112" t="str">
        <f aca="false">IF(Checks!$U$13="","",Checks!$U$13)&amp;IF(Checks!$AB$13="","",CHAR(10)&amp;"CA: "&amp;Checks!$AB$13)</f>
        <v/>
      </c>
      <c r="E31" s="112" t="str">
        <f aca="false">IF(Checks!$V$13="","",Checks!$V$13)&amp;IF(Checks!$AC$13="","",IF(Checks!$V$13="","",CHAR(10))&amp;"N/A just.: "&amp;Checks!$AC$13)&amp;IF(Checks!$W$13="","",CHAR(10)&amp;"Batch: "&amp;Checks!$W$13)&amp;IF(AND(Checks!$X$13="",Checks!$Y$13=""),"",CHAR(10)&amp;"Exp: "&amp;Checks!$X$13&amp;"  /  Act: "&amp;Checks!$Y$13)</f>
        <v/>
      </c>
      <c r="F31" s="112" t="str">
        <f aca="false">IF(Checks!$Z$13="","","Evidence: "&amp;Checks!$Z$13)&amp;IF(Checks!$AA$13="","",IF(Checks!$Z$13="","",CHAR(10))&amp;"CA: "&amp;Checks!$AA$13)</f>
        <v/>
      </c>
      <c r="G31" s="112" t="str">
        <f aca="false">IF(ISNUMBER(Checks!$AD$13),TEXT(Checks!$AD$13,"DD-MMM-YY HH:MM")&amp;" "&amp;Checks!$P$13,"")&amp;IF(Checks!$AE$13="","",CHAR(10)&amp;"Verifier: "&amp;Checks!$AE$13)&amp;IF(Checks!$T$13="","",CHAR(10)&amp;"PIC: "&amp;Checks!$T$13)</f>
        <v/>
      </c>
      <c r="H31" s="113" t="str">
        <f aca="false">IF(Checks!$AH$13="","",Checks!$AH$13)</f>
        <v>OPEN</v>
      </c>
    </row>
    <row r="32" customFormat="false" ht="25.5" hidden="false" customHeight="true" outlineLevel="0" collapsed="false">
      <c r="A32" s="111"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Checks!$A$14&amp;CHAR(10)&amp;IF(Checks!$I$14="","",Checks!$I$14&amp;": ")&amp;Checks!$J$14</f>
        <v>F01-T24-01
Meal: Sensory test repeated on ACTUAL production batch for this flight</v>
      </c>
      <c r="B33" s="112" t="str">
        <f aca="false">Checks!$K$14&amp;IF(Checks!$O$14="","",IF(Checks!$K$14="","",CHAR(10))&amp;"Note: "&amp;Checks!$O$14)</f>
        <v>Batch ID, result, CA and acceptance mandatory</v>
      </c>
      <c r="C33" s="112" t="str">
        <f aca="false">Checks!$N$14&amp;CHAR(10)&amp;IF(ISNUMBER(Checks!$R$14),TEXT(Checks!$R$14,"DD-MMM-YY HH:MM"),"")&amp;" "&amp;Checks!$P$14</f>
        <v>Required
07-Oct-26 21:35 LHR</v>
      </c>
      <c r="D33" s="112" t="str">
        <f aca="false">IF(Checks!$U$14="","",Checks!$U$14)&amp;IF(Checks!$AB$14="","",CHAR(10)&amp;"CA: "&amp;Checks!$AB$14)</f>
        <v/>
      </c>
      <c r="E33" s="112" t="str">
        <f aca="false">IF(Checks!$V$14="","",Checks!$V$14)&amp;IF(Checks!$AC$14="","",IF(Checks!$V$14="","",CHAR(10))&amp;"N/A just.: "&amp;Checks!$AC$14)&amp;IF(Checks!$W$14="","",CHAR(10)&amp;"Batch: "&amp;Checks!$W$14)&amp;IF(AND(Checks!$X$14="",Checks!$Y$14=""),"",CHAR(10)&amp;"Exp: "&amp;Checks!$X$14&amp;"  /  Act: "&amp;Checks!$Y$14)</f>
        <v/>
      </c>
      <c r="F33" s="112" t="str">
        <f aca="false">IF(Checks!$Z$14="","","Evidence: "&amp;Checks!$Z$14)&amp;IF(Checks!$AA$14="","",IF(Checks!$Z$14="","",CHAR(10))&amp;"CA: "&amp;Checks!$AA$14)</f>
        <v/>
      </c>
      <c r="G33" s="112" t="str">
        <f aca="false">IF(ISNUMBER(Checks!$AD$14),TEXT(Checks!$AD$14,"DD-MMM-YY HH:MM")&amp;" "&amp;Checks!$P$14,"")&amp;IF(Checks!$AE$14="","",CHAR(10)&amp;"Verifier: "&amp;Checks!$AE$14)&amp;IF(Checks!$T$14="","",CHAR(10)&amp;"PIC: "&amp;Checks!$T$14)</f>
        <v/>
      </c>
      <c r="H33" s="113" t="str">
        <f aca="false">IF(Checks!$AH$14="","",Checks!$AH$14)</f>
        <v>OPEN</v>
      </c>
    </row>
    <row r="34" customFormat="false" ht="25.5" hidden="false" customHeight="true" outlineLevel="0" collapsed="false">
      <c r="A34" s="111"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1"/>
      <c r="C34" s="111"/>
      <c r="D34" s="111"/>
      <c r="E34" s="111"/>
      <c r="F34" s="111"/>
      <c r="G34" s="111"/>
      <c r="H34" s="111"/>
    </row>
    <row r="35" customFormat="false" ht="114" hidden="false" customHeight="true" outlineLevel="0" collapsed="false">
      <c r="A35" s="112" t="str">
        <f aca="false">Checks!$A$15&amp;CHAR(10)&amp;IF(Checks!$I$15="","",Checks!$I$15&amp;": ")&amp;Checks!$J$15</f>
        <v>F01-T12-01
Meal: Meal quality vs menu checklist</v>
      </c>
      <c r="B35" s="112" t="str">
        <f aca="false">Checks!$K$15&amp;IF(Checks!$O$15="","",IF(Checks!$K$15="","",CHAR(10))&amp;"Note: "&amp;Checks!$O$15)</f>
        <v>Note: Preparation check at caterer - does NOT confirm loading.</v>
      </c>
      <c r="C35" s="112" t="str">
        <f aca="false">Checks!$N$15&amp;CHAR(10)&amp;IF(ISNUMBER(Checks!$R$15),TEXT(Checks!$R$15,"DD-MMM-YY HH:MM"),"")&amp;" "&amp;Checks!$P$15</f>
        <v>Required
08-Oct-26 09:35 LHR</v>
      </c>
      <c r="D35" s="112" t="str">
        <f aca="false">IF(Checks!$U$15="","",Checks!$U$15)&amp;IF(Checks!$AB$15="","",CHAR(10)&amp;"CA: "&amp;Checks!$AB$15)</f>
        <v/>
      </c>
      <c r="E35" s="112" t="str">
        <f aca="false">IF(Checks!$V$15="","",Checks!$V$15)&amp;IF(Checks!$AC$15="","",IF(Checks!$V$15="","",CHAR(10))&amp;"N/A just.: "&amp;Checks!$AC$15)&amp;IF(Checks!$W$15="","",CHAR(10)&amp;"Batch: "&amp;Checks!$W$15)&amp;IF(AND(Checks!$X$15="",Checks!$Y$15=""),"",CHAR(10)&amp;"Exp: "&amp;Checks!$X$15&amp;"  /  Act: "&amp;Checks!$Y$15)</f>
        <v/>
      </c>
      <c r="F35" s="112" t="str">
        <f aca="false">IF(Checks!$Z$15="","","Evidence: "&amp;Checks!$Z$15)&amp;IF(Checks!$AA$15="","",IF(Checks!$Z$15="","",CHAR(10))&amp;"CA: "&amp;Checks!$AA$15)</f>
        <v/>
      </c>
      <c r="G35" s="112" t="str">
        <f aca="false">IF(ISNUMBER(Checks!$AD$15),TEXT(Checks!$AD$15,"DD-MMM-YY HH:MM")&amp;" "&amp;Checks!$P$15,"")&amp;IF(Checks!$AE$15="","",CHAR(10)&amp;"Verifier: "&amp;Checks!$AE$15)&amp;IF(Checks!$T$15="","",CHAR(10)&amp;"PIC: "&amp;Checks!$T$15)</f>
        <v/>
      </c>
      <c r="H35" s="113" t="str">
        <f aca="false">IF(Checks!$AH$15="","",Checks!$AH$15)</f>
        <v>OPEN</v>
      </c>
    </row>
    <row r="36" customFormat="false" ht="114" hidden="false" customHeight="true" outlineLevel="0" collapsed="false">
      <c r="A36" s="112" t="str">
        <f aca="false">Checks!$A$16&amp;CHAR(10)&amp;IF(Checks!$I$16="","",Checks!$I$16&amp;": ")&amp;Checks!$J$16</f>
        <v>F01-T12-02
Meal: Meal quantities vs menu checklist</v>
      </c>
      <c r="B36" s="112" t="str">
        <f aca="false">Checks!$K$16&amp;IF(Checks!$O$16="","",IF(Checks!$K$16="","",CHAR(10))&amp;"Note: "&amp;Checks!$O$16)</f>
        <v>Enter expected &amp; actual
Note: Preparation check at caterer - does NOT confirm loading.</v>
      </c>
      <c r="C36" s="112" t="str">
        <f aca="false">Checks!$N$16&amp;CHAR(10)&amp;IF(ISNUMBER(Checks!$R$16),TEXT(Checks!$R$16,"DD-MMM-YY HH:MM"),"")&amp;" "&amp;Checks!$P$16</f>
        <v>Required
08-Oct-26 09:35 LHR</v>
      </c>
      <c r="D36" s="112" t="str">
        <f aca="false">IF(Checks!$U$16="","",Checks!$U$16)&amp;IF(Checks!$AB$16="","",CHAR(10)&amp;"CA: "&amp;Checks!$AB$16)</f>
        <v/>
      </c>
      <c r="E36" s="112" t="str">
        <f aca="false">IF(Checks!$V$16="","",Checks!$V$16)&amp;IF(Checks!$AC$16="","",IF(Checks!$V$16="","",CHAR(10))&amp;"N/A just.: "&amp;Checks!$AC$16)&amp;IF(Checks!$W$16="","",CHAR(10)&amp;"Batch: "&amp;Checks!$W$16)&amp;IF(AND(Checks!$X$16="",Checks!$Y$16=""),"",CHAR(10)&amp;"Exp: "&amp;Checks!$X$16&amp;"  /  Act: "&amp;Checks!$Y$16)</f>
        <v/>
      </c>
      <c r="F36" s="112" t="str">
        <f aca="false">IF(Checks!$Z$16="","","Evidence: "&amp;Checks!$Z$16)&amp;IF(Checks!$AA$16="","",IF(Checks!$Z$16="","",CHAR(10))&amp;"CA: "&amp;Checks!$AA$16)</f>
        <v/>
      </c>
      <c r="G36" s="112" t="str">
        <f aca="false">IF(ISNUMBER(Checks!$AD$16),TEXT(Checks!$AD$16,"DD-MMM-YY HH:MM")&amp;" "&amp;Checks!$P$16,"")&amp;IF(Checks!$AE$16="","",CHAR(10)&amp;"Verifier: "&amp;Checks!$AE$16)&amp;IF(Checks!$T$16="","",CHAR(10)&amp;"PIC: "&amp;Checks!$T$16)</f>
        <v/>
      </c>
      <c r="H36" s="113" t="str">
        <f aca="false">IF(Checks!$AH$16="","",Checks!$AH$16)</f>
        <v>OPEN</v>
      </c>
    </row>
    <row r="37" customFormat="false" ht="114" hidden="false" customHeight="true" outlineLevel="0" collapsed="false">
      <c r="A37" s="112" t="str">
        <f aca="false">Checks!$A$17&amp;CHAR(10)&amp;IF(Checks!$I$17="","",Checks!$I$17&amp;": ")&amp;Checks!$J$17</f>
        <v>F01-T12-03
Equipment: Equipment cleanliness vs GLD</v>
      </c>
      <c r="B37" s="112" t="str">
        <f aca="false">Checks!$K$17&amp;IF(Checks!$O$17="","",IF(Checks!$K$17="","",CHAR(10))&amp;"Note: "&amp;Checks!$O$17)</f>
        <v>Note: Preparation check at caterer - does NOT confirm loading.</v>
      </c>
      <c r="C37" s="112" t="str">
        <f aca="false">Checks!$N$17&amp;CHAR(10)&amp;IF(ISNUMBER(Checks!$R$17),TEXT(Checks!$R$17,"DD-MMM-YY HH:MM"),"")&amp;" "&amp;Checks!$P$17</f>
        <v>Required
08-Oct-26 09:35 LHR</v>
      </c>
      <c r="D37" s="112" t="str">
        <f aca="false">IF(Checks!$U$17="","",Checks!$U$17)&amp;IF(Checks!$AB$17="","",CHAR(10)&amp;"CA: "&amp;Checks!$AB$17)</f>
        <v/>
      </c>
      <c r="E37" s="112" t="str">
        <f aca="false">IF(Checks!$V$17="","",Checks!$V$17)&amp;IF(Checks!$AC$17="","",IF(Checks!$V$17="","",CHAR(10))&amp;"N/A just.: "&amp;Checks!$AC$17)&amp;IF(Checks!$W$17="","",CHAR(10)&amp;"Batch: "&amp;Checks!$W$17)&amp;IF(AND(Checks!$X$17="",Checks!$Y$17=""),"",CHAR(10)&amp;"Exp: "&amp;Checks!$X$17&amp;"  /  Act: "&amp;Checks!$Y$17)</f>
        <v/>
      </c>
      <c r="F37" s="112" t="str">
        <f aca="false">IF(Checks!$Z$17="","","Evidence: "&amp;Checks!$Z$17)&amp;IF(Checks!$AA$17="","",IF(Checks!$Z$17="","",CHAR(10))&amp;"CA: "&amp;Checks!$AA$17)</f>
        <v/>
      </c>
      <c r="G37" s="112" t="str">
        <f aca="false">IF(ISNUMBER(Checks!$AD$17),TEXT(Checks!$AD$17,"DD-MMM-YY HH:MM")&amp;" "&amp;Checks!$P$17,"")&amp;IF(Checks!$AE$17="","",CHAR(10)&amp;"Verifier: "&amp;Checks!$AE$17)&amp;IF(Checks!$T$17="","",CHAR(10)&amp;"PIC: "&amp;Checks!$T$17)</f>
        <v/>
      </c>
      <c r="H37" s="113" t="str">
        <f aca="false">IF(Checks!$AH$17="","",Checks!$AH$17)</f>
        <v>OPEN</v>
      </c>
    </row>
    <row r="38" customFormat="false" ht="114" hidden="false" customHeight="true" outlineLevel="0" collapsed="false">
      <c r="A38" s="112" t="str">
        <f aca="false">Checks!$A$18&amp;CHAR(10)&amp;IF(Checks!$I$18="","",Checks!$I$18&amp;": ")&amp;Checks!$J$18</f>
        <v>F01-T12-04
Equipment: Equipment presentation vs GLD</v>
      </c>
      <c r="B38" s="112" t="str">
        <f aca="false">Checks!$K$18&amp;IF(Checks!$O$18="","",IF(Checks!$K$18="","",CHAR(10))&amp;"Note: "&amp;Checks!$O$18)</f>
        <v>Note: Preparation check at caterer - does NOT confirm loading.</v>
      </c>
      <c r="C38" s="112" t="str">
        <f aca="false">Checks!$N$18&amp;CHAR(10)&amp;IF(ISNUMBER(Checks!$R$18),TEXT(Checks!$R$18,"DD-MMM-YY HH:MM"),"")&amp;" "&amp;Checks!$P$18</f>
        <v>Required
08-Oct-26 09:35 LHR</v>
      </c>
      <c r="D38" s="112" t="str">
        <f aca="false">IF(Checks!$U$18="","",Checks!$U$18)&amp;IF(Checks!$AB$18="","",CHAR(10)&amp;"CA: "&amp;Checks!$AB$18)</f>
        <v/>
      </c>
      <c r="E38" s="112" t="str">
        <f aca="false">IF(Checks!$V$18="","",Checks!$V$18)&amp;IF(Checks!$AC$18="","",IF(Checks!$V$18="","",CHAR(10))&amp;"N/A just.: "&amp;Checks!$AC$18)&amp;IF(Checks!$W$18="","",CHAR(10)&amp;"Batch: "&amp;Checks!$W$18)&amp;IF(AND(Checks!$X$18="",Checks!$Y$18=""),"",CHAR(10)&amp;"Exp: "&amp;Checks!$X$18&amp;"  /  Act: "&amp;Checks!$Y$18)</f>
        <v/>
      </c>
      <c r="F38" s="112" t="str">
        <f aca="false">IF(Checks!$Z$18="","","Evidence: "&amp;Checks!$Z$18)&amp;IF(Checks!$AA$18="","",IF(Checks!$Z$18="","",CHAR(10))&amp;"CA: "&amp;Checks!$AA$18)</f>
        <v/>
      </c>
      <c r="G38" s="112" t="str">
        <f aca="false">IF(ISNUMBER(Checks!$AD$18),TEXT(Checks!$AD$18,"DD-MMM-YY HH:MM")&amp;" "&amp;Checks!$P$18,"")&amp;IF(Checks!$AE$18="","",CHAR(10)&amp;"Verifier: "&amp;Checks!$AE$18)&amp;IF(Checks!$T$18="","",CHAR(10)&amp;"PIC: "&amp;Checks!$T$18)</f>
        <v/>
      </c>
      <c r="H38" s="113" t="str">
        <f aca="false">IF(Checks!$AH$18="","",Checks!$AH$18)</f>
        <v>OPEN</v>
      </c>
    </row>
    <row r="39" customFormat="false" ht="114" hidden="false" customHeight="true" outlineLevel="0" collapsed="false">
      <c r="A39" s="112" t="str">
        <f aca="false">Checks!$A$19&amp;CHAR(10)&amp;IF(Checks!$I$19="","",Checks!$I$19&amp;": ")&amp;Checks!$J$19</f>
        <v>F01-T12-05
Equipment: Equipment serviceability vs GLD</v>
      </c>
      <c r="B39" s="112" t="str">
        <f aca="false">Checks!$K$19&amp;IF(Checks!$O$19="","",IF(Checks!$K$19="","",CHAR(10))&amp;"Note: "&amp;Checks!$O$19)</f>
        <v>Note: Preparation check at caterer - does NOT confirm loading.</v>
      </c>
      <c r="C39" s="112" t="str">
        <f aca="false">Checks!$N$19&amp;CHAR(10)&amp;IF(ISNUMBER(Checks!$R$19),TEXT(Checks!$R$19,"DD-MMM-YY HH:MM"),"")&amp;" "&amp;Checks!$P$19</f>
        <v>Required
08-Oct-26 09:35 LHR</v>
      </c>
      <c r="D39" s="112" t="str">
        <f aca="false">IF(Checks!$U$19="","",Checks!$U$19)&amp;IF(Checks!$AB$19="","",CHAR(10)&amp;"CA: "&amp;Checks!$AB$19)</f>
        <v/>
      </c>
      <c r="E39" s="112" t="str">
        <f aca="false">IF(Checks!$V$19="","",Checks!$V$19)&amp;IF(Checks!$AC$19="","",IF(Checks!$V$19="","",CHAR(10))&amp;"N/A just.: "&amp;Checks!$AC$19)&amp;IF(Checks!$W$19="","",CHAR(10)&amp;"Batch: "&amp;Checks!$W$19)&amp;IF(AND(Checks!$X$19="",Checks!$Y$19=""),"",CHAR(10)&amp;"Exp: "&amp;Checks!$X$19&amp;"  /  Act: "&amp;Checks!$Y$19)</f>
        <v/>
      </c>
      <c r="F39" s="112" t="str">
        <f aca="false">IF(Checks!$Z$19="","","Evidence: "&amp;Checks!$Z$19)&amp;IF(Checks!$AA$19="","",IF(Checks!$Z$19="","",CHAR(10))&amp;"CA: "&amp;Checks!$AA$19)</f>
        <v/>
      </c>
      <c r="G39" s="112" t="str">
        <f aca="false">IF(ISNUMBER(Checks!$AD$19),TEXT(Checks!$AD$19,"DD-MMM-YY HH:MM")&amp;" "&amp;Checks!$P$19,"")&amp;IF(Checks!$AE$19="","",CHAR(10)&amp;"Verifier: "&amp;Checks!$AE$19)&amp;IF(Checks!$T$19="","",CHAR(10)&amp;"PIC: "&amp;Checks!$T$19)</f>
        <v/>
      </c>
      <c r="H39" s="113" t="str">
        <f aca="false">IF(Checks!$AH$19="","",Checks!$AH$19)</f>
        <v>OPEN</v>
      </c>
    </row>
    <row r="40" customFormat="false" ht="322.5" hidden="false" customHeight="true" outlineLevel="0" collapsed="false">
      <c r="A40" s="112" t="str">
        <f aca="false">Checks!$A$20&amp;CHAR(10)&amp;IF(Checks!$I$20="","",Checks!$I$20&amp;": ")&amp;Checks!$J$20</f>
        <v>F01-T12-06
Equipment: Equipment quantities vs GLD</v>
      </c>
      <c r="B40" s="112"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2" t="str">
        <f aca="false">Checks!$N$20&amp;CHAR(10)&amp;IF(ISNUMBER(Checks!$R$20),TEXT(Checks!$R$20,"DD-MMM-YY HH:MM"),"")&amp;" "&amp;Checks!$P$20</f>
        <v>Required
08-Oct-26 09:35 LHR</v>
      </c>
      <c r="D40" s="112" t="str">
        <f aca="false">IF(Checks!$U$20="","",Checks!$U$20)&amp;IF(Checks!$AB$20="","",CHAR(10)&amp;"CA: "&amp;Checks!$AB$20)</f>
        <v/>
      </c>
      <c r="E40" s="112" t="str">
        <f aca="false">IF(Checks!$V$20="","",Checks!$V$20)&amp;IF(Checks!$AC$20="","",IF(Checks!$V$20="","",CHAR(10))&amp;"N/A just.: "&amp;Checks!$AC$20)&amp;IF(Checks!$W$20="","",CHAR(10)&amp;"Batch: "&amp;Checks!$W$20)&amp;IF(AND(Checks!$X$20="",Checks!$Y$20=""),"",CHAR(10)&amp;"Exp: "&amp;Checks!$X$20&amp;"  /  Act: "&amp;Checks!$Y$20)</f>
        <v/>
      </c>
      <c r="F40" s="112" t="str">
        <f aca="false">IF(Checks!$Z$20="","","Evidence: "&amp;Checks!$Z$20)&amp;IF(Checks!$AA$20="","",IF(Checks!$Z$20="","",CHAR(10))&amp;"CA: "&amp;Checks!$AA$20)</f>
        <v/>
      </c>
      <c r="G40" s="112" t="str">
        <f aca="false">IF(ISNUMBER(Checks!$AD$20),TEXT(Checks!$AD$20,"DD-MMM-YY HH:MM")&amp;" "&amp;Checks!$P$20,"")&amp;IF(Checks!$AE$20="","",CHAR(10)&amp;"Verifier: "&amp;Checks!$AE$20)&amp;IF(Checks!$T$20="","",CHAR(10)&amp;"PIC: "&amp;Checks!$T$20)</f>
        <v/>
      </c>
      <c r="H40" s="113" t="str">
        <f aca="false">IF(Checks!$AH$20="","",Checks!$AH$20)</f>
        <v>OPEN</v>
      </c>
    </row>
    <row r="41" customFormat="false" ht="114" hidden="false" customHeight="true" outlineLevel="0" collapsed="false">
      <c r="A41" s="112" t="str">
        <f aca="false">Checks!$A$21&amp;CHAR(10)&amp;IF(Checks!$I$21="","",Checks!$I$21&amp;": ")&amp;Checks!$J$21</f>
        <v>F01-T12-07
Equipment: Loading positions planned vs GLD</v>
      </c>
      <c r="B41" s="112" t="str">
        <f aca="false">Checks!$K$21&amp;IF(Checks!$O$21="","",IF(Checks!$K$21="","",CHAR(10))&amp;"Note: "&amp;Checks!$O$21)</f>
        <v>Note: Preparation check at caterer - does NOT confirm loading.</v>
      </c>
      <c r="C41" s="112" t="str">
        <f aca="false">Checks!$N$21&amp;CHAR(10)&amp;IF(ISNUMBER(Checks!$R$21),TEXT(Checks!$R$21,"DD-MMM-YY HH:MM"),"")&amp;" "&amp;Checks!$P$21</f>
        <v>Required
08-Oct-26 09:35 LHR</v>
      </c>
      <c r="D41" s="112" t="str">
        <f aca="false">IF(Checks!$U$21="","",Checks!$U$21)&amp;IF(Checks!$AB$21="","",CHAR(10)&amp;"CA: "&amp;Checks!$AB$21)</f>
        <v/>
      </c>
      <c r="E41" s="112" t="str">
        <f aca="false">IF(Checks!$V$21="","",Checks!$V$21)&amp;IF(Checks!$AC$21="","",IF(Checks!$V$21="","",CHAR(10))&amp;"N/A just.: "&amp;Checks!$AC$21)&amp;IF(Checks!$W$21="","",CHAR(10)&amp;"Batch: "&amp;Checks!$W$21)&amp;IF(AND(Checks!$X$21="",Checks!$Y$21=""),"",CHAR(10)&amp;"Exp: "&amp;Checks!$X$21&amp;"  /  Act: "&amp;Checks!$Y$21)</f>
        <v/>
      </c>
      <c r="F41" s="112" t="str">
        <f aca="false">IF(Checks!$Z$21="","","Evidence: "&amp;Checks!$Z$21)&amp;IF(Checks!$AA$21="","",IF(Checks!$Z$21="","",CHAR(10))&amp;"CA: "&amp;Checks!$AA$21)</f>
        <v/>
      </c>
      <c r="G41" s="112" t="str">
        <f aca="false">IF(ISNUMBER(Checks!$AD$21),TEXT(Checks!$AD$21,"DD-MMM-YY HH:MM")&amp;" "&amp;Checks!$P$21,"")&amp;IF(Checks!$AE$21="","",CHAR(10)&amp;"Verifier: "&amp;Checks!$AE$21)&amp;IF(Checks!$T$21="","",CHAR(10)&amp;"PIC: "&amp;Checks!$T$21)</f>
        <v/>
      </c>
      <c r="H41" s="113" t="str">
        <f aca="false">IF(Checks!$AH$21="","",Checks!$AH$21)</f>
        <v>OPEN</v>
      </c>
    </row>
    <row r="42" customFormat="false" ht="135.75" hidden="false" customHeight="true" outlineLevel="0" collapsed="false">
      <c r="A42" s="112" t="str">
        <f aca="false">Checks!$A$22&amp;CHAR(10)&amp;IF(Checks!$I$22="","",Checks!$I$22&amp;": ")&amp;Checks!$J$22</f>
        <v>F01-T12-08
Amenities: Toiletry kits - prepared</v>
      </c>
      <c r="B42" s="112"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2" t="str">
        <f aca="false">Checks!$N$22&amp;CHAR(10)&amp;IF(ISNUMBER(Checks!$R$22),TEXT(Checks!$R$22,"DD-MMM-YY HH:MM"),"")&amp;" "&amp;Checks!$P$22</f>
        <v>Clarification required
08-Oct-26 09:35 LHR</v>
      </c>
      <c r="D42" s="112" t="str">
        <f aca="false">IF(Checks!$U$22="","",Checks!$U$22)&amp;IF(Checks!$AB$22="","",CHAR(10)&amp;"CA: "&amp;Checks!$AB$22)</f>
        <v/>
      </c>
      <c r="E42" s="112" t="str">
        <f aca="false">IF(Checks!$V$22="","",Checks!$V$22)&amp;IF(Checks!$AC$22="","",IF(Checks!$V$22="","",CHAR(10))&amp;"N/A just.: "&amp;Checks!$AC$22)&amp;IF(Checks!$W$22="","",CHAR(10)&amp;"Batch: "&amp;Checks!$W$22)&amp;IF(AND(Checks!$X$22="",Checks!$Y$22=""),"",CHAR(10)&amp;"Exp: "&amp;Checks!$X$22&amp;"  /  Act: "&amp;Checks!$Y$22)</f>
        <v/>
      </c>
      <c r="F42" s="112" t="str">
        <f aca="false">IF(Checks!$Z$22="","","Evidence: "&amp;Checks!$Z$22)&amp;IF(Checks!$AA$22="","",IF(Checks!$Z$22="","",CHAR(10))&amp;"CA: "&amp;Checks!$AA$22)</f>
        <v/>
      </c>
      <c r="G42" s="112" t="str">
        <f aca="false">IF(ISNUMBER(Checks!$AD$22),TEXT(Checks!$AD$22,"DD-MMM-YY HH:MM")&amp;" "&amp;Checks!$P$22,"")&amp;IF(Checks!$AE$22="","",CHAR(10)&amp;"Verifier: "&amp;Checks!$AE$22)&amp;IF(Checks!$T$22="","",CHAR(10)&amp;"PIC: "&amp;Checks!$T$22)</f>
        <v/>
      </c>
      <c r="H42" s="113" t="str">
        <f aca="false">IF(Checks!$AH$22="","",Checks!$AH$22)</f>
        <v>OPEN – CLARIFICATION</v>
      </c>
    </row>
    <row r="43" customFormat="false" ht="114" hidden="false" customHeight="true" outlineLevel="0" collapsed="false">
      <c r="A43" s="112" t="str">
        <f aca="false">Checks!$A$23&amp;CHAR(10)&amp;IF(Checks!$I$23="","",Checks!$I$23&amp;": ")&amp;Checks!$J$23</f>
        <v>F01-T12-09
Seat Linen: Seat pillow (EY) - prepared</v>
      </c>
      <c r="B43" s="112" t="str">
        <f aca="false">Checks!$K$23&amp;IF(Checks!$O$23="","",IF(Checks!$K$23="","",CHAR(10))&amp;"Note: "&amp;Checks!$O$23)</f>
        <v>Available 100% (ticked in reference)
Note: Reference gives no uplift stn for this item: preparation checked at the meal uplift stn (LHR) - confirm with caterer.</v>
      </c>
      <c r="C43" s="112" t="str">
        <f aca="false">Checks!$N$23&amp;CHAR(10)&amp;IF(ISNUMBER(Checks!$R$23),TEXT(Checks!$R$23,"DD-MMM-YY HH:MM"),"")&amp;" "&amp;Checks!$P$23</f>
        <v>Required
08-Oct-26 09:35 LHR</v>
      </c>
      <c r="D43" s="112" t="str">
        <f aca="false">IF(Checks!$U$23="","",Checks!$U$23)&amp;IF(Checks!$AB$23="","",CHAR(10)&amp;"CA: "&amp;Checks!$AB$23)</f>
        <v/>
      </c>
      <c r="E43" s="112" t="str">
        <f aca="false">IF(Checks!$V$23="","",Checks!$V$23)&amp;IF(Checks!$AC$23="","",IF(Checks!$V$23="","",CHAR(10))&amp;"N/A just.: "&amp;Checks!$AC$23)&amp;IF(Checks!$W$23="","",CHAR(10)&amp;"Batch: "&amp;Checks!$W$23)&amp;IF(AND(Checks!$X$23="",Checks!$Y$23=""),"",CHAR(10)&amp;"Exp: "&amp;Checks!$X$23&amp;"  /  Act: "&amp;Checks!$Y$23)</f>
        <v/>
      </c>
      <c r="F43" s="112" t="str">
        <f aca="false">IF(Checks!$Z$23="","","Evidence: "&amp;Checks!$Z$23)&amp;IF(Checks!$AA$23="","",IF(Checks!$Z$23="","",CHAR(10))&amp;"CA: "&amp;Checks!$AA$23)</f>
        <v/>
      </c>
      <c r="G43" s="112" t="str">
        <f aca="false">IF(ISNUMBER(Checks!$AD$23),TEXT(Checks!$AD$23,"DD-MMM-YY HH:MM")&amp;" "&amp;Checks!$P$23,"")&amp;IF(Checks!$AE$23="","",CHAR(10)&amp;"Verifier: "&amp;Checks!$AE$23)&amp;IF(Checks!$T$23="","",CHAR(10)&amp;"PIC: "&amp;Checks!$T$23)</f>
        <v/>
      </c>
      <c r="H43" s="113" t="str">
        <f aca="false">IF(Checks!$AH$23="","",Checks!$AH$23)</f>
        <v>OPEN</v>
      </c>
    </row>
    <row r="44" customFormat="false" ht="246" hidden="false" customHeight="true" outlineLevel="0" collapsed="false">
      <c r="A44" s="112" t="str">
        <f aca="false">Checks!$A$24&amp;CHAR(10)&amp;IF(Checks!$I$24="","",Checks!$I$24&amp;": ")&amp;Checks!$J$24</f>
        <v>F01-T12-10
Seat Linen: Blanket (EY) - prepared</v>
      </c>
      <c r="B44" s="112"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2" t="str">
        <f aca="false">Checks!$N$24&amp;CHAR(10)&amp;IF(ISNUMBER(Checks!$R$24),TEXT(Checks!$R$24,"DD-MMM-YY HH:MM"),"")&amp;" "&amp;Checks!$P$24</f>
        <v>Required
08-Oct-26 09:35 LHR</v>
      </c>
      <c r="D44" s="112" t="str">
        <f aca="false">IF(Checks!$U$24="","",Checks!$U$24)&amp;IF(Checks!$AB$24="","",CHAR(10)&amp;"CA: "&amp;Checks!$AB$24)</f>
        <v/>
      </c>
      <c r="E44" s="112" t="str">
        <f aca="false">IF(Checks!$V$24="","",Checks!$V$24)&amp;IF(Checks!$AC$24="","",IF(Checks!$V$24="","",CHAR(10))&amp;"N/A just.: "&amp;Checks!$AC$24)&amp;IF(Checks!$W$24="","",CHAR(10)&amp;"Batch: "&amp;Checks!$W$24)&amp;IF(AND(Checks!$X$24="",Checks!$Y$24=""),"",CHAR(10)&amp;"Exp: "&amp;Checks!$X$24&amp;"  /  Act: "&amp;Checks!$Y$24)</f>
        <v/>
      </c>
      <c r="F44" s="112" t="str">
        <f aca="false">IF(Checks!$Z$24="","","Evidence: "&amp;Checks!$Z$24)&amp;IF(Checks!$AA$24="","",IF(Checks!$Z$24="","",CHAR(10))&amp;"CA: "&amp;Checks!$AA$24)</f>
        <v/>
      </c>
      <c r="G44" s="112" t="str">
        <f aca="false">IF(ISNUMBER(Checks!$AD$24),TEXT(Checks!$AD$24,"DD-MMM-YY HH:MM")&amp;" "&amp;Checks!$P$24,"")&amp;IF(Checks!$AE$24="","",CHAR(10)&amp;"Verifier: "&amp;Checks!$AE$24)&amp;IF(Checks!$T$24="","",CHAR(10)&amp;"PIC: "&amp;Checks!$T$24)</f>
        <v/>
      </c>
      <c r="H44" s="113" t="str">
        <f aca="false">IF(Checks!$AH$24="","",Checks!$AH$24)</f>
        <v>OPEN</v>
      </c>
    </row>
    <row r="45" customFormat="false" ht="25.5" hidden="false" customHeight="true" outlineLevel="0" collapsed="false">
      <c r="A45" s="111"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1"/>
      <c r="C45" s="111"/>
      <c r="D45" s="111"/>
      <c r="E45" s="111"/>
      <c r="F45" s="111"/>
      <c r="G45" s="111"/>
      <c r="H45" s="111"/>
    </row>
    <row r="46" customFormat="false" ht="114" hidden="false" customHeight="true" outlineLevel="0" collapsed="false">
      <c r="A46" s="112" t="str">
        <f aca="false">Checks!$A$25&amp;CHAR(10)&amp;IF(Checks!$I$25="","",Checks!$I$25&amp;": ")&amp;Checks!$J$25</f>
        <v>F01-UPL-01
Meal: Meals physically uplifted on board - quantity vs menu checklist</v>
      </c>
      <c r="B46" s="112" t="str">
        <f aca="false">Checks!$K$25&amp;IF(Checks!$O$25="","",IF(Checks!$K$25="","",CHAR(10))&amp;"Note: "&amp;Checks!$O$25)</f>
        <v>Enter expected &amp; actual
Note: Confirm on board before departure; completion time must fall inside the uplift window.</v>
      </c>
      <c r="C46" s="112" t="str">
        <f aca="false">Checks!$N$25&amp;CHAR(10)&amp;IF(ISNUMBER(Checks!$R$25),TEXT(Checks!$R$25,"DD-MMM-YY HH:MM"),"")&amp;" "&amp;Checks!$P$25</f>
        <v>Required
08-Oct-26 21:35 LHR</v>
      </c>
      <c r="D46" s="112" t="str">
        <f aca="false">IF(Checks!$U$25="","",Checks!$U$25)&amp;IF(Checks!$AB$25="","",CHAR(10)&amp;"CA: "&amp;Checks!$AB$25)</f>
        <v/>
      </c>
      <c r="E46" s="112" t="str">
        <f aca="false">IF(Checks!$V$25="","",Checks!$V$25)&amp;IF(Checks!$AC$25="","",IF(Checks!$V$25="","",CHAR(10))&amp;"N/A just.: "&amp;Checks!$AC$25)&amp;IF(Checks!$W$25="","",CHAR(10)&amp;"Batch: "&amp;Checks!$W$25)&amp;IF(AND(Checks!$X$25="",Checks!$Y$25=""),"",CHAR(10)&amp;"Exp: "&amp;Checks!$X$25&amp;"  /  Act: "&amp;Checks!$Y$25)</f>
        <v/>
      </c>
      <c r="F46" s="112" t="str">
        <f aca="false">IF(Checks!$Z$25="","","Evidence: "&amp;Checks!$Z$25)&amp;IF(Checks!$AA$25="","",IF(Checks!$Z$25="","",CHAR(10))&amp;"CA: "&amp;Checks!$AA$25)</f>
        <v/>
      </c>
      <c r="G46" s="112" t="str">
        <f aca="false">IF(ISNUMBER(Checks!$AD$25),TEXT(Checks!$AD$25,"DD-MMM-YY HH:MM")&amp;" "&amp;Checks!$P$25,"")&amp;IF(Checks!$AE$25="","",CHAR(10)&amp;"Verifier: "&amp;Checks!$AE$25)&amp;IF(Checks!$T$25="","",CHAR(10)&amp;"PIC: "&amp;Checks!$T$25)</f>
        <v/>
      </c>
      <c r="H46" s="113" t="str">
        <f aca="false">IF(Checks!$AH$25="","",Checks!$AH$25)</f>
        <v>OPEN</v>
      </c>
    </row>
    <row r="47" customFormat="false" ht="114" hidden="false" customHeight="true" outlineLevel="0" collapsed="false">
      <c r="A47" s="112" t="str">
        <f aca="false">Checks!$A$26&amp;CHAR(10)&amp;IF(Checks!$I$26="","",Checks!$I$26&amp;": ")&amp;Checks!$J$26</f>
        <v>F01-UPL-02
Equipment: Equipment physically loaded at GLD positions - quantity &amp; positions</v>
      </c>
      <c r="B47" s="112" t="str">
        <f aca="false">Checks!$K$26&amp;IF(Checks!$O$26="","",IF(Checks!$K$26="","",CHAR(10))&amp;"Note: "&amp;Checks!$O$26)</f>
        <v>Enter expected &amp; actual
Note: Confirm on board before departure; completion time must fall inside the uplift window.</v>
      </c>
      <c r="C47" s="112" t="str">
        <f aca="false">Checks!$N$26&amp;CHAR(10)&amp;IF(ISNUMBER(Checks!$R$26),TEXT(Checks!$R$26,"DD-MMM-YY HH:MM"),"")&amp;" "&amp;Checks!$P$26</f>
        <v>Required
08-Oct-26 21:35 LHR</v>
      </c>
      <c r="D47" s="112" t="str">
        <f aca="false">IF(Checks!$U$26="","",Checks!$U$26)&amp;IF(Checks!$AB$26="","",CHAR(10)&amp;"CA: "&amp;Checks!$AB$26)</f>
        <v/>
      </c>
      <c r="E47" s="112" t="str">
        <f aca="false">IF(Checks!$V$26="","",Checks!$V$26)&amp;IF(Checks!$AC$26="","",IF(Checks!$V$26="","",CHAR(10))&amp;"N/A just.: "&amp;Checks!$AC$26)&amp;IF(Checks!$W$26="","",CHAR(10)&amp;"Batch: "&amp;Checks!$W$26)&amp;IF(AND(Checks!$X$26="",Checks!$Y$26=""),"",CHAR(10)&amp;"Exp: "&amp;Checks!$X$26&amp;"  /  Act: "&amp;Checks!$Y$26)</f>
        <v/>
      </c>
      <c r="F47" s="112" t="str">
        <f aca="false">IF(Checks!$Z$26="","","Evidence: "&amp;Checks!$Z$26)&amp;IF(Checks!$AA$26="","",IF(Checks!$Z$26="","",CHAR(10))&amp;"CA: "&amp;Checks!$AA$26)</f>
        <v/>
      </c>
      <c r="G47" s="112" t="str">
        <f aca="false">IF(ISNUMBER(Checks!$AD$26),TEXT(Checks!$AD$26,"DD-MMM-YY HH:MM")&amp;" "&amp;Checks!$P$26,"")&amp;IF(Checks!$AE$26="","",CHAR(10)&amp;"Verifier: "&amp;Checks!$AE$26)&amp;IF(Checks!$T$26="","",CHAR(10)&amp;"PIC: "&amp;Checks!$T$26)</f>
        <v/>
      </c>
      <c r="H47" s="113" t="str">
        <f aca="false">IF(Checks!$AH$26="","",Checks!$AH$26)</f>
        <v>OPEN</v>
      </c>
    </row>
    <row r="48" customFormat="false" ht="135.75" hidden="false" customHeight="true" outlineLevel="0" collapsed="false">
      <c r="A48" s="112" t="str">
        <f aca="false">Checks!$A$27&amp;CHAR(10)&amp;IF(Checks!$I$27="","",Checks!$I$27&amp;": ")&amp;Checks!$J$27</f>
        <v>F01-UPL-03
Amenities: Toiletry kits - on board</v>
      </c>
      <c r="B48" s="112"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2" t="str">
        <f aca="false">Checks!$N$27&amp;CHAR(10)&amp;IF(ISNUMBER(Checks!$R$27),TEXT(Checks!$R$27,"DD-MMM-YY HH:MM"),"")&amp;" "&amp;Checks!$P$27</f>
        <v>Clarification required
08-Oct-26 21:35 LHR</v>
      </c>
      <c r="D48" s="112" t="str">
        <f aca="false">IF(Checks!$U$27="","",Checks!$U$27)&amp;IF(Checks!$AB$27="","",CHAR(10)&amp;"CA: "&amp;Checks!$AB$27)</f>
        <v/>
      </c>
      <c r="E48" s="112" t="str">
        <f aca="false">IF(Checks!$V$27="","",Checks!$V$27)&amp;IF(Checks!$AC$27="","",IF(Checks!$V$27="","",CHAR(10))&amp;"N/A just.: "&amp;Checks!$AC$27)&amp;IF(Checks!$W$27="","",CHAR(10)&amp;"Batch: "&amp;Checks!$W$27)&amp;IF(AND(Checks!$X$27="",Checks!$Y$27=""),"",CHAR(10)&amp;"Exp: "&amp;Checks!$X$27&amp;"  /  Act: "&amp;Checks!$Y$27)</f>
        <v/>
      </c>
      <c r="F48" s="112" t="str">
        <f aca="false">IF(Checks!$Z$27="","","Evidence: "&amp;Checks!$Z$27)&amp;IF(Checks!$AA$27="","",IF(Checks!$Z$27="","",CHAR(10))&amp;"CA: "&amp;Checks!$AA$27)</f>
        <v/>
      </c>
      <c r="G48" s="112" t="str">
        <f aca="false">IF(ISNUMBER(Checks!$AD$27),TEXT(Checks!$AD$27,"DD-MMM-YY HH:MM")&amp;" "&amp;Checks!$P$27,"")&amp;IF(Checks!$AE$27="","",CHAR(10)&amp;"Verifier: "&amp;Checks!$AE$27)&amp;IF(Checks!$T$27="","",CHAR(10)&amp;"PIC: "&amp;Checks!$T$27)</f>
        <v/>
      </c>
      <c r="H48" s="113" t="str">
        <f aca="false">IF(Checks!$AH$27="","",Checks!$AH$27)</f>
        <v>OPEN – CLARIFICATION</v>
      </c>
    </row>
    <row r="49" customFormat="false" ht="114" hidden="false" customHeight="true" outlineLevel="0" collapsed="false">
      <c r="A49" s="112" t="str">
        <f aca="false">Checks!$A$28&amp;CHAR(10)&amp;IF(Checks!$I$28="","",Checks!$I$28&amp;": ")&amp;Checks!$J$28</f>
        <v>F01-UPL-04
Seat Linen: Seat pillow (EY) - on board</v>
      </c>
      <c r="B49" s="112" t="str">
        <f aca="false">Checks!$K$28&amp;IF(Checks!$O$28="","",IF(Checks!$K$28="","",CHAR(10))&amp;"Note: "&amp;Checks!$O$28)</f>
        <v>Available 100% (ticked in reference)</v>
      </c>
      <c r="C49" s="112" t="str">
        <f aca="false">Checks!$N$28&amp;CHAR(10)&amp;IF(ISNUMBER(Checks!$R$28),TEXT(Checks!$R$28,"DD-MMM-YY HH:MM"),"")&amp;" "&amp;Checks!$P$28</f>
        <v>Required
08-Oct-26 21:35 LHR</v>
      </c>
      <c r="D49" s="112" t="str">
        <f aca="false">IF(Checks!$U$28="","",Checks!$U$28)&amp;IF(Checks!$AB$28="","",CHAR(10)&amp;"CA: "&amp;Checks!$AB$28)</f>
        <v/>
      </c>
      <c r="E49" s="112" t="str">
        <f aca="false">IF(Checks!$V$28="","",Checks!$V$28)&amp;IF(Checks!$AC$28="","",IF(Checks!$V$28="","",CHAR(10))&amp;"N/A just.: "&amp;Checks!$AC$28)&amp;IF(Checks!$W$28="","",CHAR(10)&amp;"Batch: "&amp;Checks!$W$28)&amp;IF(AND(Checks!$X$28="",Checks!$Y$28=""),"",CHAR(10)&amp;"Exp: "&amp;Checks!$X$28&amp;"  /  Act: "&amp;Checks!$Y$28)</f>
        <v/>
      </c>
      <c r="F49" s="112" t="str">
        <f aca="false">IF(Checks!$Z$28="","","Evidence: "&amp;Checks!$Z$28)&amp;IF(Checks!$AA$28="","",IF(Checks!$Z$28="","",CHAR(10))&amp;"CA: "&amp;Checks!$AA$28)</f>
        <v/>
      </c>
      <c r="G49" s="112" t="str">
        <f aca="false">IF(ISNUMBER(Checks!$AD$28),TEXT(Checks!$AD$28,"DD-MMM-YY HH:MM")&amp;" "&amp;Checks!$P$28,"")&amp;IF(Checks!$AE$28="","",CHAR(10)&amp;"Verifier: "&amp;Checks!$AE$28)&amp;IF(Checks!$T$28="","",CHAR(10)&amp;"PIC: "&amp;Checks!$T$28)</f>
        <v/>
      </c>
      <c r="H49" s="113" t="str">
        <f aca="false">IF(Checks!$AH$28="","",Checks!$AH$28)</f>
        <v>OPEN</v>
      </c>
    </row>
    <row r="50" customFormat="false" ht="168.75" hidden="false" customHeight="true" outlineLevel="0" collapsed="false">
      <c r="A50" s="112" t="str">
        <f aca="false">Checks!$A$29&amp;CHAR(10)&amp;IF(Checks!$I$29="","",Checks!$I$29&amp;": ")&amp;Checks!$J$29</f>
        <v>F01-UPL-05
Seat Linen: Blanket (EY) - on board</v>
      </c>
      <c r="B50" s="112"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2" t="str">
        <f aca="false">Checks!$N$29&amp;CHAR(10)&amp;IF(ISNUMBER(Checks!$R$29),TEXT(Checks!$R$29,"DD-MMM-YY HH:MM"),"")&amp;" "&amp;Checks!$P$29</f>
        <v>Required
08-Oct-26 21:35 LHR</v>
      </c>
      <c r="D50" s="112" t="str">
        <f aca="false">IF(Checks!$U$29="","",Checks!$U$29)&amp;IF(Checks!$AB$29="","",CHAR(10)&amp;"CA: "&amp;Checks!$AB$29)</f>
        <v/>
      </c>
      <c r="E50" s="112" t="str">
        <f aca="false">IF(Checks!$V$29="","",Checks!$V$29)&amp;IF(Checks!$AC$29="","",IF(Checks!$V$29="","",CHAR(10))&amp;"N/A just.: "&amp;Checks!$AC$29)&amp;IF(Checks!$W$29="","",CHAR(10)&amp;"Batch: "&amp;Checks!$W$29)&amp;IF(AND(Checks!$X$29="",Checks!$Y$29=""),"",CHAR(10)&amp;"Exp: "&amp;Checks!$X$29&amp;"  /  Act: "&amp;Checks!$Y$29)</f>
        <v/>
      </c>
      <c r="F50" s="112" t="str">
        <f aca="false">IF(Checks!$Z$29="","","Evidence: "&amp;Checks!$Z$29)&amp;IF(Checks!$AA$29="","",IF(Checks!$Z$29="","",CHAR(10))&amp;"CA: "&amp;Checks!$AA$29)</f>
        <v/>
      </c>
      <c r="G50" s="112" t="str">
        <f aca="false">IF(ISNUMBER(Checks!$AD$29),TEXT(Checks!$AD$29,"DD-MMM-YY HH:MM")&amp;" "&amp;Checks!$P$29,"")&amp;IF(Checks!$AE$29="","",CHAR(10)&amp;"Verifier: "&amp;Checks!$AE$29)&amp;IF(Checks!$T$29="","",CHAR(10)&amp;"PIC: "&amp;Checks!$T$29)</f>
        <v/>
      </c>
      <c r="H50" s="113" t="str">
        <f aca="false">IF(Checks!$AH$29="","",Checks!$AH$29)</f>
        <v>OPEN</v>
      </c>
    </row>
    <row r="52" customFormat="false" ht="24" hidden="false" customHeight="true" outlineLevel="0" collapsed="false">
      <c r="A52" s="114" t="s">
        <v>1647</v>
      </c>
      <c r="B52" s="114"/>
      <c r="C52" s="114"/>
      <c r="D52" s="114"/>
      <c r="E52" s="114" t="s">
        <v>1648</v>
      </c>
      <c r="F52" s="114"/>
      <c r="G52" s="114"/>
      <c r="H52" s="114"/>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F02  "&amp;Flights!$F$6&amp;"  "&amp;TEXT(Flights!$D$6,"DD-MMM-YY")&amp;" ("&amp;Flights!$E$6&amp;")  "&amp;Flights!$G$6&amp;" → "&amp;Flights!$H$6&amp;"  |  Class "&amp;Flights!$K$6</f>
        <v>SKYTRAX 2026 CATERING READINESS CHECKLIST  |  F02  MH0727  09-Oct-26 (FRI)  KUL → CGK  |  Class BC</v>
      </c>
      <c r="B1" s="90"/>
      <c r="C1" s="90"/>
      <c r="D1" s="90"/>
      <c r="E1" s="90"/>
      <c r="F1" s="90"/>
      <c r="G1" s="90"/>
      <c r="H1" s="90"/>
    </row>
    <row r="2" customFormat="false" ht="12.75" hidden="false" customHeight="true" outlineLevel="0" collapsed="false">
      <c r="A2" s="91" t="s">
        <v>1602</v>
      </c>
      <c r="B2" s="92" t="str">
        <f aca="false">Flights!$F$6&amp;"   "&amp;TEXT(Flights!$D$6,"DD-MMM-YY")&amp;" ("&amp;Flights!$E$6&amp;")"</f>
        <v>MH0727   09-Oct-26 (FRI)</v>
      </c>
      <c r="C2" s="92"/>
      <c r="D2" s="92"/>
      <c r="E2" s="93" t="s">
        <v>1603</v>
      </c>
      <c r="F2" s="94" t="str">
        <f aca="false">Flights!$AT$6</f>
        <v>NOT READY – DOCUMENTS</v>
      </c>
      <c r="G2" s="94"/>
      <c r="H2" s="94"/>
    </row>
    <row r="3" customFormat="false" ht="24" hidden="false" customHeight="true" outlineLevel="0" collapsed="false">
      <c r="A3" s="91" t="s">
        <v>1604</v>
      </c>
      <c r="B3" s="92" t="str">
        <f aca="false">Flights!$G$6&amp;" → "&amp;Flights!$H$6&amp;"   Class "&amp;Flights!$K$6&amp;"   Seat "&amp;Flights!$O$6</f>
        <v>KUL → CGK   Class BC   Seat 1C</v>
      </c>
      <c r="C3" s="92"/>
      <c r="D3" s="92"/>
      <c r="E3" s="93" t="s">
        <v>66</v>
      </c>
      <c r="F3" s="93" t="s">
        <v>1605</v>
      </c>
      <c r="G3" s="93" t="s">
        <v>1606</v>
      </c>
      <c r="H3" s="93"/>
    </row>
    <row r="4" customFormat="false" ht="24" hidden="false" customHeight="true" outlineLevel="0" collapsed="false">
      <c r="A4" s="91" t="s">
        <v>1607</v>
      </c>
      <c r="B4" s="92" t="str">
        <f aca="false">IF(ISNUMBER(Flights!$I$6),TEXT(Flights!$I$6,"DD-MMM-YY HH:MM"),"")&amp;" "&amp;Flights!$G$6&amp;"  →  "&amp;IF(ISNUMBER(Flights!$J$6),TEXT(Flights!$J$6,"DD-MMM-YY HH:MM"),"")&amp;" "&amp;Flights!$H$6</f>
        <v>09-Oct-26 21:50 KUL  →  09-Oct-26 23:05 CGK</v>
      </c>
      <c r="C4" s="92"/>
      <c r="D4" s="92"/>
      <c r="E4" s="91" t="s">
        <v>1608</v>
      </c>
      <c r="F4" s="95" t="str">
        <f aca="false">IF(ISNUMBER(Flights!$AG$6),TEXT(Flights!$AG$6,"DD-MMM-YY HH:MM"),"")&amp;" "&amp;Flights!$V$6</f>
        <v>02-Oct-26 21:50 KUL</v>
      </c>
      <c r="G4" s="96" t="n">
        <f aca="false">Flights!$AJ$6</f>
        <v>0</v>
      </c>
      <c r="H4" s="96"/>
    </row>
    <row r="5" customFormat="false" ht="24" hidden="false" customHeight="true" outlineLevel="0" collapsed="false">
      <c r="A5" s="91" t="s">
        <v>1609</v>
      </c>
      <c r="B5" s="92" t="str">
        <f aca="false">Flights!$L$6&amp;" – "&amp;Flights!$M$6</f>
        <v>B738MAX – B737-8 (B7M8)</v>
      </c>
      <c r="C5" s="92"/>
      <c r="D5" s="92"/>
      <c r="E5" s="91" t="s">
        <v>1610</v>
      </c>
      <c r="F5" s="95" t="str">
        <f aca="false">IF(ISNUMBER(Flights!$AH$6),TEXT(Flights!$AH$6,"DD-MMM-YY HH:MM"),"")&amp;" "&amp;Flights!$V$6</f>
        <v>08-Oct-26 21:50 KUL</v>
      </c>
      <c r="G5" s="96" t="n">
        <f aca="false">Flights!$AK$6</f>
        <v>0</v>
      </c>
      <c r="H5" s="96"/>
    </row>
    <row r="6" customFormat="false" ht="24" hidden="false" customHeight="true" outlineLevel="0" collapsed="false">
      <c r="A6" s="91" t="s">
        <v>1611</v>
      </c>
      <c r="B6" s="92" t="str">
        <f aca="false">IF(TRIM(Flights!$N$6)="","__________________",Flights!$N$6)</f>
        <v>__________________</v>
      </c>
      <c r="C6" s="92"/>
      <c r="D6" s="92"/>
      <c r="E6" s="91" t="s">
        <v>1612</v>
      </c>
      <c r="F6" s="95" t="str">
        <f aca="false">IF(ISNUMBER(Flights!$AI$6),TEXT(Flights!$AI$6,"DD-MMM-YY HH:MM"),"")&amp;" "&amp;Flights!$V$6&amp;IF(Flights!$AI$6=Flights!$AH$6,"  (= T-24H due)","")</f>
        <v>09-Oct-26 09:50 KUL</v>
      </c>
      <c r="G6" s="96" t="n">
        <f aca="false">Flights!$AL$6</f>
        <v>0</v>
      </c>
      <c r="H6" s="96"/>
    </row>
    <row r="7" customFormat="false" ht="24" hidden="false" customHeight="true" outlineLevel="0" collapsed="false">
      <c r="A7" s="91" t="s">
        <v>1613</v>
      </c>
      <c r="B7" s="92" t="str">
        <f aca="false">Flights!$T$6</f>
        <v>1 Meal (Meal)</v>
      </c>
      <c r="C7" s="92"/>
      <c r="D7" s="92"/>
      <c r="E7" s="91" t="s">
        <v>1614</v>
      </c>
      <c r="F7" s="95" t="str">
        <f aca="false">"STD "&amp;IF(ISNUMBER(Flights!$I$6),TEXT(Flights!$I$6,"DD-MMM-YY HH:MM"),"")&amp;" "&amp;Flights!$G$6&amp;" (dep stn)"</f>
        <v>STD 09-Oct-26 21:50 KUL (dep stn)</v>
      </c>
      <c r="G7" s="96" t="n">
        <f aca="false">Flights!$AM$6</f>
        <v>0</v>
      </c>
      <c r="H7" s="96"/>
    </row>
    <row r="8" customFormat="false" ht="12.75" hidden="false" customHeight="true" outlineLevel="0" collapsed="false">
      <c r="A8" s="91" t="s">
        <v>148</v>
      </c>
      <c r="B8" s="92" t="str">
        <f aca="false">Flights!$V$6&amp;"   (reference uplift stns: "&amp;Flights!$U$6&amp;")"</f>
        <v>KUL   (reference uplift stns: KUL/CGK)</v>
      </c>
      <c r="C8" s="92"/>
      <c r="D8" s="92"/>
      <c r="E8" s="91" t="s">
        <v>1615</v>
      </c>
      <c r="F8" s="97" t="s">
        <v>1616</v>
      </c>
      <c r="G8" s="96" t="n">
        <f aca="false">Flights!$AN$6</f>
        <v>0</v>
      </c>
      <c r="H8" s="96"/>
    </row>
    <row r="9" customFormat="false" ht="12.75" hidden="false" customHeight="true" outlineLevel="0" collapsed="false">
      <c r="A9" s="91" t="s">
        <v>1617</v>
      </c>
      <c r="B9" s="92" t="str">
        <f aca="false">TRIM(Flights!$P$6&amp;"  "&amp;Flights!$Q$6)</f>
        <v>4H 00M Overnight CGK</v>
      </c>
      <c r="C9" s="92"/>
      <c r="D9" s="92"/>
      <c r="E9" s="91" t="s">
        <v>1618</v>
      </c>
      <c r="F9" s="98" t="n">
        <f aca="false">Flights!$AP$6</f>
        <v>0</v>
      </c>
      <c r="G9" s="98" t="n">
        <f aca="false">Flights!$AQ$6</f>
        <v>0</v>
      </c>
      <c r="H9" s="98" t="n">
        <f aca="false">Flights!$AU$6</f>
        <v>0</v>
      </c>
    </row>
    <row r="10" customFormat="false" ht="24" hidden="false" customHeight="true" outlineLevel="0" collapsed="false">
      <c r="A10" s="91" t="s">
        <v>1619</v>
      </c>
      <c r="B10" s="92" t="str">
        <f aca="false">IF(TRIM(Flights!$X$6)="","__________________",Flights!$X$6)</f>
        <v>__________________</v>
      </c>
      <c r="C10" s="92"/>
      <c r="D10" s="92"/>
      <c r="E10" s="91" t="s">
        <v>1620</v>
      </c>
      <c r="F10" s="98" t="n">
        <f aca="false">Flights!$AO$6</f>
        <v>38</v>
      </c>
      <c r="G10" s="98" t="n">
        <f aca="false">Flights!$AS$6</f>
        <v>4</v>
      </c>
      <c r="H10" s="98" t="n">
        <f aca="false">Flights!$AR$6</f>
        <v>2</v>
      </c>
    </row>
    <row r="11" customFormat="false" ht="21" hidden="false" customHeight="true" outlineLevel="0" collapsed="false">
      <c r="A11" s="91" t="s">
        <v>1621</v>
      </c>
      <c r="B11" s="92" t="str">
        <f aca="false">IF(TRIM(Flights!$Y$6)="","__________________",Flights!$Y$6)</f>
        <v>__________________</v>
      </c>
      <c r="C11" s="92"/>
      <c r="D11" s="92"/>
      <c r="E11" s="91" t="s">
        <v>1622</v>
      </c>
      <c r="F11" s="98" t="str">
        <f aca="false">Flights!$AV$6&amp;" / "&amp;Flights!$AW$6</f>
        <v>0 / 38</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IF(Documents!$F$6="","",Documents!$F$6)</f>
        <v/>
      </c>
      <c r="C14" s="97" t="str">
        <f aca="false">IF(Documents!$G$6="","",Documents!$G$6)&amp;IF(ISNUMBER(Documents!$H$6),"  "&amp;TEXT(Documents!$H$6,"DD-MMM-YY"),"")</f>
        <v/>
      </c>
      <c r="D14" s="97"/>
      <c r="E14" s="105" t="str">
        <f aca="false">IF(Documents!$J$6="OUTSTANDING","OUTSTANDING – attach before T-7D (due "&amp;IF(ISNUMBER(Flights!$AG$6),TEXT(Flights!$AG$6,"DD-MMM-YY HH:MM"),"")&amp;" "&amp;Flights!$V$6&amp;")",IF(Documents!$J$6="","Status not recorded",Documents!$J$6))</f>
        <v>OUTSTANDING – attach before T-7D (due 02-Oct-26 21:50 KUL)</v>
      </c>
      <c r="F14" s="106" t="str">
        <f aca="false">"Staple behind this sheet as page A1."&amp;IF(Documents!$I$6="",""," Location: "&amp;Documents!$I$6)</f>
        <v>Staple behind this sheet as page A1.</v>
      </c>
      <c r="G14" s="106"/>
      <c r="H14" s="106"/>
    </row>
    <row r="15" customFormat="false" ht="36" hidden="false" customHeight="true" outlineLevel="0" collapsed="false">
      <c r="A15" s="91" t="s">
        <v>1633</v>
      </c>
      <c r="B15" s="92" t="str">
        <f aca="false">IF(Documents!$K$6="","",Documents!$K$6)</f>
        <v/>
      </c>
      <c r="C15" s="97" t="str">
        <f aca="false">IF(Documents!$L$6="","",Documents!$L$6)&amp;IF(ISNUMBER(Documents!$M$6),"  "&amp;TEXT(Documents!$M$6,"DD-MMM-YY"),"")</f>
        <v/>
      </c>
      <c r="D15" s="97"/>
      <c r="E15" s="105" t="str">
        <f aca="false">IF(Documents!$O$6="OUTSTANDING","OUTSTANDING – attach before T-7D (due "&amp;IF(ISNUMBER(Flights!$AG$6),TEXT(Flights!$AG$6,"DD-MMM-YY HH:MM"),"")&amp;" "&amp;Flights!$V$6&amp;")",IF(Documents!$O$6="","Status not recorded",Documents!$O$6))</f>
        <v>OUTSTANDING – attach before T-7D (due 02-Oct-26 21:50 KUL)</v>
      </c>
      <c r="F15" s="106" t="str">
        <f aca="false">"Staple behind this sheet as page A2."&amp;IF(Documents!$N$6="",""," Location: "&amp;Documents!$N$6)</f>
        <v>Staple behind this sheet as page A2.</v>
      </c>
      <c r="G15" s="106"/>
      <c r="H15" s="106"/>
    </row>
    <row r="16" customFormat="false" ht="22.5" hidden="false" customHeight="true" outlineLevel="0" collapsed="false">
      <c r="A16" s="91" t="s">
        <v>1634</v>
      </c>
      <c r="B16" s="107" t="str">
        <f aca="false">IF(Documents!$Q$6="","",Documents!$Q$6)</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"&amp;IF(TRIM(Flights!$Y$6)="","__________________",Flights!$Y$6)</f>
        <v>Name: __________________</v>
      </c>
      <c r="B18" s="92"/>
      <c r="C18" s="92" t="str">
        <f aca="false">"Name: __________________"</f>
        <v>Name: __________________</v>
      </c>
      <c r="D18" s="92"/>
      <c r="E18" s="92"/>
      <c r="F18" s="92" t="str">
        <f aca="false">"Name: __________________"&amp;"   Station: "&amp;Flights!$V$6</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Checks!$A$30&amp;CHAR(10)&amp;IF(Checks!$I$30="","",Checks!$I$30&amp;": ")&amp;Checks!$J$30</f>
        <v>F02-T7-01
Meal: Meal sensory testing completed for this flight's menu cycle (assessed class)</v>
      </c>
      <c r="B23" s="112" t="str">
        <f aca="false">Checks!$K$30&amp;IF(Checks!$O$30="","",IF(Checks!$K$30="","",CHAR(10))&amp;"Note: "&amp;Checks!$O$30)</f>
        <v>Record panel result / score in Result</v>
      </c>
      <c r="C23" s="112" t="str">
        <f aca="false">Checks!$N$30&amp;CHAR(10)&amp;IF(ISNUMBER(Checks!$R$30),TEXT(Checks!$R$30,"DD-MMM-YY HH:MM"),"")&amp;" "&amp;Checks!$P$30</f>
        <v>Required
02-Oct-26 21:50 KUL</v>
      </c>
      <c r="D23" s="112" t="str">
        <f aca="false">IF(Checks!$U$30="","",Checks!$U$30)&amp;IF(Checks!$AB$30="","",CHAR(10)&amp;"CA: "&amp;Checks!$AB$30)</f>
        <v/>
      </c>
      <c r="E23" s="112" t="str">
        <f aca="false">IF(Checks!$V$30="","",Checks!$V$30)&amp;IF(Checks!$AC$30="","",IF(Checks!$V$30="","",CHAR(10))&amp;"N/A just.: "&amp;Checks!$AC$30)&amp;IF(Checks!$W$30="","",CHAR(10)&amp;"Batch: "&amp;Checks!$W$30)&amp;IF(AND(Checks!$X$30="",Checks!$Y$30=""),"",CHAR(10)&amp;"Exp: "&amp;Checks!$X$30&amp;"  /  Act: "&amp;Checks!$Y$30)</f>
        <v/>
      </c>
      <c r="F23" s="112" t="str">
        <f aca="false">IF(Checks!$Z$30="","","Evidence: "&amp;Checks!$Z$30)&amp;IF(Checks!$AA$30="","",IF(Checks!$Z$30="","",CHAR(10))&amp;"CA: "&amp;Checks!$AA$30)</f>
        <v/>
      </c>
      <c r="G23" s="112" t="str">
        <f aca="false">IF(ISNUMBER(Checks!$AD$30),TEXT(Checks!$AD$30,"DD-MMM-YY HH:MM")&amp;" "&amp;Checks!$P$30,"")&amp;IF(Checks!$AE$30="","",CHAR(10)&amp;"Verifier: "&amp;Checks!$AE$30)&amp;IF(Checks!$T$30="","",CHAR(10)&amp;"PIC: "&amp;Checks!$T$30)</f>
        <v/>
      </c>
      <c r="H23" s="113" t="str">
        <f aca="false">IF(Checks!$AH$30="","",Checks!$AH$30)</f>
        <v>OPEN</v>
      </c>
    </row>
    <row r="24" customFormat="false" ht="114" hidden="false" customHeight="true" outlineLevel="0" collapsed="false">
      <c r="A24" s="112" t="str">
        <f aca="false">Checks!$A$31&amp;CHAR(10)&amp;IF(Checks!$I$31="","",Checks!$I$31&amp;": ")&amp;Checks!$J$31</f>
        <v>F02-T7-02
Menu: Printed menu cards confirmed (content, cycle, language, quantity)</v>
      </c>
      <c r="B24" s="112" t="str">
        <f aca="false">Checks!$K$31&amp;IF(Checks!$O$31="","",IF(Checks!$K$31="","",CHAR(10))&amp;"Note: "&amp;Checks!$O$31)</f>
        <v>Menu card matches approved menu for this flight</v>
      </c>
      <c r="C24" s="112" t="str">
        <f aca="false">Checks!$N$31&amp;CHAR(10)&amp;IF(ISNUMBER(Checks!$R$31),TEXT(Checks!$R$31,"DD-MMM-YY HH:MM"),"")&amp;" "&amp;Checks!$P$31</f>
        <v>Required
02-Oct-26 21:50 KUL</v>
      </c>
      <c r="D24" s="112" t="str">
        <f aca="false">IF(Checks!$U$31="","",Checks!$U$31)&amp;IF(Checks!$AB$31="","",CHAR(10)&amp;"CA: "&amp;Checks!$AB$31)</f>
        <v/>
      </c>
      <c r="E24" s="112" t="str">
        <f aca="false">IF(Checks!$V$31="","",Checks!$V$31)&amp;IF(Checks!$AC$31="","",IF(Checks!$V$31="","",CHAR(10))&amp;"N/A just.: "&amp;Checks!$AC$31)&amp;IF(Checks!$W$31="","",CHAR(10)&amp;"Batch: "&amp;Checks!$W$31)&amp;IF(AND(Checks!$X$31="",Checks!$Y$31=""),"",CHAR(10)&amp;"Exp: "&amp;Checks!$X$31&amp;"  /  Act: "&amp;Checks!$Y$31)</f>
        <v/>
      </c>
      <c r="F24" s="112" t="str">
        <f aca="false">IF(Checks!$Z$31="","","Evidence: "&amp;Checks!$Z$31)&amp;IF(Checks!$AA$31="","",IF(Checks!$Z$31="","",CHAR(10))&amp;"CA: "&amp;Checks!$AA$31)</f>
        <v/>
      </c>
      <c r="G24" s="112" t="str">
        <f aca="false">IF(ISNUMBER(Checks!$AD$31),TEXT(Checks!$AD$31,"DD-MMM-YY HH:MM")&amp;" "&amp;Checks!$P$31,"")&amp;IF(Checks!$AE$31="","",CHAR(10)&amp;"Verifier: "&amp;Checks!$AE$31)&amp;IF(Checks!$T$31="","",CHAR(10)&amp;"PIC: "&amp;Checks!$T$31)</f>
        <v/>
      </c>
      <c r="H24" s="113" t="str">
        <f aca="false">IF(Checks!$AH$31="","",Checks!$AH$31)</f>
        <v>OPEN</v>
      </c>
    </row>
    <row r="25" customFormat="false" ht="114" hidden="false" customHeight="true" outlineLevel="0" collapsed="false">
      <c r="A25" s="112" t="str">
        <f aca="false">Checks!$A$32&amp;CHAR(10)&amp;IF(Checks!$I$32="","",Checks!$I$32&amp;": ")&amp;Checks!$J$32</f>
        <v>F02-T7-03
IFE: Digital menu in IFE confirmed (A339 only)</v>
      </c>
      <c r="B25" s="112" t="str">
        <f aca="false">Checks!$K$32&amp;IF(Checks!$O$32="","",IF(Checks!$K$32="","",CHAR(10))&amp;"Note: "&amp;Checks!$O$32)</f>
        <v>Applies when fleet = A339
Note: Digital IFE menu applies to A339 only (user brief). Applicability follows the Fleet cell on Flights.</v>
      </c>
      <c r="C25" s="112" t="str">
        <f aca="false">Checks!$N$32&amp;CHAR(10)&amp;IF(ISNUMBER(Checks!$R$32),TEXT(Checks!$R$32,"DD-MMM-YY HH:MM"),"")&amp;" "&amp;Checks!$P$32</f>
        <v>N/A – rule
02-Oct-26 21:50 KUL</v>
      </c>
      <c r="D25" s="112" t="str">
        <f aca="false">IF(Checks!$U$32="","",Checks!$U$32)&amp;IF(Checks!$AB$32="","",CHAR(10)&amp;"CA: "&amp;Checks!$AB$32)</f>
        <v/>
      </c>
      <c r="E25" s="112" t="str">
        <f aca="false">IF(Checks!$V$32="","",Checks!$V$32)&amp;IF(Checks!$AC$32="","",IF(Checks!$V$32="","",CHAR(10))&amp;"N/A just.: "&amp;Checks!$AC$32)&amp;IF(Checks!$W$32="","",CHAR(10)&amp;"Batch: "&amp;Checks!$W$32)&amp;IF(AND(Checks!$X$32="",Checks!$Y$32=""),"",CHAR(10)&amp;"Exp: "&amp;Checks!$X$32&amp;"  /  Act: "&amp;Checks!$Y$32)</f>
        <v/>
      </c>
      <c r="F25" s="112" t="str">
        <f aca="false">IF(Checks!$Z$32="","","Evidence: "&amp;Checks!$Z$32)&amp;IF(Checks!$AA$32="","",IF(Checks!$Z$32="","",CHAR(10))&amp;"CA: "&amp;Checks!$AA$32)</f>
        <v/>
      </c>
      <c r="G25" s="112" t="str">
        <f aca="false">IF(ISNUMBER(Checks!$AD$32),TEXT(Checks!$AD$32,"DD-MMM-YY HH:MM")&amp;" "&amp;Checks!$P$32,"")&amp;IF(Checks!$AE$32="","",CHAR(10)&amp;"Verifier: "&amp;Checks!$AE$32)&amp;IF(Checks!$T$32="","",CHAR(10)&amp;"PIC: "&amp;Checks!$T$32)</f>
        <v/>
      </c>
      <c r="H25" s="113" t="str">
        <f aca="false">IF(Checks!$AH$32="","",Checks!$AH$32)</f>
        <v>N/A – RULE</v>
      </c>
    </row>
    <row r="26" customFormat="false" ht="114" hidden="false" customHeight="true" outlineLevel="0" collapsed="false">
      <c r="A26" s="112" t="str">
        <f aca="false">Checks!$A$33&amp;CHAR(10)&amp;IF(Checks!$I$33="","",Checks!$I$33&amp;": ")&amp;Checks!$J$33</f>
        <v>F02-T7-04
Staffing: Experienced catering officer assigned to this flight</v>
      </c>
      <c r="B26" s="112" t="str">
        <f aca="false">Checks!$K$33&amp;IF(Checks!$O$33="","",IF(Checks!$K$33="","",CHAR(10))&amp;"Note: "&amp;Checks!$O$33)</f>
        <v>Record officer name in Result</v>
      </c>
      <c r="C26" s="112" t="str">
        <f aca="false">Checks!$N$33&amp;CHAR(10)&amp;IF(ISNUMBER(Checks!$R$33),TEXT(Checks!$R$33,"DD-MMM-YY HH:MM"),"")&amp;" "&amp;Checks!$P$33</f>
        <v>Required
02-Oct-26 21:50 KUL</v>
      </c>
      <c r="D26" s="112" t="str">
        <f aca="false">IF(Checks!$U$33="","",Checks!$U$33)&amp;IF(Checks!$AB$33="","",CHAR(10)&amp;"CA: "&amp;Checks!$AB$33)</f>
        <v/>
      </c>
      <c r="E26" s="112" t="str">
        <f aca="false">IF(Checks!$V$33="","",Checks!$V$33)&amp;IF(Checks!$AC$33="","",IF(Checks!$V$33="","",CHAR(10))&amp;"N/A just.: "&amp;Checks!$AC$33)&amp;IF(Checks!$W$33="","",CHAR(10)&amp;"Batch: "&amp;Checks!$W$33)&amp;IF(AND(Checks!$X$33="",Checks!$Y$33=""),"",CHAR(10)&amp;"Exp: "&amp;Checks!$X$33&amp;"  /  Act: "&amp;Checks!$Y$33)</f>
        <v/>
      </c>
      <c r="F26" s="112" t="str">
        <f aca="false">IF(Checks!$Z$33="","","Evidence: "&amp;Checks!$Z$33)&amp;IF(Checks!$AA$33="","",IF(Checks!$Z$33="","",CHAR(10))&amp;"CA: "&amp;Checks!$AA$33)</f>
        <v/>
      </c>
      <c r="G26" s="112" t="str">
        <f aca="false">IF(ISNUMBER(Checks!$AD$33),TEXT(Checks!$AD$33,"DD-MMM-YY HH:MM")&amp;" "&amp;Checks!$P$33,"")&amp;IF(Checks!$AE$33="","",CHAR(10)&amp;"Verifier: "&amp;Checks!$AE$33)&amp;IF(Checks!$T$33="","",CHAR(10)&amp;"PIC: "&amp;Checks!$T$33)</f>
        <v/>
      </c>
      <c r="H26" s="113" t="str">
        <f aca="false">IF(Checks!$AH$33="","",Checks!$AH$33)</f>
        <v>OPEN</v>
      </c>
    </row>
    <row r="27" customFormat="false" ht="114" hidden="false" customHeight="true" outlineLevel="0" collapsed="false">
      <c r="A27" s="112" t="str">
        <f aca="false">Checks!$A$34&amp;CHAR(10)&amp;IF(Checks!$I$34="","",Checks!$I$34&amp;": ")&amp;Checks!$J$34</f>
        <v>F02-T7-05
ISOP: All latest applicable ISOP revisions communicated to caterer</v>
      </c>
      <c r="B27" s="112" t="str">
        <f aca="false">Checks!$K$34&amp;IF(Checks!$O$34="","",IF(Checks!$K$34="","",CHAR(10))&amp;"Note: "&amp;Checks!$O$34)</f>
        <v>List revision numbers in Result (see ISOP register)</v>
      </c>
      <c r="C27" s="112" t="str">
        <f aca="false">Checks!$N$34&amp;CHAR(10)&amp;IF(ISNUMBER(Checks!$R$34),TEXT(Checks!$R$34,"DD-MMM-YY HH:MM"),"")&amp;" "&amp;Checks!$P$34</f>
        <v>Required
02-Oct-26 21:50 KUL</v>
      </c>
      <c r="D27" s="112" t="str">
        <f aca="false">IF(Checks!$U$34="","",Checks!$U$34)&amp;IF(Checks!$AB$34="","",CHAR(10)&amp;"CA: "&amp;Checks!$AB$34)</f>
        <v/>
      </c>
      <c r="E27" s="112" t="str">
        <f aca="false">IF(Checks!$V$34="","",Checks!$V$34)&amp;IF(Checks!$AC$34="","",IF(Checks!$V$34="","",CHAR(10))&amp;"N/A just.: "&amp;Checks!$AC$34)&amp;IF(Checks!$W$34="","",CHAR(10)&amp;"Batch: "&amp;Checks!$W$34)&amp;IF(AND(Checks!$X$34="",Checks!$Y$34=""),"",CHAR(10)&amp;"Exp: "&amp;Checks!$X$34&amp;"  /  Act: "&amp;Checks!$Y$34)</f>
        <v/>
      </c>
      <c r="F27" s="112" t="str">
        <f aca="false">IF(Checks!$Z$34="","","Evidence: "&amp;Checks!$Z$34)&amp;IF(Checks!$AA$34="","",IF(Checks!$Z$34="","",CHAR(10))&amp;"CA: "&amp;Checks!$AA$34)</f>
        <v/>
      </c>
      <c r="G27" s="112" t="str">
        <f aca="false">IF(ISNUMBER(Checks!$AD$34),TEXT(Checks!$AD$34,"DD-MMM-YY HH:MM")&amp;" "&amp;Checks!$P$34,"")&amp;IF(Checks!$AE$34="","",CHAR(10)&amp;"Verifier: "&amp;Checks!$AE$34)&amp;IF(Checks!$T$34="","",CHAR(10)&amp;"PIC: "&amp;Checks!$T$34)</f>
        <v/>
      </c>
      <c r="H27" s="113" t="str">
        <f aca="false">IF(Checks!$AH$34="","",Checks!$AH$34)</f>
        <v>OPEN</v>
      </c>
    </row>
    <row r="28" customFormat="false" ht="114" hidden="false" customHeight="true" outlineLevel="0" collapsed="false">
      <c r="A28" s="112" t="str">
        <f aca="false">Checks!$A$35&amp;CHAR(10)&amp;IF(Checks!$I$35="","",Checks!$I$35&amp;": ")&amp;Checks!$J$35</f>
        <v>F02-T7-06
ISOP: Caterer acknowledgement of ISOP revisions recorded</v>
      </c>
      <c r="B28" s="112" t="str">
        <f aca="false">Checks!$K$35&amp;IF(Checks!$O$35="","",IF(Checks!$K$35="","",CHAR(10))&amp;"Note: "&amp;Checks!$O$35)</f>
        <v>Record acknowledgement ref in Evidence</v>
      </c>
      <c r="C28" s="112" t="str">
        <f aca="false">Checks!$N$35&amp;CHAR(10)&amp;IF(ISNUMBER(Checks!$R$35),TEXT(Checks!$R$35,"DD-MMM-YY HH:MM"),"")&amp;" "&amp;Checks!$P$35</f>
        <v>Required
02-Oct-26 21:50 KUL</v>
      </c>
      <c r="D28" s="112" t="str">
        <f aca="false">IF(Checks!$U$35="","",Checks!$U$35)&amp;IF(Checks!$AB$35="","",CHAR(10)&amp;"CA: "&amp;Checks!$AB$35)</f>
        <v/>
      </c>
      <c r="E28" s="112" t="str">
        <f aca="false">IF(Checks!$V$35="","",Checks!$V$35)&amp;IF(Checks!$AC$35="","",IF(Checks!$V$35="","",CHAR(10))&amp;"N/A just.: "&amp;Checks!$AC$35)&amp;IF(Checks!$W$35="","",CHAR(10)&amp;"Batch: "&amp;Checks!$W$35)&amp;IF(AND(Checks!$X$35="",Checks!$Y$35=""),"",CHAR(10)&amp;"Exp: "&amp;Checks!$X$35&amp;"  /  Act: "&amp;Checks!$Y$35)</f>
        <v/>
      </c>
      <c r="F28" s="112" t="str">
        <f aca="false">IF(Checks!$Z$35="","","Evidence: "&amp;Checks!$Z$35)&amp;IF(Checks!$AA$35="","",IF(Checks!$Z$35="","",CHAR(10))&amp;"CA: "&amp;Checks!$AA$35)</f>
        <v/>
      </c>
      <c r="G28" s="112" t="str">
        <f aca="false">IF(ISNUMBER(Checks!$AD$35),TEXT(Checks!$AD$35,"DD-MMM-YY HH:MM")&amp;" "&amp;Checks!$P$35,"")&amp;IF(Checks!$AE$35="","",CHAR(10)&amp;"Verifier: "&amp;Checks!$AE$35)&amp;IF(Checks!$T$35="","",CHAR(10)&amp;"PIC: "&amp;Checks!$T$35)</f>
        <v/>
      </c>
      <c r="H28" s="113" t="str">
        <f aca="false">IF(Checks!$AH$35="","",Checks!$AH$35)</f>
        <v>OPEN</v>
      </c>
    </row>
    <row r="29" customFormat="false" ht="114" hidden="false" customHeight="true" outlineLevel="0" collapsed="false">
      <c r="A29" s="112" t="str">
        <f aca="false">Checks!$A$36&amp;CHAR(10)&amp;IF(Checks!$I$36="","",Checks!$I$36&amp;": ")&amp;Checks!$J$36</f>
        <v>F02-T7-07
Documents: Galley loading diagram (GLD) received, revision recorded &amp; attached</v>
      </c>
      <c r="B29" s="112" t="str">
        <f aca="false">Checks!$K$36&amp;IF(Checks!$O$36="","",IF(Checks!$K$36="","",CHAR(10))&amp;"Note: "&amp;Checks!$O$36)</f>
        <v>Documents sheet row complete</v>
      </c>
      <c r="C29" s="112" t="str">
        <f aca="false">Checks!$N$36&amp;CHAR(10)&amp;IF(ISNUMBER(Checks!$R$36),TEXT(Checks!$R$36,"DD-MMM-YY HH:MM"),"")&amp;" "&amp;Checks!$P$36</f>
        <v>Required
02-Oct-26 21:50 KUL</v>
      </c>
      <c r="D29" s="112" t="str">
        <f aca="false">IF(Checks!$U$36="","",Checks!$U$36)&amp;IF(Checks!$AB$36="","",CHAR(10)&amp;"CA: "&amp;Checks!$AB$36)</f>
        <v/>
      </c>
      <c r="E29" s="112" t="str">
        <f aca="false">IF(Checks!$V$36="","",Checks!$V$36)&amp;IF(Checks!$AC$36="","",IF(Checks!$V$36="","",CHAR(10))&amp;"N/A just.: "&amp;Checks!$AC$36)&amp;IF(Checks!$W$36="","",CHAR(10)&amp;"Batch: "&amp;Checks!$W$36)&amp;IF(AND(Checks!$X$36="",Checks!$Y$36=""),"",CHAR(10)&amp;"Exp: "&amp;Checks!$X$36&amp;"  /  Act: "&amp;Checks!$Y$36)</f>
        <v/>
      </c>
      <c r="F29" s="112" t="str">
        <f aca="false">IF(Checks!$Z$36="","","Evidence: "&amp;Checks!$Z$36)&amp;IF(Checks!$AA$36="","",IF(Checks!$Z$36="","",CHAR(10))&amp;"CA: "&amp;Checks!$AA$36)</f>
        <v/>
      </c>
      <c r="G29" s="112" t="str">
        <f aca="false">IF(ISNUMBER(Checks!$AD$36),TEXT(Checks!$AD$36,"DD-MMM-YY HH:MM")&amp;" "&amp;Checks!$P$36,"")&amp;IF(Checks!$AE$36="","",CHAR(10)&amp;"Verifier: "&amp;Checks!$AE$36)&amp;IF(Checks!$T$36="","",CHAR(10)&amp;"PIC: "&amp;Checks!$T$36)</f>
        <v/>
      </c>
      <c r="H29" s="113" t="str">
        <f aca="false">IF(Checks!$AH$36="","",Checks!$AH$36)</f>
        <v>OPEN</v>
      </c>
    </row>
    <row r="30" customFormat="false" ht="114" hidden="false" customHeight="true" outlineLevel="0" collapsed="false">
      <c r="A30" s="112" t="str">
        <f aca="false">Checks!$A$37&amp;CHAR(10)&amp;IF(Checks!$I$37="","",Checks!$I$37&amp;": ")&amp;Checks!$J$37</f>
        <v>F02-T7-08
Documents: Menu checklist received, revision recorded &amp; attached</v>
      </c>
      <c r="B30" s="112" t="str">
        <f aca="false">Checks!$K$37&amp;IF(Checks!$O$37="","",IF(Checks!$K$37="","",CHAR(10))&amp;"Note: "&amp;Checks!$O$37)</f>
        <v>Documents sheet row complete</v>
      </c>
      <c r="C30" s="112" t="str">
        <f aca="false">Checks!$N$37&amp;CHAR(10)&amp;IF(ISNUMBER(Checks!$R$37),TEXT(Checks!$R$37,"DD-MMM-YY HH:MM"),"")&amp;" "&amp;Checks!$P$37</f>
        <v>Required
02-Oct-26 21:50 KUL</v>
      </c>
      <c r="D30" s="112" t="str">
        <f aca="false">IF(Checks!$U$37="","",Checks!$U$37)&amp;IF(Checks!$AB$37="","",CHAR(10)&amp;"CA: "&amp;Checks!$AB$37)</f>
        <v/>
      </c>
      <c r="E30" s="112" t="str">
        <f aca="false">IF(Checks!$V$37="","",Checks!$V$37)&amp;IF(Checks!$AC$37="","",IF(Checks!$V$37="","",CHAR(10))&amp;"N/A just.: "&amp;Checks!$AC$37)&amp;IF(Checks!$W$37="","",CHAR(10)&amp;"Batch: "&amp;Checks!$W$37)&amp;IF(AND(Checks!$X$37="",Checks!$Y$37=""),"",CHAR(10)&amp;"Exp: "&amp;Checks!$X$37&amp;"  /  Act: "&amp;Checks!$Y$37)</f>
        <v/>
      </c>
      <c r="F30" s="112" t="str">
        <f aca="false">IF(Checks!$Z$37="","","Evidence: "&amp;Checks!$Z$37)&amp;IF(Checks!$AA$37="","",IF(Checks!$Z$37="","",CHAR(10))&amp;"CA: "&amp;Checks!$AA$37)</f>
        <v/>
      </c>
      <c r="G30" s="112" t="str">
        <f aca="false">IF(ISNUMBER(Checks!$AD$37),TEXT(Checks!$AD$37,"DD-MMM-YY HH:MM")&amp;" "&amp;Checks!$P$37,"")&amp;IF(Checks!$AE$37="","",CHAR(10)&amp;"Verifier: "&amp;Checks!$AE$37)&amp;IF(Checks!$T$37="","",CHAR(10)&amp;"PIC: "&amp;Checks!$T$37)</f>
        <v/>
      </c>
      <c r="H30" s="113" t="str">
        <f aca="false">IF(Checks!$AH$37="","",Checks!$AH$37)</f>
        <v>OPEN</v>
      </c>
    </row>
    <row r="31" customFormat="false" ht="114" hidden="false" customHeight="true" outlineLevel="0" collapsed="false">
      <c r="A31" s="112" t="str">
        <f aca="false">Checks!$A$38&amp;CHAR(10)&amp;IF(Checks!$I$38="","",Checks!$I$38&amp;": ")&amp;Checks!$J$38</f>
        <v>F02-T7-09
Uplift plan: Uplift plan confirmed with caterer vs STD Uplift Information</v>
      </c>
      <c r="B31" s="112" t="str">
        <f aca="false">Checks!$K$38&amp;IF(Checks!$O$38="","",IF(Checks!$K$38="","",CHAR(10))&amp;"Note: "&amp;Checks!$O$38)</f>
        <v>Service: 1 Meal (Meal); meal uplift stn KUL (ref lists KUL/CGK)</v>
      </c>
      <c r="C31" s="112" t="str">
        <f aca="false">Checks!$N$38&amp;CHAR(10)&amp;IF(ISNUMBER(Checks!$R$38),TEXT(Checks!$R$38,"DD-MMM-YY HH:MM"),"")&amp;" "&amp;Checks!$P$38</f>
        <v>Required
02-Oct-26 21:50 KUL</v>
      </c>
      <c r="D31" s="112" t="str">
        <f aca="false">IF(Checks!$U$38="","",Checks!$U$38)&amp;IF(Checks!$AB$38="","",CHAR(10)&amp;"CA: "&amp;Checks!$AB$38)</f>
        <v/>
      </c>
      <c r="E31" s="112" t="str">
        <f aca="false">IF(Checks!$V$38="","",Checks!$V$38)&amp;IF(Checks!$AC$38="","",IF(Checks!$V$38="","",CHAR(10))&amp;"N/A just.: "&amp;Checks!$AC$38)&amp;IF(Checks!$W$38="","",CHAR(10)&amp;"Batch: "&amp;Checks!$W$38)&amp;IF(AND(Checks!$X$38="",Checks!$Y$38=""),"",CHAR(10)&amp;"Exp: "&amp;Checks!$X$38&amp;"  /  Act: "&amp;Checks!$Y$38)</f>
        <v/>
      </c>
      <c r="F31" s="112" t="str">
        <f aca="false">IF(Checks!$Z$38="","","Evidence: "&amp;Checks!$Z$38)&amp;IF(Checks!$AA$38="","",IF(Checks!$Z$38="","",CHAR(10))&amp;"CA: "&amp;Checks!$AA$38)</f>
        <v/>
      </c>
      <c r="G31" s="112" t="str">
        <f aca="false">IF(ISNUMBER(Checks!$AD$38),TEXT(Checks!$AD$38,"DD-MMM-YY HH:MM")&amp;" "&amp;Checks!$P$38,"")&amp;IF(Checks!$AE$38="","",CHAR(10)&amp;"Verifier: "&amp;Checks!$AE$38)&amp;IF(Checks!$T$38="","",CHAR(10)&amp;"PIC: "&amp;Checks!$T$38)</f>
        <v/>
      </c>
      <c r="H31" s="113" t="str">
        <f aca="false">IF(Checks!$AH$38="","",Checks!$AH$38)</f>
        <v>OPEN</v>
      </c>
    </row>
    <row r="32" customFormat="false" ht="25.5" hidden="false" customHeight="true" outlineLevel="0" collapsed="false">
      <c r="A32" s="111"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Checks!$A$39&amp;CHAR(10)&amp;IF(Checks!$I$39="","",Checks!$I$39&amp;": ")&amp;Checks!$J$39</f>
        <v>F02-T24-01
Meal: Sensory test repeated on ACTUAL production batch for this flight</v>
      </c>
      <c r="B33" s="112" t="str">
        <f aca="false">Checks!$K$39&amp;IF(Checks!$O$39="","",IF(Checks!$K$39="","",CHAR(10))&amp;"Note: "&amp;Checks!$O$39)</f>
        <v>Batch ID, result, CA and acceptance mandatory</v>
      </c>
      <c r="C33" s="112" t="str">
        <f aca="false">Checks!$N$39&amp;CHAR(10)&amp;IF(ISNUMBER(Checks!$R$39),TEXT(Checks!$R$39,"DD-MMM-YY HH:MM"),"")&amp;" "&amp;Checks!$P$39</f>
        <v>Required
08-Oct-26 21:50 KUL</v>
      </c>
      <c r="D33" s="112" t="str">
        <f aca="false">IF(Checks!$U$39="","",Checks!$U$39)&amp;IF(Checks!$AB$39="","",CHAR(10)&amp;"CA: "&amp;Checks!$AB$39)</f>
        <v/>
      </c>
      <c r="E33" s="112" t="str">
        <f aca="false">IF(Checks!$V$39="","",Checks!$V$39)&amp;IF(Checks!$AC$39="","",IF(Checks!$V$39="","",CHAR(10))&amp;"N/A just.: "&amp;Checks!$AC$39)&amp;IF(Checks!$W$39="","",CHAR(10)&amp;"Batch: "&amp;Checks!$W$39)&amp;IF(AND(Checks!$X$39="",Checks!$Y$39=""),"",CHAR(10)&amp;"Exp: "&amp;Checks!$X$39&amp;"  /  Act: "&amp;Checks!$Y$39)</f>
        <v/>
      </c>
      <c r="F33" s="112" t="str">
        <f aca="false">IF(Checks!$Z$39="","","Evidence: "&amp;Checks!$Z$39)&amp;IF(Checks!$AA$39="","",IF(Checks!$Z$39="","",CHAR(10))&amp;"CA: "&amp;Checks!$AA$39)</f>
        <v/>
      </c>
      <c r="G33" s="112" t="str">
        <f aca="false">IF(ISNUMBER(Checks!$AD$39),TEXT(Checks!$AD$39,"DD-MMM-YY HH:MM")&amp;" "&amp;Checks!$P$39,"")&amp;IF(Checks!$AE$39="","",CHAR(10)&amp;"Verifier: "&amp;Checks!$AE$39)&amp;IF(Checks!$T$39="","",CHAR(10)&amp;"PIC: "&amp;Checks!$T$39)</f>
        <v/>
      </c>
      <c r="H33" s="113" t="str">
        <f aca="false">IF(Checks!$AH$39="","",Checks!$AH$39)</f>
        <v>OPEN</v>
      </c>
    </row>
    <row r="34" customFormat="false" ht="25.5" hidden="false" customHeight="true" outlineLevel="0" collapsed="false">
      <c r="A34" s="111"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1"/>
      <c r="C34" s="111"/>
      <c r="D34" s="111"/>
      <c r="E34" s="111"/>
      <c r="F34" s="111"/>
      <c r="G34" s="111"/>
      <c r="H34" s="111"/>
    </row>
    <row r="35" customFormat="false" ht="114" hidden="false" customHeight="true" outlineLevel="0" collapsed="false">
      <c r="A35" s="112" t="str">
        <f aca="false">Checks!$A$40&amp;CHAR(10)&amp;IF(Checks!$I$40="","",Checks!$I$40&amp;": ")&amp;Checks!$J$40</f>
        <v>F02-T12-01
Meal: Meal quality vs menu checklist</v>
      </c>
      <c r="B35" s="112" t="str">
        <f aca="false">Checks!$K$40&amp;IF(Checks!$O$40="","",IF(Checks!$K$40="","",CHAR(10))&amp;"Note: "&amp;Checks!$O$40)</f>
        <v>Note: Preparation check at caterer - does NOT confirm loading.</v>
      </c>
      <c r="C35" s="112" t="str">
        <f aca="false">Checks!$N$40&amp;CHAR(10)&amp;IF(ISNUMBER(Checks!$R$40),TEXT(Checks!$R$40,"DD-MMM-YY HH:MM"),"")&amp;" "&amp;Checks!$P$40</f>
        <v>Required
09-Oct-26 09:50 KUL</v>
      </c>
      <c r="D35" s="112" t="str">
        <f aca="false">IF(Checks!$U$40="","",Checks!$U$40)&amp;IF(Checks!$AB$40="","",CHAR(10)&amp;"CA: "&amp;Checks!$AB$40)</f>
        <v/>
      </c>
      <c r="E35" s="112" t="str">
        <f aca="false">IF(Checks!$V$40="","",Checks!$V$40)&amp;IF(Checks!$AC$40="","",IF(Checks!$V$40="","",CHAR(10))&amp;"N/A just.: "&amp;Checks!$AC$40)&amp;IF(Checks!$W$40="","",CHAR(10)&amp;"Batch: "&amp;Checks!$W$40)&amp;IF(AND(Checks!$X$40="",Checks!$Y$40=""),"",CHAR(10)&amp;"Exp: "&amp;Checks!$X$40&amp;"  /  Act: "&amp;Checks!$Y$40)</f>
        <v/>
      </c>
      <c r="F35" s="112" t="str">
        <f aca="false">IF(Checks!$Z$40="","","Evidence: "&amp;Checks!$Z$40)&amp;IF(Checks!$AA$40="","",IF(Checks!$Z$40="","",CHAR(10))&amp;"CA: "&amp;Checks!$AA$40)</f>
        <v/>
      </c>
      <c r="G35" s="112" t="str">
        <f aca="false">IF(ISNUMBER(Checks!$AD$40),TEXT(Checks!$AD$40,"DD-MMM-YY HH:MM")&amp;" "&amp;Checks!$P$40,"")&amp;IF(Checks!$AE$40="","",CHAR(10)&amp;"Verifier: "&amp;Checks!$AE$40)&amp;IF(Checks!$T$40="","",CHAR(10)&amp;"PIC: "&amp;Checks!$T$40)</f>
        <v/>
      </c>
      <c r="H35" s="113" t="str">
        <f aca="false">IF(Checks!$AH$40="","",Checks!$AH$40)</f>
        <v>OPEN</v>
      </c>
    </row>
    <row r="36" customFormat="false" ht="114" hidden="false" customHeight="true" outlineLevel="0" collapsed="false">
      <c r="A36" s="112" t="str">
        <f aca="false">Checks!$A$41&amp;CHAR(10)&amp;IF(Checks!$I$41="","",Checks!$I$41&amp;": ")&amp;Checks!$J$41</f>
        <v>F02-T12-02
Meal: Meal quantities vs menu checklist</v>
      </c>
      <c r="B36" s="112" t="str">
        <f aca="false">Checks!$K$41&amp;IF(Checks!$O$41="","",IF(Checks!$K$41="","",CHAR(10))&amp;"Note: "&amp;Checks!$O$41)</f>
        <v>Enter expected &amp; actual
Note: Preparation check at caterer - does NOT confirm loading.</v>
      </c>
      <c r="C36" s="112" t="str">
        <f aca="false">Checks!$N$41&amp;CHAR(10)&amp;IF(ISNUMBER(Checks!$R$41),TEXT(Checks!$R$41,"DD-MMM-YY HH:MM"),"")&amp;" "&amp;Checks!$P$41</f>
        <v>Required
09-Oct-26 09:50 KUL</v>
      </c>
      <c r="D36" s="112" t="str">
        <f aca="false">IF(Checks!$U$41="","",Checks!$U$41)&amp;IF(Checks!$AB$41="","",CHAR(10)&amp;"CA: "&amp;Checks!$AB$41)</f>
        <v/>
      </c>
      <c r="E36" s="112" t="str">
        <f aca="false">IF(Checks!$V$41="","",Checks!$V$41)&amp;IF(Checks!$AC$41="","",IF(Checks!$V$41="","",CHAR(10))&amp;"N/A just.: "&amp;Checks!$AC$41)&amp;IF(Checks!$W$41="","",CHAR(10)&amp;"Batch: "&amp;Checks!$W$41)&amp;IF(AND(Checks!$X$41="",Checks!$Y$41=""),"",CHAR(10)&amp;"Exp: "&amp;Checks!$X$41&amp;"  /  Act: "&amp;Checks!$Y$41)</f>
        <v/>
      </c>
      <c r="F36" s="112" t="str">
        <f aca="false">IF(Checks!$Z$41="","","Evidence: "&amp;Checks!$Z$41)&amp;IF(Checks!$AA$41="","",IF(Checks!$Z$41="","",CHAR(10))&amp;"CA: "&amp;Checks!$AA$41)</f>
        <v/>
      </c>
      <c r="G36" s="112" t="str">
        <f aca="false">IF(ISNUMBER(Checks!$AD$41),TEXT(Checks!$AD$41,"DD-MMM-YY HH:MM")&amp;" "&amp;Checks!$P$41,"")&amp;IF(Checks!$AE$41="","",CHAR(10)&amp;"Verifier: "&amp;Checks!$AE$41)&amp;IF(Checks!$T$41="","",CHAR(10)&amp;"PIC: "&amp;Checks!$T$41)</f>
        <v/>
      </c>
      <c r="H36" s="113" t="str">
        <f aca="false">IF(Checks!$AH$41="","",Checks!$AH$41)</f>
        <v>OPEN</v>
      </c>
    </row>
    <row r="37" customFormat="false" ht="114" hidden="false" customHeight="true" outlineLevel="0" collapsed="false">
      <c r="A37" s="112" t="str">
        <f aca="false">Checks!$A$42&amp;CHAR(10)&amp;IF(Checks!$I$42="","",Checks!$I$42&amp;": ")&amp;Checks!$J$42</f>
        <v>F02-T12-03
Equipment: Equipment cleanliness vs GLD</v>
      </c>
      <c r="B37" s="112" t="str">
        <f aca="false">Checks!$K$42&amp;IF(Checks!$O$42="","",IF(Checks!$K$42="","",CHAR(10))&amp;"Note: "&amp;Checks!$O$42)</f>
        <v>Note: Preparation check at caterer - does NOT confirm loading.</v>
      </c>
      <c r="C37" s="112" t="str">
        <f aca="false">Checks!$N$42&amp;CHAR(10)&amp;IF(ISNUMBER(Checks!$R$42),TEXT(Checks!$R$42,"DD-MMM-YY HH:MM"),"")&amp;" "&amp;Checks!$P$42</f>
        <v>Required
09-Oct-26 09:50 KUL</v>
      </c>
      <c r="D37" s="112" t="str">
        <f aca="false">IF(Checks!$U$42="","",Checks!$U$42)&amp;IF(Checks!$AB$42="","",CHAR(10)&amp;"CA: "&amp;Checks!$AB$42)</f>
        <v/>
      </c>
      <c r="E37" s="112" t="str">
        <f aca="false">IF(Checks!$V$42="","",Checks!$V$42)&amp;IF(Checks!$AC$42="","",IF(Checks!$V$42="","",CHAR(10))&amp;"N/A just.: "&amp;Checks!$AC$42)&amp;IF(Checks!$W$42="","",CHAR(10)&amp;"Batch: "&amp;Checks!$W$42)&amp;IF(AND(Checks!$X$42="",Checks!$Y$42=""),"",CHAR(10)&amp;"Exp: "&amp;Checks!$X$42&amp;"  /  Act: "&amp;Checks!$Y$42)</f>
        <v/>
      </c>
      <c r="F37" s="112" t="str">
        <f aca="false">IF(Checks!$Z$42="","","Evidence: "&amp;Checks!$Z$42)&amp;IF(Checks!$AA$42="","",IF(Checks!$Z$42="","",CHAR(10))&amp;"CA: "&amp;Checks!$AA$42)</f>
        <v/>
      </c>
      <c r="G37" s="112" t="str">
        <f aca="false">IF(ISNUMBER(Checks!$AD$42),TEXT(Checks!$AD$42,"DD-MMM-YY HH:MM")&amp;" "&amp;Checks!$P$42,"")&amp;IF(Checks!$AE$42="","",CHAR(10)&amp;"Verifier: "&amp;Checks!$AE$42)&amp;IF(Checks!$T$42="","",CHAR(10)&amp;"PIC: "&amp;Checks!$T$42)</f>
        <v/>
      </c>
      <c r="H37" s="113" t="str">
        <f aca="false">IF(Checks!$AH$42="","",Checks!$AH$42)</f>
        <v>OPEN</v>
      </c>
    </row>
    <row r="38" customFormat="false" ht="114" hidden="false" customHeight="true" outlineLevel="0" collapsed="false">
      <c r="A38" s="112" t="str">
        <f aca="false">Checks!$A$43&amp;CHAR(10)&amp;IF(Checks!$I$43="","",Checks!$I$43&amp;": ")&amp;Checks!$J$43</f>
        <v>F02-T12-04
Equipment: Equipment presentation vs GLD</v>
      </c>
      <c r="B38" s="112" t="str">
        <f aca="false">Checks!$K$43&amp;IF(Checks!$O$43="","",IF(Checks!$K$43="","",CHAR(10))&amp;"Note: "&amp;Checks!$O$43)</f>
        <v>Note: Preparation check at caterer - does NOT confirm loading.</v>
      </c>
      <c r="C38" s="112" t="str">
        <f aca="false">Checks!$N$43&amp;CHAR(10)&amp;IF(ISNUMBER(Checks!$R$43),TEXT(Checks!$R$43,"DD-MMM-YY HH:MM"),"")&amp;" "&amp;Checks!$P$43</f>
        <v>Required
09-Oct-26 09:50 KUL</v>
      </c>
      <c r="D38" s="112" t="str">
        <f aca="false">IF(Checks!$U$43="","",Checks!$U$43)&amp;IF(Checks!$AB$43="","",CHAR(10)&amp;"CA: "&amp;Checks!$AB$43)</f>
        <v/>
      </c>
      <c r="E38" s="112" t="str">
        <f aca="false">IF(Checks!$V$43="","",Checks!$V$43)&amp;IF(Checks!$AC$43="","",IF(Checks!$V$43="","",CHAR(10))&amp;"N/A just.: "&amp;Checks!$AC$43)&amp;IF(Checks!$W$43="","",CHAR(10)&amp;"Batch: "&amp;Checks!$W$43)&amp;IF(AND(Checks!$X$43="",Checks!$Y$43=""),"",CHAR(10)&amp;"Exp: "&amp;Checks!$X$43&amp;"  /  Act: "&amp;Checks!$Y$43)</f>
        <v/>
      </c>
      <c r="F38" s="112" t="str">
        <f aca="false">IF(Checks!$Z$43="","","Evidence: "&amp;Checks!$Z$43)&amp;IF(Checks!$AA$43="","",IF(Checks!$Z$43="","",CHAR(10))&amp;"CA: "&amp;Checks!$AA$43)</f>
        <v/>
      </c>
      <c r="G38" s="112" t="str">
        <f aca="false">IF(ISNUMBER(Checks!$AD$43),TEXT(Checks!$AD$43,"DD-MMM-YY HH:MM")&amp;" "&amp;Checks!$P$43,"")&amp;IF(Checks!$AE$43="","",CHAR(10)&amp;"Verifier: "&amp;Checks!$AE$43)&amp;IF(Checks!$T$43="","",CHAR(10)&amp;"PIC: "&amp;Checks!$T$43)</f>
        <v/>
      </c>
      <c r="H38" s="113" t="str">
        <f aca="false">IF(Checks!$AH$43="","",Checks!$AH$43)</f>
        <v>OPEN</v>
      </c>
    </row>
    <row r="39" customFormat="false" ht="114" hidden="false" customHeight="true" outlineLevel="0" collapsed="false">
      <c r="A39" s="112" t="str">
        <f aca="false">Checks!$A$44&amp;CHAR(10)&amp;IF(Checks!$I$44="","",Checks!$I$44&amp;": ")&amp;Checks!$J$44</f>
        <v>F02-T12-05
Equipment: Equipment serviceability vs GLD</v>
      </c>
      <c r="B39" s="112" t="str">
        <f aca="false">Checks!$K$44&amp;IF(Checks!$O$44="","",IF(Checks!$K$44="","",CHAR(10))&amp;"Note: "&amp;Checks!$O$44)</f>
        <v>Note: Preparation check at caterer - does NOT confirm loading.</v>
      </c>
      <c r="C39" s="112" t="str">
        <f aca="false">Checks!$N$44&amp;CHAR(10)&amp;IF(ISNUMBER(Checks!$R$44),TEXT(Checks!$R$44,"DD-MMM-YY HH:MM"),"")&amp;" "&amp;Checks!$P$44</f>
        <v>Required
09-Oct-26 09:50 KUL</v>
      </c>
      <c r="D39" s="112" t="str">
        <f aca="false">IF(Checks!$U$44="","",Checks!$U$44)&amp;IF(Checks!$AB$44="","",CHAR(10)&amp;"CA: "&amp;Checks!$AB$44)</f>
        <v/>
      </c>
      <c r="E39" s="112" t="str">
        <f aca="false">IF(Checks!$V$44="","",Checks!$V$44)&amp;IF(Checks!$AC$44="","",IF(Checks!$V$44="","",CHAR(10))&amp;"N/A just.: "&amp;Checks!$AC$44)&amp;IF(Checks!$W$44="","",CHAR(10)&amp;"Batch: "&amp;Checks!$W$44)&amp;IF(AND(Checks!$X$44="",Checks!$Y$44=""),"",CHAR(10)&amp;"Exp: "&amp;Checks!$X$44&amp;"  /  Act: "&amp;Checks!$Y$44)</f>
        <v/>
      </c>
      <c r="F39" s="112" t="str">
        <f aca="false">IF(Checks!$Z$44="","","Evidence: "&amp;Checks!$Z$44)&amp;IF(Checks!$AA$44="","",IF(Checks!$Z$44="","",CHAR(10))&amp;"CA: "&amp;Checks!$AA$44)</f>
        <v/>
      </c>
      <c r="G39" s="112" t="str">
        <f aca="false">IF(ISNUMBER(Checks!$AD$44),TEXT(Checks!$AD$44,"DD-MMM-YY HH:MM")&amp;" "&amp;Checks!$P$44,"")&amp;IF(Checks!$AE$44="","",CHAR(10)&amp;"Verifier: "&amp;Checks!$AE$44)&amp;IF(Checks!$T$44="","",CHAR(10)&amp;"PIC: "&amp;Checks!$T$44)</f>
        <v/>
      </c>
      <c r="H39" s="113" t="str">
        <f aca="false">IF(Checks!$AH$44="","",Checks!$AH$44)</f>
        <v>OPEN</v>
      </c>
    </row>
    <row r="40" customFormat="false" ht="190.5" hidden="false" customHeight="true" outlineLevel="0" collapsed="false">
      <c r="A40" s="112" t="str">
        <f aca="false">Checks!$A$45&amp;CHAR(10)&amp;IF(Checks!$I$45="","",Checks!$I$45&amp;": ")&amp;Checks!$J$45</f>
        <v>F02-T12-06
Equipment: Equipment quantities vs GLD</v>
      </c>
      <c r="B40" s="112"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2" t="str">
        <f aca="false">Checks!$N$45&amp;CHAR(10)&amp;IF(ISNUMBER(Checks!$R$45),TEXT(Checks!$R$45,"DD-MMM-YY HH:MM"),"")&amp;" "&amp;Checks!$P$45</f>
        <v>Required
09-Oct-26 09:50 KUL</v>
      </c>
      <c r="D40" s="112" t="str">
        <f aca="false">IF(Checks!$U$45="","",Checks!$U$45)&amp;IF(Checks!$AB$45="","",CHAR(10)&amp;"CA: "&amp;Checks!$AB$45)</f>
        <v/>
      </c>
      <c r="E40" s="112" t="str">
        <f aca="false">IF(Checks!$V$45="","",Checks!$V$45)&amp;IF(Checks!$AC$45="","",IF(Checks!$V$45="","",CHAR(10))&amp;"N/A just.: "&amp;Checks!$AC$45)&amp;IF(Checks!$W$45="","",CHAR(10)&amp;"Batch: "&amp;Checks!$W$45)&amp;IF(AND(Checks!$X$45="",Checks!$Y$45=""),"",CHAR(10)&amp;"Exp: "&amp;Checks!$X$45&amp;"  /  Act: "&amp;Checks!$Y$45)</f>
        <v/>
      </c>
      <c r="F40" s="112" t="str">
        <f aca="false">IF(Checks!$Z$45="","","Evidence: "&amp;Checks!$Z$45)&amp;IF(Checks!$AA$45="","",IF(Checks!$Z$45="","",CHAR(10))&amp;"CA: "&amp;Checks!$AA$45)</f>
        <v/>
      </c>
      <c r="G40" s="112" t="str">
        <f aca="false">IF(ISNUMBER(Checks!$AD$45),TEXT(Checks!$AD$45,"DD-MMM-YY HH:MM")&amp;" "&amp;Checks!$P$45,"")&amp;IF(Checks!$AE$45="","",CHAR(10)&amp;"Verifier: "&amp;Checks!$AE$45)&amp;IF(Checks!$T$45="","",CHAR(10)&amp;"PIC: "&amp;Checks!$T$45)</f>
        <v/>
      </c>
      <c r="H40" s="113" t="str">
        <f aca="false">IF(Checks!$AH$45="","",Checks!$AH$45)</f>
        <v>OPEN</v>
      </c>
    </row>
    <row r="41" customFormat="false" ht="114" hidden="false" customHeight="true" outlineLevel="0" collapsed="false">
      <c r="A41" s="112" t="str">
        <f aca="false">Checks!$A$46&amp;CHAR(10)&amp;IF(Checks!$I$46="","",Checks!$I$46&amp;": ")&amp;Checks!$J$46</f>
        <v>F02-T12-07
Equipment: Loading positions planned vs GLD</v>
      </c>
      <c r="B41" s="112" t="str">
        <f aca="false">Checks!$K$46&amp;IF(Checks!$O$46="","",IF(Checks!$K$46="","",CHAR(10))&amp;"Note: "&amp;Checks!$O$46)</f>
        <v>Note: Preparation check at caterer - does NOT confirm loading.</v>
      </c>
      <c r="C41" s="112" t="str">
        <f aca="false">Checks!$N$46&amp;CHAR(10)&amp;IF(ISNUMBER(Checks!$R$46),TEXT(Checks!$R$46,"DD-MMM-YY HH:MM"),"")&amp;" "&amp;Checks!$P$46</f>
        <v>Required
09-Oct-26 09:50 KUL</v>
      </c>
      <c r="D41" s="112" t="str">
        <f aca="false">IF(Checks!$U$46="","",Checks!$U$46)&amp;IF(Checks!$AB$46="","",CHAR(10)&amp;"CA: "&amp;Checks!$AB$46)</f>
        <v/>
      </c>
      <c r="E41" s="112" t="str">
        <f aca="false">IF(Checks!$V$46="","",Checks!$V$46)&amp;IF(Checks!$AC$46="","",IF(Checks!$V$46="","",CHAR(10))&amp;"N/A just.: "&amp;Checks!$AC$46)&amp;IF(Checks!$W$46="","",CHAR(10)&amp;"Batch: "&amp;Checks!$W$46)&amp;IF(AND(Checks!$X$46="",Checks!$Y$46=""),"",CHAR(10)&amp;"Exp: "&amp;Checks!$X$46&amp;"  /  Act: "&amp;Checks!$Y$46)</f>
        <v/>
      </c>
      <c r="F41" s="112" t="str">
        <f aca="false">IF(Checks!$Z$46="","","Evidence: "&amp;Checks!$Z$46)&amp;IF(Checks!$AA$46="","",IF(Checks!$Z$46="","",CHAR(10))&amp;"CA: "&amp;Checks!$AA$46)</f>
        <v/>
      </c>
      <c r="G41" s="112" t="str">
        <f aca="false">IF(ISNUMBER(Checks!$AD$46),TEXT(Checks!$AD$46,"DD-MMM-YY HH:MM")&amp;" "&amp;Checks!$P$46,"")&amp;IF(Checks!$AE$46="","",CHAR(10)&amp;"Verifier: "&amp;Checks!$AE$46)&amp;IF(Checks!$T$46="","",CHAR(10)&amp;"PIC: "&amp;Checks!$T$46)</f>
        <v/>
      </c>
      <c r="H41" s="113" t="str">
        <f aca="false">IF(Checks!$AH$46="","",Checks!$AH$46)</f>
        <v>OPEN</v>
      </c>
    </row>
    <row r="42" customFormat="false" ht="168.75" hidden="false" customHeight="true" outlineLevel="0" collapsed="false">
      <c r="A42" s="112" t="str">
        <f aca="false">Checks!$A$47&amp;CHAR(10)&amp;IF(Checks!$I$47="","",Checks!$I$47&amp;": ")&amp;Checks!$J$47</f>
        <v>F02-T12-08
Amenities: Disposable slippers in DAM cart (BC, on request) - prepared</v>
      </c>
      <c r="B42" s="112"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2" t="str">
        <f aca="false">Checks!$N$47&amp;CHAR(10)&amp;IF(ISNUMBER(Checks!$R$47),TEXT(Checks!$R$47,"DD-MMM-YY HH:MM"),"")&amp;" "&amp;Checks!$P$47</f>
        <v>Required
09-Oct-26 09:50 KUL</v>
      </c>
      <c r="D42" s="112" t="str">
        <f aca="false">IF(Checks!$U$47="","",Checks!$U$47)&amp;IF(Checks!$AB$47="","",CHAR(10)&amp;"CA: "&amp;Checks!$AB$47)</f>
        <v/>
      </c>
      <c r="E42" s="112" t="str">
        <f aca="false">IF(Checks!$V$47="","",Checks!$V$47)&amp;IF(Checks!$AC$47="","",IF(Checks!$V$47="","",CHAR(10))&amp;"N/A just.: "&amp;Checks!$AC$47)&amp;IF(Checks!$W$47="","",CHAR(10)&amp;"Batch: "&amp;Checks!$W$47)&amp;IF(AND(Checks!$X$47="",Checks!$Y$47=""),"",CHAR(10)&amp;"Exp: "&amp;Checks!$X$47&amp;"  /  Act: "&amp;Checks!$Y$47)</f>
        <v/>
      </c>
      <c r="F42" s="112" t="str">
        <f aca="false">IF(Checks!$Z$47="","","Evidence: "&amp;Checks!$Z$47)&amp;IF(Checks!$AA$47="","",IF(Checks!$Z$47="","",CHAR(10))&amp;"CA: "&amp;Checks!$AA$47)</f>
        <v/>
      </c>
      <c r="G42" s="112" t="str">
        <f aca="false">IF(ISNUMBER(Checks!$AD$47),TEXT(Checks!$AD$47,"DD-MMM-YY HH:MM")&amp;" "&amp;Checks!$P$47,"")&amp;IF(Checks!$AE$47="","",CHAR(10)&amp;"Verifier: "&amp;Checks!$AE$47)&amp;IF(Checks!$T$47="","",CHAR(10)&amp;"PIC: "&amp;Checks!$T$47)</f>
        <v/>
      </c>
      <c r="H42" s="113" t="str">
        <f aca="false">IF(Checks!$AH$47="","",Checks!$AH$47)</f>
        <v>OPEN</v>
      </c>
    </row>
    <row r="43" customFormat="false" ht="114" hidden="false" customHeight="true" outlineLevel="0" collapsed="false">
      <c r="A43" s="112" t="str">
        <f aca="false">Checks!$A$48&amp;CHAR(10)&amp;IF(Checks!$I$48="","",Checks!$I$48&amp;": ")&amp;Checks!$J$48</f>
        <v>F02-T12-09
F&amp;B Linen: Towel - prepared</v>
      </c>
      <c r="B43" s="112" t="str">
        <f aca="false">Checks!$K$48&amp;IF(Checks!$O$48="","",IF(Checks!$K$48="","",CHAR(10))&amp;"Note: "&amp;Checks!$O$48)</f>
        <v>Available (ticked in reference)
Note: Reference gives no uplift stn for this item: preparation checked at the meal uplift stn (KUL) - confirm with caterer.</v>
      </c>
      <c r="C43" s="112" t="str">
        <f aca="false">Checks!$N$48&amp;CHAR(10)&amp;IF(ISNUMBER(Checks!$R$48),TEXT(Checks!$R$48,"DD-MMM-YY HH:MM"),"")&amp;" "&amp;Checks!$P$48</f>
        <v>Required
09-Oct-26 09:50 KUL</v>
      </c>
      <c r="D43" s="112" t="str">
        <f aca="false">IF(Checks!$U$48="","",Checks!$U$48)&amp;IF(Checks!$AB$48="","",CHAR(10)&amp;"CA: "&amp;Checks!$AB$48)</f>
        <v/>
      </c>
      <c r="E43" s="112" t="str">
        <f aca="false">IF(Checks!$V$48="","",Checks!$V$48)&amp;IF(Checks!$AC$48="","",IF(Checks!$V$48="","",CHAR(10))&amp;"N/A just.: "&amp;Checks!$AC$48)&amp;IF(Checks!$W$48="","",CHAR(10)&amp;"Batch: "&amp;Checks!$W$48)&amp;IF(AND(Checks!$X$48="",Checks!$Y$48=""),"",CHAR(10)&amp;"Exp: "&amp;Checks!$X$48&amp;"  /  Act: "&amp;Checks!$Y$48)</f>
        <v/>
      </c>
      <c r="F43" s="112" t="str">
        <f aca="false">IF(Checks!$Z$48="","","Evidence: "&amp;Checks!$Z$48)&amp;IF(Checks!$AA$48="","",IF(Checks!$Z$48="","",CHAR(10))&amp;"CA: "&amp;Checks!$AA$48)</f>
        <v/>
      </c>
      <c r="G43" s="112" t="str">
        <f aca="false">IF(ISNUMBER(Checks!$AD$48),TEXT(Checks!$AD$48,"DD-MMM-YY HH:MM")&amp;" "&amp;Checks!$P$48,"")&amp;IF(Checks!$AE$48="","",CHAR(10)&amp;"Verifier: "&amp;Checks!$AE$48)&amp;IF(Checks!$T$48="","",CHAR(10)&amp;"PIC: "&amp;Checks!$T$48)</f>
        <v/>
      </c>
      <c r="H43" s="113" t="str">
        <f aca="false">IF(Checks!$AH$48="","",Checks!$AH$48)</f>
        <v>OPEN</v>
      </c>
    </row>
    <row r="44" customFormat="false" ht="114" hidden="false" customHeight="true" outlineLevel="0" collapsed="false">
      <c r="A44" s="112" t="str">
        <f aca="false">Checks!$A$49&amp;CHAR(10)&amp;IF(Checks!$I$49="","",Checks!$I$49&amp;": ")&amp;Checks!$J$49</f>
        <v>F02-T12-10
F&amp;B Linen: Tray cloth - prepared</v>
      </c>
      <c r="B44" s="112" t="str">
        <f aca="false">Checks!$K$49&amp;IF(Checks!$O$49="","",IF(Checks!$K$49="","",CHAR(10))&amp;"Note: "&amp;Checks!$O$49)</f>
        <v>Available (ticked in reference)
Note: Reference gives no uplift stn for this item: preparation checked at the meal uplift stn (KUL) - confirm with caterer.</v>
      </c>
      <c r="C44" s="112" t="str">
        <f aca="false">Checks!$N$49&amp;CHAR(10)&amp;IF(ISNUMBER(Checks!$R$49),TEXT(Checks!$R$49,"DD-MMM-YY HH:MM"),"")&amp;" "&amp;Checks!$P$49</f>
        <v>Required
09-Oct-26 09:50 KUL</v>
      </c>
      <c r="D44" s="112" t="str">
        <f aca="false">IF(Checks!$U$49="","",Checks!$U$49)&amp;IF(Checks!$AB$49="","",CHAR(10)&amp;"CA: "&amp;Checks!$AB$49)</f>
        <v/>
      </c>
      <c r="E44" s="112" t="str">
        <f aca="false">IF(Checks!$V$49="","",Checks!$V$49)&amp;IF(Checks!$AC$49="","",IF(Checks!$V$49="","",CHAR(10))&amp;"N/A just.: "&amp;Checks!$AC$49)&amp;IF(Checks!$W$49="","",CHAR(10)&amp;"Batch: "&amp;Checks!$W$49)&amp;IF(AND(Checks!$X$49="",Checks!$Y$49=""),"",CHAR(10)&amp;"Exp: "&amp;Checks!$X$49&amp;"  /  Act: "&amp;Checks!$Y$49)</f>
        <v/>
      </c>
      <c r="F44" s="112" t="str">
        <f aca="false">IF(Checks!$Z$49="","","Evidence: "&amp;Checks!$Z$49)&amp;IF(Checks!$AA$49="","",IF(Checks!$Z$49="","",CHAR(10))&amp;"CA: "&amp;Checks!$AA$49)</f>
        <v/>
      </c>
      <c r="G44" s="112" t="str">
        <f aca="false">IF(ISNUMBER(Checks!$AD$49),TEXT(Checks!$AD$49,"DD-MMM-YY HH:MM")&amp;" "&amp;Checks!$P$49,"")&amp;IF(Checks!$AE$49="","",CHAR(10)&amp;"Verifier: "&amp;Checks!$AE$49)&amp;IF(Checks!$T$49="","",CHAR(10)&amp;"PIC: "&amp;Checks!$T$49)</f>
        <v/>
      </c>
      <c r="H44" s="113" t="str">
        <f aca="false">IF(Checks!$AH$49="","",Checks!$AH$49)</f>
        <v>OPEN</v>
      </c>
    </row>
    <row r="45" customFormat="false" ht="114" hidden="false" customHeight="true" outlineLevel="0" collapsed="false">
      <c r="A45" s="112" t="str">
        <f aca="false">Checks!$A$50&amp;CHAR(10)&amp;IF(Checks!$I$50="","",Checks!$I$50&amp;": ")&amp;Checks!$J$50</f>
        <v>F02-T12-11
F&amp;B Linen: Napkin - prepared</v>
      </c>
      <c r="B45" s="112" t="str">
        <f aca="false">Checks!$K$50&amp;IF(Checks!$O$50="","",IF(Checks!$K$50="","",CHAR(10))&amp;"Note: "&amp;Checks!$O$50)</f>
        <v>Available (ticked in reference)
Note: Reference gives no uplift stn for this item: preparation checked at the meal uplift stn (KUL) - confirm with caterer.</v>
      </c>
      <c r="C45" s="112" t="str">
        <f aca="false">Checks!$N$50&amp;CHAR(10)&amp;IF(ISNUMBER(Checks!$R$50),TEXT(Checks!$R$50,"DD-MMM-YY HH:MM"),"")&amp;" "&amp;Checks!$P$50</f>
        <v>Required
09-Oct-26 09:50 KUL</v>
      </c>
      <c r="D45" s="112" t="str">
        <f aca="false">IF(Checks!$U$50="","",Checks!$U$50)&amp;IF(Checks!$AB$50="","",CHAR(10)&amp;"CA: "&amp;Checks!$AB$50)</f>
        <v/>
      </c>
      <c r="E45" s="112" t="str">
        <f aca="false">IF(Checks!$V$50="","",Checks!$V$50)&amp;IF(Checks!$AC$50="","",IF(Checks!$V$50="","",CHAR(10))&amp;"N/A just.: "&amp;Checks!$AC$50)&amp;IF(Checks!$W$50="","",CHAR(10)&amp;"Batch: "&amp;Checks!$W$50)&amp;IF(AND(Checks!$X$50="",Checks!$Y$50=""),"",CHAR(10)&amp;"Exp: "&amp;Checks!$X$50&amp;"  /  Act: "&amp;Checks!$Y$50)</f>
        <v/>
      </c>
      <c r="F45" s="112" t="str">
        <f aca="false">IF(Checks!$Z$50="","","Evidence: "&amp;Checks!$Z$50)&amp;IF(Checks!$AA$50="","",IF(Checks!$Z$50="","",CHAR(10))&amp;"CA: "&amp;Checks!$AA$50)</f>
        <v/>
      </c>
      <c r="G45" s="112" t="str">
        <f aca="false">IF(ISNUMBER(Checks!$AD$50),TEXT(Checks!$AD$50,"DD-MMM-YY HH:MM")&amp;" "&amp;Checks!$P$50,"")&amp;IF(Checks!$AE$50="","",CHAR(10)&amp;"Verifier: "&amp;Checks!$AE$50)&amp;IF(Checks!$T$50="","",CHAR(10)&amp;"PIC: "&amp;Checks!$T$50)</f>
        <v/>
      </c>
      <c r="H45" s="113" t="str">
        <f aca="false">IF(Checks!$AH$50="","",Checks!$AH$50)</f>
        <v>OPEN</v>
      </c>
    </row>
    <row r="46" customFormat="false" ht="279" hidden="false" customHeight="true" outlineLevel="0" collapsed="false">
      <c r="A46" s="112" t="str">
        <f aca="false">Checks!$A$51&amp;CHAR(10)&amp;IF(Checks!$I$51="","",Checks!$I$51&amp;": ")&amp;Checks!$J$51</f>
        <v>F02-T12-12
F&amp;B Linen: Table cloth - prepared</v>
      </c>
      <c r="B46" s="112" t="str">
        <f aca="false">SUBSTITUTE(Checks!$K$51&amp;IF(Checks!$O$51="","",IF(Checks!$K$51="","",CHAR(10))&amp;"Note: "&amp;Checks!$O$51),"F&amp;B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2" t="str">
        <f aca="false">Checks!$N$51&amp;CHAR(10)&amp;IF(ISNUMBER(Checks!$R$51),TEXT(Checks!$R$51,"DD-MMM-YY HH:MM"),"")&amp;" "&amp;Checks!$P$51</f>
        <v>Clarification required
09-Oct-26 09:50 KUL</v>
      </c>
      <c r="D46" s="112" t="str">
        <f aca="false">IF(Checks!$U$51="","",Checks!$U$51)&amp;IF(Checks!$AB$51="","",CHAR(10)&amp;"CA: "&amp;Checks!$AB$51)</f>
        <v/>
      </c>
      <c r="E46" s="112" t="str">
        <f aca="false">IF(Checks!$V$51="","",Checks!$V$51)&amp;IF(Checks!$AC$51="","",IF(Checks!$V$51="","",CHAR(10))&amp;"N/A just.: "&amp;Checks!$AC$51)&amp;IF(Checks!$W$51="","",CHAR(10)&amp;"Batch: "&amp;Checks!$W$51)&amp;IF(AND(Checks!$X$51="",Checks!$Y$51=""),"",CHAR(10)&amp;"Exp: "&amp;Checks!$X$51&amp;"  /  Act: "&amp;Checks!$Y$51)</f>
        <v/>
      </c>
      <c r="F46" s="112" t="str">
        <f aca="false">IF(Checks!$Z$51="","","Evidence: "&amp;Checks!$Z$51)&amp;IF(Checks!$AA$51="","",IF(Checks!$Z$51="","",CHAR(10))&amp;"CA: "&amp;Checks!$AA$51)</f>
        <v/>
      </c>
      <c r="G46" s="112" t="str">
        <f aca="false">IF(ISNUMBER(Checks!$AD$51),TEXT(Checks!$AD$51,"DD-MMM-YY HH:MM")&amp;" "&amp;Checks!$P$51,"")&amp;IF(Checks!$AE$51="","",CHAR(10)&amp;"Verifier: "&amp;Checks!$AE$51)&amp;IF(Checks!$T$51="","",CHAR(10)&amp;"PIC: "&amp;Checks!$T$51)</f>
        <v/>
      </c>
      <c r="H46" s="113" t="str">
        <f aca="false">IF(Checks!$AH$51="","",Checks!$AH$51)</f>
        <v>OPEN – CLARIFICATION</v>
      </c>
    </row>
    <row r="47" customFormat="false" ht="279" hidden="false" customHeight="true" outlineLevel="0" collapsed="false">
      <c r="A47" s="112" t="str">
        <f aca="false">Checks!$A$52&amp;CHAR(10)&amp;IF(Checks!$I$52="","",Checks!$I$52&amp;": ")&amp;Checks!$J$52</f>
        <v>F02-T12-13
F&amp;B Linen: Bread linen (using table cloth) - prepared</v>
      </c>
      <c r="B47" s="112" t="str">
        <f aca="false">SUBSTITUTE(Checks!$K$52&amp;IF(Checks!$O$52="","",IF(Checks!$K$52="","",CHAR(10))&amp;"Note: "&amp;Checks!$O$52),"F&amp;B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2" t="str">
        <f aca="false">Checks!$N$52&amp;CHAR(10)&amp;IF(ISNUMBER(Checks!$R$52),TEXT(Checks!$R$52,"DD-MMM-YY HH:MM"),"")&amp;" "&amp;Checks!$P$52</f>
        <v>Clarification required
09-Oct-26 09:50 KUL</v>
      </c>
      <c r="D47" s="112" t="str">
        <f aca="false">IF(Checks!$U$52="","",Checks!$U$52)&amp;IF(Checks!$AB$52="","",CHAR(10)&amp;"CA: "&amp;Checks!$AB$52)</f>
        <v/>
      </c>
      <c r="E47" s="112" t="str">
        <f aca="false">IF(Checks!$V$52="","",Checks!$V$52)&amp;IF(Checks!$AC$52="","",IF(Checks!$V$52="","",CHAR(10))&amp;"N/A just.: "&amp;Checks!$AC$52)&amp;IF(Checks!$W$52="","",CHAR(10)&amp;"Batch: "&amp;Checks!$W$52)&amp;IF(AND(Checks!$X$52="",Checks!$Y$52=""),"",CHAR(10)&amp;"Exp: "&amp;Checks!$X$52&amp;"  /  Act: "&amp;Checks!$Y$52)</f>
        <v/>
      </c>
      <c r="F47" s="112" t="str">
        <f aca="false">IF(Checks!$Z$52="","","Evidence: "&amp;Checks!$Z$52)&amp;IF(Checks!$AA$52="","",IF(Checks!$Z$52="","",CHAR(10))&amp;"CA: "&amp;Checks!$AA$52)</f>
        <v/>
      </c>
      <c r="G47" s="112" t="str">
        <f aca="false">IF(ISNUMBER(Checks!$AD$52),TEXT(Checks!$AD$52,"DD-MMM-YY HH:MM")&amp;" "&amp;Checks!$P$52,"")&amp;IF(Checks!$AE$52="","",CHAR(10)&amp;"Verifier: "&amp;Checks!$AE$52)&amp;IF(Checks!$T$52="","",CHAR(10)&amp;"PIC: "&amp;Checks!$T$52)</f>
        <v/>
      </c>
      <c r="H47" s="113" t="str">
        <f aca="false">IF(Checks!$AH$52="","",Checks!$AH$52)</f>
        <v>OPEN – CLARIFICATION</v>
      </c>
    </row>
    <row r="48" customFormat="false" ht="124.5" hidden="false" customHeight="true" outlineLevel="0" collapsed="false">
      <c r="A48" s="112" t="str">
        <f aca="false">Checks!$A$53&amp;CHAR(10)&amp;IF(Checks!$I$53="","",Checks!$I$53&amp;": ")&amp;Checks!$J$53</f>
        <v>F02-T12-14
F&amp;B Linen: Trolley cloth - prepared</v>
      </c>
      <c r="B48" s="112"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2" t="str">
        <f aca="false">Checks!$N$53&amp;CHAR(10)&amp;IF(ISNUMBER(Checks!$R$53),TEXT(Checks!$R$53,"DD-MMM-YY HH:MM"),"")&amp;" "&amp;Checks!$P$53</f>
        <v>Required
09-Oct-26 09:50 KUL</v>
      </c>
      <c r="D48" s="112" t="str">
        <f aca="false">IF(Checks!$U$53="","",Checks!$U$53)&amp;IF(Checks!$AB$53="","",CHAR(10)&amp;"CA: "&amp;Checks!$AB$53)</f>
        <v/>
      </c>
      <c r="E48" s="112" t="str">
        <f aca="false">IF(Checks!$V$53="","",Checks!$V$53)&amp;IF(Checks!$AC$53="","",IF(Checks!$V$53="","",CHAR(10))&amp;"N/A just.: "&amp;Checks!$AC$53)&amp;IF(Checks!$W$53="","",CHAR(10)&amp;"Batch: "&amp;Checks!$W$53)&amp;IF(AND(Checks!$X$53="",Checks!$Y$53=""),"",CHAR(10)&amp;"Exp: "&amp;Checks!$X$53&amp;"  /  Act: "&amp;Checks!$Y$53)</f>
        <v/>
      </c>
      <c r="F48" s="112" t="str">
        <f aca="false">IF(Checks!$Z$53="","","Evidence: "&amp;Checks!$Z$53)&amp;IF(Checks!$AA$53="","",IF(Checks!$Z$53="","",CHAR(10))&amp;"CA: "&amp;Checks!$AA$53)</f>
        <v/>
      </c>
      <c r="G48" s="112" t="str">
        <f aca="false">IF(ISNUMBER(Checks!$AD$53),TEXT(Checks!$AD$53,"DD-MMM-YY HH:MM")&amp;" "&amp;Checks!$P$53,"")&amp;IF(Checks!$AE$53="","",CHAR(10)&amp;"Verifier: "&amp;Checks!$AE$53)&amp;IF(Checks!$T$53="","",CHAR(10)&amp;"PIC: "&amp;Checks!$T$53)</f>
        <v/>
      </c>
      <c r="H48" s="113" t="str">
        <f aca="false">IF(Checks!$AH$53="","",Checks!$AH$53)</f>
        <v>OPEN</v>
      </c>
    </row>
    <row r="49" customFormat="false" ht="114" hidden="false" customHeight="true" outlineLevel="0" collapsed="false">
      <c r="A49" s="112" t="str">
        <f aca="false">Checks!$A$54&amp;CHAR(10)&amp;IF(Checks!$I$54="","",Checks!$I$54&amp;": ")&amp;Checks!$J$54</f>
        <v>F02-T12-15
F&amp;B Linen: Linen bag - prepared</v>
      </c>
      <c r="B49" s="112" t="str">
        <f aca="false">Checks!$K$54&amp;IF(Checks!$O$54="","",IF(Checks!$K$54="","",CHAR(10))&amp;"Note: "&amp;Checks!$O$54)</f>
        <v>Available (ticked in reference)
Note: Reference gives no uplift stn for this item: preparation checked at the meal uplift stn (KUL) - confirm with caterer.</v>
      </c>
      <c r="C49" s="112" t="str">
        <f aca="false">Checks!$N$54&amp;CHAR(10)&amp;IF(ISNUMBER(Checks!$R$54),TEXT(Checks!$R$54,"DD-MMM-YY HH:MM"),"")&amp;" "&amp;Checks!$P$54</f>
        <v>Required
09-Oct-26 09:50 KUL</v>
      </c>
      <c r="D49" s="112" t="str">
        <f aca="false">IF(Checks!$U$54="","",Checks!$U$54)&amp;IF(Checks!$AB$54="","",CHAR(10)&amp;"CA: "&amp;Checks!$AB$54)</f>
        <v/>
      </c>
      <c r="E49" s="112" t="str">
        <f aca="false">IF(Checks!$V$54="","",Checks!$V$54)&amp;IF(Checks!$AC$54="","",IF(Checks!$V$54="","",CHAR(10))&amp;"N/A just.: "&amp;Checks!$AC$54)&amp;IF(Checks!$W$54="","",CHAR(10)&amp;"Batch: "&amp;Checks!$W$54)&amp;IF(AND(Checks!$X$54="",Checks!$Y$54=""),"",CHAR(10)&amp;"Exp: "&amp;Checks!$X$54&amp;"  /  Act: "&amp;Checks!$Y$54)</f>
        <v/>
      </c>
      <c r="F49" s="112" t="str">
        <f aca="false">IF(Checks!$Z$54="","","Evidence: "&amp;Checks!$Z$54)&amp;IF(Checks!$AA$54="","",IF(Checks!$Z$54="","",CHAR(10))&amp;"CA: "&amp;Checks!$AA$54)</f>
        <v/>
      </c>
      <c r="G49" s="112" t="str">
        <f aca="false">IF(ISNUMBER(Checks!$AD$54),TEXT(Checks!$AD$54,"DD-MMM-YY HH:MM")&amp;" "&amp;Checks!$P$54,"")&amp;IF(Checks!$AE$54="","",CHAR(10)&amp;"Verifier: "&amp;Checks!$AE$54)&amp;IF(Checks!$T$54="","",CHAR(10)&amp;"PIC: "&amp;Checks!$T$54)</f>
        <v/>
      </c>
      <c r="H49" s="113" t="str">
        <f aca="false">IF(Checks!$AH$54="","",Checks!$AH$54)</f>
        <v>OPEN</v>
      </c>
    </row>
    <row r="50" customFormat="false" ht="114" hidden="false" customHeight="true" outlineLevel="0" collapsed="false">
      <c r="A50" s="112" t="str">
        <f aca="false">Checks!$A$55&amp;CHAR(10)&amp;IF(Checks!$I$55="","",Checks!$I$55&amp;": ")&amp;Checks!$J$55</f>
        <v>F02-T12-16
Seat Linen: Seat pillow (BS &amp; BC) - prepared</v>
      </c>
      <c r="B50" s="112" t="str">
        <f aca="false">Checks!$K$55&amp;IF(Checks!$O$55="","",IF(Checks!$K$55="","",CHAR(10))&amp;"Note: "&amp;Checks!$O$55)</f>
        <v>Available 100% (ticked in reference)
Note: Reference gives no uplift stn for this item: preparation checked at the meal uplift stn (KUL) - confirm with caterer.</v>
      </c>
      <c r="C50" s="112" t="str">
        <f aca="false">Checks!$N$55&amp;CHAR(10)&amp;IF(ISNUMBER(Checks!$R$55),TEXT(Checks!$R$55,"DD-MMM-YY HH:MM"),"")&amp;" "&amp;Checks!$P$55</f>
        <v>Required
09-Oct-26 09:50 KUL</v>
      </c>
      <c r="D50" s="112" t="str">
        <f aca="false">IF(Checks!$U$55="","",Checks!$U$55)&amp;IF(Checks!$AB$55="","",CHAR(10)&amp;"CA: "&amp;Checks!$AB$55)</f>
        <v/>
      </c>
      <c r="E50" s="112" t="str">
        <f aca="false">IF(Checks!$V$55="","",Checks!$V$55)&amp;IF(Checks!$AC$55="","",IF(Checks!$V$55="","",CHAR(10))&amp;"N/A just.: "&amp;Checks!$AC$55)&amp;IF(Checks!$W$55="","",CHAR(10)&amp;"Batch: "&amp;Checks!$W$55)&amp;IF(AND(Checks!$X$55="",Checks!$Y$55=""),"",CHAR(10)&amp;"Exp: "&amp;Checks!$X$55&amp;"  /  Act: "&amp;Checks!$Y$55)</f>
        <v/>
      </c>
      <c r="F50" s="112" t="str">
        <f aca="false">IF(Checks!$Z$55="","","Evidence: "&amp;Checks!$Z$55)&amp;IF(Checks!$AA$55="","",IF(Checks!$Z$55="","",CHAR(10))&amp;"CA: "&amp;Checks!$AA$55)</f>
        <v/>
      </c>
      <c r="G50" s="112" t="str">
        <f aca="false">IF(ISNUMBER(Checks!$AD$55),TEXT(Checks!$AD$55,"DD-MMM-YY HH:MM")&amp;" "&amp;Checks!$P$55,"")&amp;IF(Checks!$AE$55="","",CHAR(10)&amp;"Verifier: "&amp;Checks!$AE$55)&amp;IF(Checks!$T$55="","",CHAR(10)&amp;"PIC: "&amp;Checks!$T$55)</f>
        <v/>
      </c>
      <c r="H50" s="113" t="str">
        <f aca="false">IF(Checks!$AH$55="","",Checks!$AH$55)</f>
        <v>OPEN</v>
      </c>
    </row>
    <row r="51" customFormat="false" ht="114" hidden="false" customHeight="true" outlineLevel="0" collapsed="false">
      <c r="A51" s="112" t="str">
        <f aca="false">Checks!$A$56&amp;CHAR(10)&amp;IF(Checks!$I$56="","",Checks!$I$56&amp;": ")&amp;Checks!$J$56</f>
        <v>F02-T12-17
Seat Linen: Blanket (BS &amp; BC) - prepared</v>
      </c>
      <c r="B51" s="112" t="str">
        <f aca="false">Checks!$K$56&amp;IF(Checks!$O$56="","",IF(Checks!$K$56="","",CHAR(10))&amp;"Note: "&amp;Checks!$O$56)</f>
        <v>Available 100% (ticked in reference)
Note: Reference gives no uplift stn for this item: preparation checked at the meal uplift stn (KUL) - confirm with caterer.</v>
      </c>
      <c r="C51" s="112" t="str">
        <f aca="false">Checks!$N$56&amp;CHAR(10)&amp;IF(ISNUMBER(Checks!$R$56),TEXT(Checks!$R$56,"DD-MMM-YY HH:MM"),"")&amp;" "&amp;Checks!$P$56</f>
        <v>Required
09-Oct-26 09:50 KUL</v>
      </c>
      <c r="D51" s="112" t="str">
        <f aca="false">IF(Checks!$U$56="","",Checks!$U$56)&amp;IF(Checks!$AB$56="","",CHAR(10)&amp;"CA: "&amp;Checks!$AB$56)</f>
        <v/>
      </c>
      <c r="E51" s="112" t="str">
        <f aca="false">IF(Checks!$V$56="","",Checks!$V$56)&amp;IF(Checks!$AC$56="","",IF(Checks!$V$56="","",CHAR(10))&amp;"N/A just.: "&amp;Checks!$AC$56)&amp;IF(Checks!$W$56="","",CHAR(10)&amp;"Batch: "&amp;Checks!$W$56)&amp;IF(AND(Checks!$X$56="",Checks!$Y$56=""),"",CHAR(10)&amp;"Exp: "&amp;Checks!$X$56&amp;"  /  Act: "&amp;Checks!$Y$56)</f>
        <v/>
      </c>
      <c r="F51" s="112" t="str">
        <f aca="false">IF(Checks!$Z$56="","","Evidence: "&amp;Checks!$Z$56)&amp;IF(Checks!$AA$56="","",IF(Checks!$Z$56="","",CHAR(10))&amp;"CA: "&amp;Checks!$AA$56)</f>
        <v/>
      </c>
      <c r="G51" s="112" t="str">
        <f aca="false">IF(ISNUMBER(Checks!$AD$56),TEXT(Checks!$AD$56,"DD-MMM-YY HH:MM")&amp;" "&amp;Checks!$P$56,"")&amp;IF(Checks!$AE$56="","",CHAR(10)&amp;"Verifier: "&amp;Checks!$AE$56)&amp;IF(Checks!$T$56="","",CHAR(10)&amp;"PIC: "&amp;Checks!$T$56)</f>
        <v/>
      </c>
      <c r="H51" s="113" t="str">
        <f aca="false">IF(Checks!$AH$56="","",Checks!$AH$56)</f>
        <v>OPEN</v>
      </c>
    </row>
    <row r="52" customFormat="false" ht="25.5" hidden="false" customHeight="true" outlineLevel="0" collapsed="false">
      <c r="A52" s="111"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1"/>
      <c r="C52" s="111"/>
      <c r="D52" s="111"/>
      <c r="E52" s="111"/>
      <c r="F52" s="111"/>
      <c r="G52" s="111"/>
      <c r="H52" s="111"/>
    </row>
    <row r="53" customFormat="false" ht="114" hidden="false" customHeight="true" outlineLevel="0" collapsed="false">
      <c r="A53" s="112" t="str">
        <f aca="false">Checks!$A$57&amp;CHAR(10)&amp;IF(Checks!$I$57="","",Checks!$I$57&amp;": ")&amp;Checks!$J$57</f>
        <v>F02-UPL-01
Meal: Meals physically uplifted on board - quantity vs menu checklist</v>
      </c>
      <c r="B53" s="112" t="str">
        <f aca="false">Checks!$K$57&amp;IF(Checks!$O$57="","",IF(Checks!$K$57="","",CHAR(10))&amp;"Note: "&amp;Checks!$O$57)</f>
        <v>Enter expected &amp; actual
Note: Confirm on board before departure; completion time must fall inside the uplift window.</v>
      </c>
      <c r="C53" s="112" t="str">
        <f aca="false">Checks!$N$57&amp;CHAR(10)&amp;IF(ISNUMBER(Checks!$R$57),TEXT(Checks!$R$57,"DD-MMM-YY HH:MM"),"")&amp;" "&amp;Checks!$P$57</f>
        <v>Required
09-Oct-26 21:50 KUL</v>
      </c>
      <c r="D53" s="112" t="str">
        <f aca="false">IF(Checks!$U$57="","",Checks!$U$57)&amp;IF(Checks!$AB$57="","",CHAR(10)&amp;"CA: "&amp;Checks!$AB$57)</f>
        <v/>
      </c>
      <c r="E53" s="112" t="str">
        <f aca="false">IF(Checks!$V$57="","",Checks!$V$57)&amp;IF(Checks!$AC$57="","",IF(Checks!$V$57="","",CHAR(10))&amp;"N/A just.: "&amp;Checks!$AC$57)&amp;IF(Checks!$W$57="","",CHAR(10)&amp;"Batch: "&amp;Checks!$W$57)&amp;IF(AND(Checks!$X$57="",Checks!$Y$57=""),"",CHAR(10)&amp;"Exp: "&amp;Checks!$X$57&amp;"  /  Act: "&amp;Checks!$Y$57)</f>
        <v/>
      </c>
      <c r="F53" s="112" t="str">
        <f aca="false">IF(Checks!$Z$57="","","Evidence: "&amp;Checks!$Z$57)&amp;IF(Checks!$AA$57="","",IF(Checks!$Z$57="","",CHAR(10))&amp;"CA: "&amp;Checks!$AA$57)</f>
        <v/>
      </c>
      <c r="G53" s="112" t="str">
        <f aca="false">IF(ISNUMBER(Checks!$AD$57),TEXT(Checks!$AD$57,"DD-MMM-YY HH:MM")&amp;" "&amp;Checks!$P$57,"")&amp;IF(Checks!$AE$57="","",CHAR(10)&amp;"Verifier: "&amp;Checks!$AE$57)&amp;IF(Checks!$T$57="","",CHAR(10)&amp;"PIC: "&amp;Checks!$T$57)</f>
        <v/>
      </c>
      <c r="H53" s="113" t="str">
        <f aca="false">IF(Checks!$AH$57="","",Checks!$AH$57)</f>
        <v>OPEN</v>
      </c>
    </row>
    <row r="54" customFormat="false" ht="114" hidden="false" customHeight="true" outlineLevel="0" collapsed="false">
      <c r="A54" s="112" t="str">
        <f aca="false">Checks!$A$58&amp;CHAR(10)&amp;IF(Checks!$I$58="","",Checks!$I$58&amp;": ")&amp;Checks!$J$58</f>
        <v>F02-UPL-02
Equipment: Equipment physically loaded at GLD positions - quantity &amp; positions</v>
      </c>
      <c r="B54" s="112" t="str">
        <f aca="false">Checks!$K$58&amp;IF(Checks!$O$58="","",IF(Checks!$K$58="","",CHAR(10))&amp;"Note: "&amp;Checks!$O$58)</f>
        <v>Enter expected &amp; actual
Note: Confirm on board before departure; completion time must fall inside the uplift window.</v>
      </c>
      <c r="C54" s="112" t="str">
        <f aca="false">Checks!$N$58&amp;CHAR(10)&amp;IF(ISNUMBER(Checks!$R$58),TEXT(Checks!$R$58,"DD-MMM-YY HH:MM"),"")&amp;" "&amp;Checks!$P$58</f>
        <v>Required
09-Oct-26 21:50 KUL</v>
      </c>
      <c r="D54" s="112" t="str">
        <f aca="false">IF(Checks!$U$58="","",Checks!$U$58)&amp;IF(Checks!$AB$58="","",CHAR(10)&amp;"CA: "&amp;Checks!$AB$58)</f>
        <v/>
      </c>
      <c r="E54" s="112" t="str">
        <f aca="false">IF(Checks!$V$58="","",Checks!$V$58)&amp;IF(Checks!$AC$58="","",IF(Checks!$V$58="","",CHAR(10))&amp;"N/A just.: "&amp;Checks!$AC$58)&amp;IF(Checks!$W$58="","",CHAR(10)&amp;"Batch: "&amp;Checks!$W$58)&amp;IF(AND(Checks!$X$58="",Checks!$Y$58=""),"",CHAR(10)&amp;"Exp: "&amp;Checks!$X$58&amp;"  /  Act: "&amp;Checks!$Y$58)</f>
        <v/>
      </c>
      <c r="F54" s="112" t="str">
        <f aca="false">IF(Checks!$Z$58="","","Evidence: "&amp;Checks!$Z$58)&amp;IF(Checks!$AA$58="","",IF(Checks!$Z$58="","",CHAR(10))&amp;"CA: "&amp;Checks!$AA$58)</f>
        <v/>
      </c>
      <c r="G54" s="112" t="str">
        <f aca="false">IF(ISNUMBER(Checks!$AD$58),TEXT(Checks!$AD$58,"DD-MMM-YY HH:MM")&amp;" "&amp;Checks!$P$58,"")&amp;IF(Checks!$AE$58="","",CHAR(10)&amp;"Verifier: "&amp;Checks!$AE$58)&amp;IF(Checks!$T$58="","",CHAR(10)&amp;"PIC: "&amp;Checks!$T$58)</f>
        <v/>
      </c>
      <c r="H54" s="113" t="str">
        <f aca="false">IF(Checks!$AH$58="","",Checks!$AH$58)</f>
        <v>OPEN</v>
      </c>
    </row>
    <row r="55" customFormat="false" ht="114" hidden="false" customHeight="true" outlineLevel="0" collapsed="false">
      <c r="A55" s="112" t="str">
        <f aca="false">Checks!$A$59&amp;CHAR(10)&amp;IF(Checks!$I$59="","",Checks!$I$59&amp;": ")&amp;Checks!$J$59</f>
        <v>F02-UPL-03
Amenities: Disposable slippers in DAM cart (BC, on request) - on board</v>
      </c>
      <c r="B55" s="112" t="str">
        <f aca="false">Checks!$K$59&amp;IF(Checks!$O$59="","",IF(Checks!$K$59="","",CHAR(10))&amp;"Note: "&amp;Checks!$O$59)</f>
        <v>Available in DAM cart on request basis
Note: Sector has no BC slippers; note C83: disposable slipper available in DAM cart (on request basis).</v>
      </c>
      <c r="C55" s="112" t="str">
        <f aca="false">Checks!$N$59&amp;CHAR(10)&amp;IF(ISNUMBER(Checks!$R$59),TEXT(Checks!$R$59,"DD-MMM-YY HH:MM"),"")&amp;" "&amp;Checks!$P$59</f>
        <v>Required
09-Oct-26 21:50 KUL</v>
      </c>
      <c r="D55" s="112" t="str">
        <f aca="false">IF(Checks!$U$59="","",Checks!$U$59)&amp;IF(Checks!$AB$59="","",CHAR(10)&amp;"CA: "&amp;Checks!$AB$59)</f>
        <v/>
      </c>
      <c r="E55" s="112" t="str">
        <f aca="false">IF(Checks!$V$59="","",Checks!$V$59)&amp;IF(Checks!$AC$59="","",IF(Checks!$V$59="","",CHAR(10))&amp;"N/A just.: "&amp;Checks!$AC$59)&amp;IF(Checks!$W$59="","",CHAR(10)&amp;"Batch: "&amp;Checks!$W$59)&amp;IF(AND(Checks!$X$59="",Checks!$Y$59=""),"",CHAR(10)&amp;"Exp: "&amp;Checks!$X$59&amp;"  /  Act: "&amp;Checks!$Y$59)</f>
        <v/>
      </c>
      <c r="F55" s="112" t="str">
        <f aca="false">IF(Checks!$Z$59="","","Evidence: "&amp;Checks!$Z$59)&amp;IF(Checks!$AA$59="","",IF(Checks!$Z$59="","",CHAR(10))&amp;"CA: "&amp;Checks!$AA$59)</f>
        <v/>
      </c>
      <c r="G55" s="112" t="str">
        <f aca="false">IF(ISNUMBER(Checks!$AD$59),TEXT(Checks!$AD$59,"DD-MMM-YY HH:MM")&amp;" "&amp;Checks!$P$59,"")&amp;IF(Checks!$AE$59="","",CHAR(10)&amp;"Verifier: "&amp;Checks!$AE$59)&amp;IF(Checks!$T$59="","",CHAR(10)&amp;"PIC: "&amp;Checks!$T$59)</f>
        <v/>
      </c>
      <c r="H55" s="113" t="str">
        <f aca="false">IF(Checks!$AH$59="","",Checks!$AH$59)</f>
        <v>OPEN</v>
      </c>
    </row>
    <row r="56" customFormat="false" ht="114" hidden="false" customHeight="true" outlineLevel="0" collapsed="false">
      <c r="A56" s="112" t="str">
        <f aca="false">Checks!$A$60&amp;CHAR(10)&amp;IF(Checks!$I$60="","",Checks!$I$60&amp;": ")&amp;Checks!$J$60</f>
        <v>F02-UPL-04
F&amp;B Linen: Towel - on board</v>
      </c>
      <c r="B56" s="112" t="str">
        <f aca="false">Checks!$K$60&amp;IF(Checks!$O$60="","",IF(Checks!$K$60="","",CHAR(10))&amp;"Note: "&amp;Checks!$O$60)</f>
        <v>Available (ticked in reference)</v>
      </c>
      <c r="C56" s="112" t="str">
        <f aca="false">Checks!$N$60&amp;CHAR(10)&amp;IF(ISNUMBER(Checks!$R$60),TEXT(Checks!$R$60,"DD-MMM-YY HH:MM"),"")&amp;" "&amp;Checks!$P$60</f>
        <v>Required
09-Oct-26 21:50 KUL</v>
      </c>
      <c r="D56" s="112" t="str">
        <f aca="false">IF(Checks!$U$60="","",Checks!$U$60)&amp;IF(Checks!$AB$60="","",CHAR(10)&amp;"CA: "&amp;Checks!$AB$60)</f>
        <v/>
      </c>
      <c r="E56" s="112" t="str">
        <f aca="false">IF(Checks!$V$60="","",Checks!$V$60)&amp;IF(Checks!$AC$60="","",IF(Checks!$V$60="","",CHAR(10))&amp;"N/A just.: "&amp;Checks!$AC$60)&amp;IF(Checks!$W$60="","",CHAR(10)&amp;"Batch: "&amp;Checks!$W$60)&amp;IF(AND(Checks!$X$60="",Checks!$Y$60=""),"",CHAR(10)&amp;"Exp: "&amp;Checks!$X$60&amp;"  /  Act: "&amp;Checks!$Y$60)</f>
        <v/>
      </c>
      <c r="F56" s="112" t="str">
        <f aca="false">IF(Checks!$Z$60="","","Evidence: "&amp;Checks!$Z$60)&amp;IF(Checks!$AA$60="","",IF(Checks!$Z$60="","",CHAR(10))&amp;"CA: "&amp;Checks!$AA$60)</f>
        <v/>
      </c>
      <c r="G56" s="112" t="str">
        <f aca="false">IF(ISNUMBER(Checks!$AD$60),TEXT(Checks!$AD$60,"DD-MMM-YY HH:MM")&amp;" "&amp;Checks!$P$60,"")&amp;IF(Checks!$AE$60="","",CHAR(10)&amp;"Verifier: "&amp;Checks!$AE$60)&amp;IF(Checks!$T$60="","",CHAR(10)&amp;"PIC: "&amp;Checks!$T$60)</f>
        <v/>
      </c>
      <c r="H56" s="113" t="str">
        <f aca="false">IF(Checks!$AH$60="","",Checks!$AH$60)</f>
        <v>OPEN</v>
      </c>
    </row>
    <row r="57" customFormat="false" ht="114" hidden="false" customHeight="true" outlineLevel="0" collapsed="false">
      <c r="A57" s="112" t="str">
        <f aca="false">Checks!$A$61&amp;CHAR(10)&amp;IF(Checks!$I$61="","",Checks!$I$61&amp;": ")&amp;Checks!$J$61</f>
        <v>F02-UPL-05
F&amp;B Linen: Tray cloth - on board</v>
      </c>
      <c r="B57" s="112" t="str">
        <f aca="false">Checks!$K$61&amp;IF(Checks!$O$61="","",IF(Checks!$K$61="","",CHAR(10))&amp;"Note: "&amp;Checks!$O$61)</f>
        <v>Available (ticked in reference)</v>
      </c>
      <c r="C57" s="112" t="str">
        <f aca="false">Checks!$N$61&amp;CHAR(10)&amp;IF(ISNUMBER(Checks!$R$61),TEXT(Checks!$R$61,"DD-MMM-YY HH:MM"),"")&amp;" "&amp;Checks!$P$61</f>
        <v>Required
09-Oct-26 21:50 KUL</v>
      </c>
      <c r="D57" s="112" t="str">
        <f aca="false">IF(Checks!$U$61="","",Checks!$U$61)&amp;IF(Checks!$AB$61="","",CHAR(10)&amp;"CA: "&amp;Checks!$AB$61)</f>
        <v/>
      </c>
      <c r="E57" s="112" t="str">
        <f aca="false">IF(Checks!$V$61="","",Checks!$V$61)&amp;IF(Checks!$AC$61="","",IF(Checks!$V$61="","",CHAR(10))&amp;"N/A just.: "&amp;Checks!$AC$61)&amp;IF(Checks!$W$61="","",CHAR(10)&amp;"Batch: "&amp;Checks!$W$61)&amp;IF(AND(Checks!$X$61="",Checks!$Y$61=""),"",CHAR(10)&amp;"Exp: "&amp;Checks!$X$61&amp;"  /  Act: "&amp;Checks!$Y$61)</f>
        <v/>
      </c>
      <c r="F57" s="112" t="str">
        <f aca="false">IF(Checks!$Z$61="","","Evidence: "&amp;Checks!$Z$61)&amp;IF(Checks!$AA$61="","",IF(Checks!$Z$61="","",CHAR(10))&amp;"CA: "&amp;Checks!$AA$61)</f>
        <v/>
      </c>
      <c r="G57" s="112" t="str">
        <f aca="false">IF(ISNUMBER(Checks!$AD$61),TEXT(Checks!$AD$61,"DD-MMM-YY HH:MM")&amp;" "&amp;Checks!$P$61,"")&amp;IF(Checks!$AE$61="","",CHAR(10)&amp;"Verifier: "&amp;Checks!$AE$61)&amp;IF(Checks!$T$61="","",CHAR(10)&amp;"PIC: "&amp;Checks!$T$61)</f>
        <v/>
      </c>
      <c r="H57" s="113" t="str">
        <f aca="false">IF(Checks!$AH$61="","",Checks!$AH$61)</f>
        <v>OPEN</v>
      </c>
    </row>
    <row r="58" customFormat="false" ht="114" hidden="false" customHeight="true" outlineLevel="0" collapsed="false">
      <c r="A58" s="112" t="str">
        <f aca="false">Checks!$A$62&amp;CHAR(10)&amp;IF(Checks!$I$62="","",Checks!$I$62&amp;": ")&amp;Checks!$J$62</f>
        <v>F02-UPL-06
F&amp;B Linen: Napkin - on board</v>
      </c>
      <c r="B58" s="112" t="str">
        <f aca="false">Checks!$K$62&amp;IF(Checks!$O$62="","",IF(Checks!$K$62="","",CHAR(10))&amp;"Note: "&amp;Checks!$O$62)</f>
        <v>Available (ticked in reference)</v>
      </c>
      <c r="C58" s="112" t="str">
        <f aca="false">Checks!$N$62&amp;CHAR(10)&amp;IF(ISNUMBER(Checks!$R$62),TEXT(Checks!$R$62,"DD-MMM-YY HH:MM"),"")&amp;" "&amp;Checks!$P$62</f>
        <v>Required
09-Oct-26 21:50 KUL</v>
      </c>
      <c r="D58" s="112" t="str">
        <f aca="false">IF(Checks!$U$62="","",Checks!$U$62)&amp;IF(Checks!$AB$62="","",CHAR(10)&amp;"CA: "&amp;Checks!$AB$62)</f>
        <v/>
      </c>
      <c r="E58" s="112" t="str">
        <f aca="false">IF(Checks!$V$62="","",Checks!$V$62)&amp;IF(Checks!$AC$62="","",IF(Checks!$V$62="","",CHAR(10))&amp;"N/A just.: "&amp;Checks!$AC$62)&amp;IF(Checks!$W$62="","",CHAR(10)&amp;"Batch: "&amp;Checks!$W$62)&amp;IF(AND(Checks!$X$62="",Checks!$Y$62=""),"",CHAR(10)&amp;"Exp: "&amp;Checks!$X$62&amp;"  /  Act: "&amp;Checks!$Y$62)</f>
        <v/>
      </c>
      <c r="F58" s="112" t="str">
        <f aca="false">IF(Checks!$Z$62="","","Evidence: "&amp;Checks!$Z$62)&amp;IF(Checks!$AA$62="","",IF(Checks!$Z$62="","",CHAR(10))&amp;"CA: "&amp;Checks!$AA$62)</f>
        <v/>
      </c>
      <c r="G58" s="112" t="str">
        <f aca="false">IF(ISNUMBER(Checks!$AD$62),TEXT(Checks!$AD$62,"DD-MMM-YY HH:MM")&amp;" "&amp;Checks!$P$62,"")&amp;IF(Checks!$AE$62="","",CHAR(10)&amp;"Verifier: "&amp;Checks!$AE$62)&amp;IF(Checks!$T$62="","",CHAR(10)&amp;"PIC: "&amp;Checks!$T$62)</f>
        <v/>
      </c>
      <c r="H58" s="113" t="str">
        <f aca="false">IF(Checks!$AH$62="","",Checks!$AH$62)</f>
        <v>OPEN</v>
      </c>
    </row>
    <row r="59" customFormat="false" ht="201.75" hidden="false" customHeight="true" outlineLevel="0" collapsed="false">
      <c r="A59" s="112" t="str">
        <f aca="false">Checks!$A$63&amp;CHAR(10)&amp;IF(Checks!$I$63="","",Checks!$I$63&amp;": ")&amp;Checks!$J$63</f>
        <v>F02-UPL-07
F&amp;B Linen: Table cloth - on board</v>
      </c>
      <c r="B59" s="112" t="str">
        <f aca="false">SUBSTITUTE(Checks!$K$63&amp;IF(Checks!$O$63="","",IF(Checks!$K$63="","",CHAR(10))&amp;"Note: "&amp;Checks!$O$63),"F&amp;B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59" s="112" t="str">
        <f aca="false">Checks!$N$63&amp;CHAR(10)&amp;IF(ISNUMBER(Checks!$R$63),TEXT(Checks!$R$63,"DD-MMM-YY HH:MM"),"")&amp;" "&amp;Checks!$P$63</f>
        <v>Clarification required
09-Oct-26 21:50 KUL</v>
      </c>
      <c r="D59" s="112" t="str">
        <f aca="false">IF(Checks!$U$63="","",Checks!$U$63)&amp;IF(Checks!$AB$63="","",CHAR(10)&amp;"CA: "&amp;Checks!$AB$63)</f>
        <v/>
      </c>
      <c r="E59" s="112" t="str">
        <f aca="false">IF(Checks!$V$63="","",Checks!$V$63)&amp;IF(Checks!$AC$63="","",IF(Checks!$V$63="","",CHAR(10))&amp;"N/A just.: "&amp;Checks!$AC$63)&amp;IF(Checks!$W$63="","",CHAR(10)&amp;"Batch: "&amp;Checks!$W$63)&amp;IF(AND(Checks!$X$63="",Checks!$Y$63=""),"",CHAR(10)&amp;"Exp: "&amp;Checks!$X$63&amp;"  /  Act: "&amp;Checks!$Y$63)</f>
        <v/>
      </c>
      <c r="F59" s="112" t="str">
        <f aca="false">IF(Checks!$Z$63="","","Evidence: "&amp;Checks!$Z$63)&amp;IF(Checks!$AA$63="","",IF(Checks!$Z$63="","",CHAR(10))&amp;"CA: "&amp;Checks!$AA$63)</f>
        <v/>
      </c>
      <c r="G59" s="112" t="str">
        <f aca="false">IF(ISNUMBER(Checks!$AD$63),TEXT(Checks!$AD$63,"DD-MMM-YY HH:MM")&amp;" "&amp;Checks!$P$63,"")&amp;IF(Checks!$AE$63="","",CHAR(10)&amp;"Verifier: "&amp;Checks!$AE$63)&amp;IF(Checks!$T$63="","",CHAR(10)&amp;"PIC: "&amp;Checks!$T$63)</f>
        <v/>
      </c>
      <c r="H59" s="113" t="str">
        <f aca="false">IF(Checks!$AH$63="","",Checks!$AH$63)</f>
        <v>OPEN – CLARIFICATION</v>
      </c>
    </row>
    <row r="60" customFormat="false" ht="201.75" hidden="false" customHeight="true" outlineLevel="0" collapsed="false">
      <c r="A60" s="112" t="str">
        <f aca="false">Checks!$A$64&amp;CHAR(10)&amp;IF(Checks!$I$64="","",Checks!$I$64&amp;": ")&amp;Checks!$J$64</f>
        <v>F02-UPL-08
F&amp;B Linen: Bread linen (using table cloth) - on board</v>
      </c>
      <c r="B60" s="112" t="str">
        <f aca="false">SUBSTITUTE(Checks!$K$64&amp;IF(Checks!$O$64="","",IF(Checks!$K$64="","",CHAR(10))&amp;"Note: "&amp;Checks!$O$64),"F&amp;B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60" s="112" t="str">
        <f aca="false">Checks!$N$64&amp;CHAR(10)&amp;IF(ISNUMBER(Checks!$R$64),TEXT(Checks!$R$64,"DD-MMM-YY HH:MM"),"")&amp;" "&amp;Checks!$P$64</f>
        <v>Clarification required
09-Oct-26 21:50 KUL</v>
      </c>
      <c r="D60" s="112" t="str">
        <f aca="false">IF(Checks!$U$64="","",Checks!$U$64)&amp;IF(Checks!$AB$64="","",CHAR(10)&amp;"CA: "&amp;Checks!$AB$64)</f>
        <v/>
      </c>
      <c r="E60" s="112" t="str">
        <f aca="false">IF(Checks!$V$64="","",Checks!$V$64)&amp;IF(Checks!$AC$64="","",IF(Checks!$V$64="","",CHAR(10))&amp;"N/A just.: "&amp;Checks!$AC$64)&amp;IF(Checks!$W$64="","",CHAR(10)&amp;"Batch: "&amp;Checks!$W$64)&amp;IF(AND(Checks!$X$64="",Checks!$Y$64=""),"",CHAR(10)&amp;"Exp: "&amp;Checks!$X$64&amp;"  /  Act: "&amp;Checks!$Y$64)</f>
        <v/>
      </c>
      <c r="F60" s="112" t="str">
        <f aca="false">IF(Checks!$Z$64="","","Evidence: "&amp;Checks!$Z$64)&amp;IF(Checks!$AA$64="","",IF(Checks!$Z$64="","",CHAR(10))&amp;"CA: "&amp;Checks!$AA$64)</f>
        <v/>
      </c>
      <c r="G60" s="112" t="str">
        <f aca="false">IF(ISNUMBER(Checks!$AD$64),TEXT(Checks!$AD$64,"DD-MMM-YY HH:MM")&amp;" "&amp;Checks!$P$64,"")&amp;IF(Checks!$AE$64="","",CHAR(10)&amp;"Verifier: "&amp;Checks!$AE$64)&amp;IF(Checks!$T$64="","",CHAR(10)&amp;"PIC: "&amp;Checks!$T$64)</f>
        <v/>
      </c>
      <c r="H60" s="113" t="str">
        <f aca="false">IF(Checks!$AH$64="","",Checks!$AH$64)</f>
        <v>OPEN – CLARIFICATION</v>
      </c>
    </row>
    <row r="61" customFormat="false" ht="114" hidden="false" customHeight="true" outlineLevel="0" collapsed="false">
      <c r="A61" s="112" t="str">
        <f aca="false">Checks!$A$65&amp;CHAR(10)&amp;IF(Checks!$I$65="","",Checks!$I$65&amp;": ")&amp;Checks!$J$65</f>
        <v>F02-UPL-09
F&amp;B Linen: Trolley cloth - on board</v>
      </c>
      <c r="B61" s="112" t="str">
        <f aca="false">SUBSTITUTE(Checks!$K$65&amp;IF(Checks!$O$65="","",IF(Checks!$K$65="","",CHAR(10))&amp;"Note: "&amp;Checks!$O$65),"F&amp;B LINEN!","Ref: F&amp;B LINEN!")</f>
        <v>Narrow body: Top only
Note: Per note Ref: F&amp;B LINEN!B79:C80.</v>
      </c>
      <c r="C61" s="112" t="str">
        <f aca="false">Checks!$N$65&amp;CHAR(10)&amp;IF(ISNUMBER(Checks!$R$65),TEXT(Checks!$R$65,"DD-MMM-YY HH:MM"),"")&amp;" "&amp;Checks!$P$65</f>
        <v>Required
09-Oct-26 21:50 KUL</v>
      </c>
      <c r="D61" s="112" t="str">
        <f aca="false">IF(Checks!$U$65="","",Checks!$U$65)&amp;IF(Checks!$AB$65="","",CHAR(10)&amp;"CA: "&amp;Checks!$AB$65)</f>
        <v/>
      </c>
      <c r="E61" s="112" t="str">
        <f aca="false">IF(Checks!$V$65="","",Checks!$V$65)&amp;IF(Checks!$AC$65="","",IF(Checks!$V$65="","",CHAR(10))&amp;"N/A just.: "&amp;Checks!$AC$65)&amp;IF(Checks!$W$65="","",CHAR(10)&amp;"Batch: "&amp;Checks!$W$65)&amp;IF(AND(Checks!$X$65="",Checks!$Y$65=""),"",CHAR(10)&amp;"Exp: "&amp;Checks!$X$65&amp;"  /  Act: "&amp;Checks!$Y$65)</f>
        <v/>
      </c>
      <c r="F61" s="112" t="str">
        <f aca="false">IF(Checks!$Z$65="","","Evidence: "&amp;Checks!$Z$65)&amp;IF(Checks!$AA$65="","",IF(Checks!$Z$65="","",CHAR(10))&amp;"CA: "&amp;Checks!$AA$65)</f>
        <v/>
      </c>
      <c r="G61" s="112" t="str">
        <f aca="false">IF(ISNUMBER(Checks!$AD$65),TEXT(Checks!$AD$65,"DD-MMM-YY HH:MM")&amp;" "&amp;Checks!$P$65,"")&amp;IF(Checks!$AE$65="","",CHAR(10)&amp;"Verifier: "&amp;Checks!$AE$65)&amp;IF(Checks!$T$65="","",CHAR(10)&amp;"PIC: "&amp;Checks!$T$65)</f>
        <v/>
      </c>
      <c r="H61" s="113" t="str">
        <f aca="false">IF(Checks!$AH$65="","",Checks!$AH$65)</f>
        <v>OPEN</v>
      </c>
    </row>
    <row r="62" customFormat="false" ht="114" hidden="false" customHeight="true" outlineLevel="0" collapsed="false">
      <c r="A62" s="112" t="str">
        <f aca="false">Checks!$A$66&amp;CHAR(10)&amp;IF(Checks!$I$66="","",Checks!$I$66&amp;": ")&amp;Checks!$J$66</f>
        <v>F02-UPL-10
F&amp;B Linen: Linen bag - on board</v>
      </c>
      <c r="B62" s="112" t="str">
        <f aca="false">Checks!$K$66&amp;IF(Checks!$O$66="","",IF(Checks!$K$66="","",CHAR(10))&amp;"Note: "&amp;Checks!$O$66)</f>
        <v>Available (ticked in reference)</v>
      </c>
      <c r="C62" s="112" t="str">
        <f aca="false">Checks!$N$66&amp;CHAR(10)&amp;IF(ISNUMBER(Checks!$R$66),TEXT(Checks!$R$66,"DD-MMM-YY HH:MM"),"")&amp;" "&amp;Checks!$P$66</f>
        <v>Required
09-Oct-26 21:50 KUL</v>
      </c>
      <c r="D62" s="112" t="str">
        <f aca="false">IF(Checks!$U$66="","",Checks!$U$66)&amp;IF(Checks!$AB$66="","",CHAR(10)&amp;"CA: "&amp;Checks!$AB$66)</f>
        <v/>
      </c>
      <c r="E62" s="112" t="str">
        <f aca="false">IF(Checks!$V$66="","",Checks!$V$66)&amp;IF(Checks!$AC$66="","",IF(Checks!$V$66="","",CHAR(10))&amp;"N/A just.: "&amp;Checks!$AC$66)&amp;IF(Checks!$W$66="","",CHAR(10)&amp;"Batch: "&amp;Checks!$W$66)&amp;IF(AND(Checks!$X$66="",Checks!$Y$66=""),"",CHAR(10)&amp;"Exp: "&amp;Checks!$X$66&amp;"  /  Act: "&amp;Checks!$Y$66)</f>
        <v/>
      </c>
      <c r="F62" s="112" t="str">
        <f aca="false">IF(Checks!$Z$66="","","Evidence: "&amp;Checks!$Z$66)&amp;IF(Checks!$AA$66="","",IF(Checks!$Z$66="","",CHAR(10))&amp;"CA: "&amp;Checks!$AA$66)</f>
        <v/>
      </c>
      <c r="G62" s="112" t="str">
        <f aca="false">IF(ISNUMBER(Checks!$AD$66),TEXT(Checks!$AD$66,"DD-MMM-YY HH:MM")&amp;" "&amp;Checks!$P$66,"")&amp;IF(Checks!$AE$66="","",CHAR(10)&amp;"Verifier: "&amp;Checks!$AE$66)&amp;IF(Checks!$T$66="","",CHAR(10)&amp;"PIC: "&amp;Checks!$T$66)</f>
        <v/>
      </c>
      <c r="H62" s="113" t="str">
        <f aca="false">IF(Checks!$AH$66="","",Checks!$AH$66)</f>
        <v>OPEN</v>
      </c>
    </row>
    <row r="63" customFormat="false" ht="114" hidden="false" customHeight="true" outlineLevel="0" collapsed="false">
      <c r="A63" s="112" t="str">
        <f aca="false">Checks!$A$67&amp;CHAR(10)&amp;IF(Checks!$I$67="","",Checks!$I$67&amp;": ")&amp;Checks!$J$67</f>
        <v>F02-UPL-11
Seat Linen: Seat pillow (BS &amp; BC) - on board</v>
      </c>
      <c r="B63" s="112" t="str">
        <f aca="false">Checks!$K$67&amp;IF(Checks!$O$67="","",IF(Checks!$K$67="","",CHAR(10))&amp;"Note: "&amp;Checks!$O$67)</f>
        <v>Available 100% (ticked in reference)</v>
      </c>
      <c r="C63" s="112" t="str">
        <f aca="false">Checks!$N$67&amp;CHAR(10)&amp;IF(ISNUMBER(Checks!$R$67),TEXT(Checks!$R$67,"DD-MMM-YY HH:MM"),"")&amp;" "&amp;Checks!$P$67</f>
        <v>Required
09-Oct-26 21:50 KUL</v>
      </c>
      <c r="D63" s="112" t="str">
        <f aca="false">IF(Checks!$U$67="","",Checks!$U$67)&amp;IF(Checks!$AB$67="","",CHAR(10)&amp;"CA: "&amp;Checks!$AB$67)</f>
        <v/>
      </c>
      <c r="E63" s="112" t="str">
        <f aca="false">IF(Checks!$V$67="","",Checks!$V$67)&amp;IF(Checks!$AC$67="","",IF(Checks!$V$67="","",CHAR(10))&amp;"N/A just.: "&amp;Checks!$AC$67)&amp;IF(Checks!$W$67="","",CHAR(10)&amp;"Batch: "&amp;Checks!$W$67)&amp;IF(AND(Checks!$X$67="",Checks!$Y$67=""),"",CHAR(10)&amp;"Exp: "&amp;Checks!$X$67&amp;"  /  Act: "&amp;Checks!$Y$67)</f>
        <v/>
      </c>
      <c r="F63" s="112" t="str">
        <f aca="false">IF(Checks!$Z$67="","","Evidence: "&amp;Checks!$Z$67)&amp;IF(Checks!$AA$67="","",IF(Checks!$Z$67="","",CHAR(10))&amp;"CA: "&amp;Checks!$AA$67)</f>
        <v/>
      </c>
      <c r="G63" s="112" t="str">
        <f aca="false">IF(ISNUMBER(Checks!$AD$67),TEXT(Checks!$AD$67,"DD-MMM-YY HH:MM")&amp;" "&amp;Checks!$P$67,"")&amp;IF(Checks!$AE$67="","",CHAR(10)&amp;"Verifier: "&amp;Checks!$AE$67)&amp;IF(Checks!$T$67="","",CHAR(10)&amp;"PIC: "&amp;Checks!$T$67)</f>
        <v/>
      </c>
      <c r="H63" s="113" t="str">
        <f aca="false">IF(Checks!$AH$67="","",Checks!$AH$67)</f>
        <v>OPEN</v>
      </c>
    </row>
    <row r="64" customFormat="false" ht="114" hidden="false" customHeight="true" outlineLevel="0" collapsed="false">
      <c r="A64" s="112" t="str">
        <f aca="false">Checks!$A$68&amp;CHAR(10)&amp;IF(Checks!$I$68="","",Checks!$I$68&amp;": ")&amp;Checks!$J$68</f>
        <v>F02-UPL-12
Seat Linen: Blanket (BS &amp; BC) - on board</v>
      </c>
      <c r="B64" s="112" t="str">
        <f aca="false">Checks!$K$68&amp;IF(Checks!$O$68="","",IF(Checks!$K$68="","",CHAR(10))&amp;"Note: "&amp;Checks!$O$68)</f>
        <v>Available 100% (ticked in reference)</v>
      </c>
      <c r="C64" s="112" t="str">
        <f aca="false">Checks!$N$68&amp;CHAR(10)&amp;IF(ISNUMBER(Checks!$R$68),TEXT(Checks!$R$68,"DD-MMM-YY HH:MM"),"")&amp;" "&amp;Checks!$P$68</f>
        <v>Required
09-Oct-26 21:50 KUL</v>
      </c>
      <c r="D64" s="112" t="str">
        <f aca="false">IF(Checks!$U$68="","",Checks!$U$68)&amp;IF(Checks!$AB$68="","",CHAR(10)&amp;"CA: "&amp;Checks!$AB$68)</f>
        <v/>
      </c>
      <c r="E64" s="112" t="str">
        <f aca="false">IF(Checks!$V$68="","",Checks!$V$68)&amp;IF(Checks!$AC$68="","",IF(Checks!$V$68="","",CHAR(10))&amp;"N/A just.: "&amp;Checks!$AC$68)&amp;IF(Checks!$W$68="","",CHAR(10)&amp;"Batch: "&amp;Checks!$W$68)&amp;IF(AND(Checks!$X$68="",Checks!$Y$68=""),"",CHAR(10)&amp;"Exp: "&amp;Checks!$X$68&amp;"  /  Act: "&amp;Checks!$Y$68)</f>
        <v/>
      </c>
      <c r="F64" s="112" t="str">
        <f aca="false">IF(Checks!$Z$68="","","Evidence: "&amp;Checks!$Z$68)&amp;IF(Checks!$AA$68="","",IF(Checks!$Z$68="","",CHAR(10))&amp;"CA: "&amp;Checks!$AA$68)</f>
        <v/>
      </c>
      <c r="G64" s="112" t="str">
        <f aca="false">IF(ISNUMBER(Checks!$AD$68),TEXT(Checks!$AD$68,"DD-MMM-YY HH:MM")&amp;" "&amp;Checks!$P$68,"")&amp;IF(Checks!$AE$68="","",CHAR(10)&amp;"Verifier: "&amp;Checks!$AE$68)&amp;IF(Checks!$T$68="","",CHAR(10)&amp;"PIC: "&amp;Checks!$T$68)</f>
        <v/>
      </c>
      <c r="H64" s="113" t="str">
        <f aca="false">IF(Checks!$AH$68="","",Checks!$AH$68)</f>
        <v>OPEN</v>
      </c>
    </row>
    <row r="66" customFormat="false" ht="24" hidden="false" customHeight="true" outlineLevel="0" collapsed="false">
      <c r="A66" s="114" t="s">
        <v>1647</v>
      </c>
      <c r="B66" s="114"/>
      <c r="C66" s="114"/>
      <c r="D66" s="114"/>
      <c r="E66" s="114" t="s">
        <v>1648</v>
      </c>
      <c r="F66" s="114"/>
      <c r="G66" s="114"/>
      <c r="H66" s="114"/>
    </row>
    <row r="67" customFormat="false" ht="21.75" hidden="false" customHeight="true" outlineLevel="0" collapsed="false">
      <c r="A67" s="115"/>
      <c r="B67" s="115"/>
      <c r="C67" s="115"/>
      <c r="D67" s="115"/>
      <c r="E67" s="115"/>
      <c r="F67" s="115"/>
      <c r="G67" s="115"/>
      <c r="H67" s="115"/>
    </row>
    <row r="68" customFormat="false" ht="21.75" hidden="false" customHeight="true" outlineLevel="0" collapsed="false">
      <c r="A68" s="115"/>
      <c r="B68" s="115"/>
      <c r="C68" s="115"/>
      <c r="D68" s="115"/>
      <c r="E68" s="115"/>
      <c r="F68" s="115"/>
      <c r="G68" s="115"/>
      <c r="H68" s="115"/>
    </row>
    <row r="69" customFormat="false" ht="21.75" hidden="false" customHeight="true" outlineLevel="0" collapsed="false">
      <c r="A69" s="115"/>
      <c r="B69" s="115"/>
      <c r="C69" s="115"/>
      <c r="D69" s="115"/>
      <c r="E69" s="115"/>
      <c r="F69" s="115"/>
      <c r="G69" s="115"/>
      <c r="H69" s="115"/>
    </row>
    <row r="70" customFormat="false" ht="21.75" hidden="false" customHeight="true" outlineLevel="0" collapsed="false">
      <c r="A70" s="115"/>
      <c r="B70" s="115"/>
      <c r="C70" s="115"/>
      <c r="D70" s="115"/>
      <c r="E70" s="115"/>
      <c r="F70" s="115"/>
      <c r="G70" s="115"/>
      <c r="H70" s="115"/>
    </row>
    <row r="71" customFormat="false" ht="21.75" hidden="false" customHeight="true" outlineLevel="0" collapsed="false">
      <c r="A71" s="115"/>
      <c r="B71" s="115"/>
      <c r="C71" s="115"/>
      <c r="D71" s="115"/>
      <c r="E71" s="115"/>
      <c r="F71" s="115"/>
      <c r="G71" s="115"/>
      <c r="H71" s="115"/>
    </row>
    <row r="72" customFormat="false" ht="21.75" hidden="false" customHeight="true" outlineLevel="0" collapsed="false">
      <c r="A72" s="115"/>
      <c r="B72" s="115"/>
      <c r="C72" s="115"/>
      <c r="D72" s="115"/>
      <c r="E72" s="115"/>
      <c r="F72" s="115"/>
      <c r="G72" s="115"/>
      <c r="H72" s="115"/>
    </row>
    <row r="73" customFormat="false" ht="21.75" hidden="false" customHeight="true" outlineLevel="0" collapsed="false">
      <c r="A73" s="115"/>
      <c r="B73" s="115"/>
      <c r="C73" s="115"/>
      <c r="D73" s="115"/>
      <c r="E73" s="115"/>
      <c r="F73" s="115"/>
      <c r="G73" s="115"/>
      <c r="H73" s="115"/>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F03  "&amp;Flights!$F$7&amp;"  "&amp;TEXT(Flights!$D$7,"DD-MMM-YY")&amp;" ("&amp;Flights!$E$7&amp;")  "&amp;Flights!$G$7&amp;" → "&amp;Flights!$H$7&amp;"  |  Class "&amp;Flights!$K$7</f>
        <v>SKYTRAX 2026 CATERING READINESS CHECKLIST  |  F03  MH0720  10-Oct-26 (SAT)  CGK → KUL  |  Class EY</v>
      </c>
      <c r="B1" s="90"/>
      <c r="C1" s="90"/>
      <c r="D1" s="90"/>
      <c r="E1" s="90"/>
      <c r="F1" s="90"/>
      <c r="G1" s="90"/>
      <c r="H1" s="90"/>
    </row>
    <row r="2" customFormat="false" ht="12.75" hidden="false" customHeight="true" outlineLevel="0" collapsed="false">
      <c r="A2" s="91" t="s">
        <v>1602</v>
      </c>
      <c r="B2" s="92" t="str">
        <f aca="false">Flights!$F$7&amp;"   "&amp;TEXT(Flights!$D$7,"DD-MMM-YY")&amp;" ("&amp;Flights!$E$7&amp;")"</f>
        <v>MH0720   10-Oct-26 (SAT)</v>
      </c>
      <c r="C2" s="92"/>
      <c r="D2" s="92"/>
      <c r="E2" s="93" t="s">
        <v>1603</v>
      </c>
      <c r="F2" s="94" t="str">
        <f aca="false">Flights!$AT$7</f>
        <v>NOT READY – DOCUMENTS</v>
      </c>
      <c r="G2" s="94"/>
      <c r="H2" s="94"/>
    </row>
    <row r="3" customFormat="false" ht="24" hidden="false" customHeight="true" outlineLevel="0" collapsed="false">
      <c r="A3" s="91" t="s">
        <v>1604</v>
      </c>
      <c r="B3" s="92" t="str">
        <f aca="false">Flights!$G$7&amp;" → "&amp;Flights!$H$7&amp;"   Class "&amp;Flights!$K$7&amp;"   Seat "&amp;Flights!$O$7</f>
        <v>CGK → KUL   Class EY   Seat 11C</v>
      </c>
      <c r="C3" s="92"/>
      <c r="D3" s="92"/>
      <c r="E3" s="93" t="s">
        <v>66</v>
      </c>
      <c r="F3" s="93" t="s">
        <v>1605</v>
      </c>
      <c r="G3" s="93" t="s">
        <v>1606</v>
      </c>
      <c r="H3" s="93"/>
    </row>
    <row r="4" customFormat="false" ht="24" hidden="false" customHeight="true" outlineLevel="0" collapsed="false">
      <c r="A4" s="91" t="s">
        <v>1607</v>
      </c>
      <c r="B4" s="92" t="str">
        <f aca="false">IF(ISNUMBER(Flights!$I$7),TEXT(Flights!$I$7,"DD-MMM-YY HH:MM"),"")&amp;" "&amp;Flights!$G$7&amp;"  →  "&amp;IF(ISNUMBER(Flights!$J$7),TEXT(Flights!$J$7,"DD-MMM-YY HH:MM"),"")&amp;" "&amp;Flights!$H$7</f>
        <v>10-Oct-26 16:05 CGK  →  10-Oct-26 19:25 KUL</v>
      </c>
      <c r="C4" s="92"/>
      <c r="D4" s="92"/>
      <c r="E4" s="91" t="s">
        <v>1608</v>
      </c>
      <c r="F4" s="95" t="str">
        <f aca="false">IF(ISNUMBER(Flights!$AG$7),TEXT(Flights!$AG$7,"DD-MMM-YY HH:MM"),"")&amp;" "&amp;Flights!$V$7</f>
        <v>03-Oct-26 16:05 CGK</v>
      </c>
      <c r="G4" s="96" t="n">
        <f aca="false">Flights!$AJ$7</f>
        <v>0</v>
      </c>
      <c r="H4" s="96"/>
    </row>
    <row r="5" customFormat="false" ht="24" hidden="false" customHeight="true" outlineLevel="0" collapsed="false">
      <c r="A5" s="91" t="s">
        <v>1609</v>
      </c>
      <c r="B5" s="92" t="str">
        <f aca="false">Flights!$L$7&amp;" – "&amp;Flights!$M$7</f>
        <v>A333 – A330-300 (A333)</v>
      </c>
      <c r="C5" s="92"/>
      <c r="D5" s="92"/>
      <c r="E5" s="91" t="s">
        <v>1610</v>
      </c>
      <c r="F5" s="95" t="str">
        <f aca="false">IF(ISNUMBER(Flights!$AH$7),TEXT(Flights!$AH$7,"DD-MMM-YY HH:MM"),"")&amp;" "&amp;Flights!$V$7</f>
        <v>09-Oct-26 16:05 CGK</v>
      </c>
      <c r="G5" s="96" t="n">
        <f aca="false">Flights!$AK$7</f>
        <v>0</v>
      </c>
      <c r="H5" s="96"/>
    </row>
    <row r="6" customFormat="false" ht="24" hidden="false" customHeight="true" outlineLevel="0" collapsed="false">
      <c r="A6" s="91" t="s">
        <v>1611</v>
      </c>
      <c r="B6" s="92" t="str">
        <f aca="false">IF(TRIM(Flights!$N$7)="","__________________",Flights!$N$7)</f>
        <v>__________________</v>
      </c>
      <c r="C6" s="92"/>
      <c r="D6" s="92"/>
      <c r="E6" s="91" t="s">
        <v>1612</v>
      </c>
      <c r="F6" s="95" t="str">
        <f aca="false">IF(ISNUMBER(Flights!$AI$7),TEXT(Flights!$AI$7,"DD-MMM-YY HH:MM"),"")&amp;" "&amp;Flights!$V$7&amp;IF(Flights!$AI$7=Flights!$AH$7,"  (= T-24H due)","")</f>
        <v>10-Oct-26 04:05 CGK</v>
      </c>
      <c r="G6" s="96" t="n">
        <f aca="false">Flights!$AL$7</f>
        <v>0</v>
      </c>
      <c r="H6" s="96"/>
    </row>
    <row r="7" customFormat="false" ht="24" hidden="false" customHeight="true" outlineLevel="0" collapsed="false">
      <c r="A7" s="91" t="s">
        <v>1613</v>
      </c>
      <c r="B7" s="92" t="str">
        <f aca="false">Flights!$T$7</f>
        <v>1 Meal (Meal)</v>
      </c>
      <c r="C7" s="92"/>
      <c r="D7" s="92"/>
      <c r="E7" s="91" t="s">
        <v>1614</v>
      </c>
      <c r="F7" s="95" t="str">
        <f aca="false">"STD "&amp;IF(ISNUMBER(Flights!$I$7),TEXT(Flights!$I$7,"DD-MMM-YY HH:MM"),"")&amp;" "&amp;Flights!$G$7&amp;" (dep stn)"</f>
        <v>STD 10-Oct-26 16:05 CGK (dep stn)</v>
      </c>
      <c r="G7" s="96" t="n">
        <f aca="false">Flights!$AM$7</f>
        <v>0</v>
      </c>
      <c r="H7" s="96"/>
    </row>
    <row r="8" customFormat="false" ht="12.75" hidden="false" customHeight="true" outlineLevel="0" collapsed="false">
      <c r="A8" s="91" t="s">
        <v>148</v>
      </c>
      <c r="B8" s="92" t="str">
        <f aca="false">Flights!$V$7&amp;"   (reference uplift stns: "&amp;Flights!$U$7&amp;")"</f>
        <v>CGK   (reference uplift stns: KUL/CGK)</v>
      </c>
      <c r="C8" s="92"/>
      <c r="D8" s="92"/>
      <c r="E8" s="91" t="s">
        <v>1615</v>
      </c>
      <c r="F8" s="97" t="s">
        <v>1616</v>
      </c>
      <c r="G8" s="96" t="n">
        <f aca="false">Flights!$AN$7</f>
        <v>0</v>
      </c>
      <c r="H8" s="96"/>
    </row>
    <row r="9" customFormat="false" ht="12.75" hidden="false" customHeight="true" outlineLevel="0" collapsed="false">
      <c r="A9" s="91" t="s">
        <v>1617</v>
      </c>
      <c r="B9" s="92" t="str">
        <f aca="false">TRIM(Flights!$P$7&amp;"  "&amp;Flights!$Q$7)</f>
        <v>-</v>
      </c>
      <c r="C9" s="92"/>
      <c r="D9" s="92"/>
      <c r="E9" s="91" t="s">
        <v>1618</v>
      </c>
      <c r="F9" s="98" t="n">
        <f aca="false">Flights!$AP$7</f>
        <v>0</v>
      </c>
      <c r="G9" s="98" t="n">
        <f aca="false">Flights!$AQ$7</f>
        <v>0</v>
      </c>
      <c r="H9" s="98" t="n">
        <f aca="false">Flights!$AU$7</f>
        <v>0</v>
      </c>
    </row>
    <row r="10" customFormat="false" ht="24" hidden="false" customHeight="true" outlineLevel="0" collapsed="false">
      <c r="A10" s="91" t="s">
        <v>1619</v>
      </c>
      <c r="B10" s="92" t="str">
        <f aca="false">IF(TRIM(Flights!$X$7)="","__________________",Flights!$X$7)</f>
        <v>__________________</v>
      </c>
      <c r="C10" s="92"/>
      <c r="D10" s="92"/>
      <c r="E10" s="91" t="s">
        <v>1620</v>
      </c>
      <c r="F10" s="98" t="n">
        <f aca="false">Flights!$AO$7</f>
        <v>20</v>
      </c>
      <c r="G10" s="98" t="n">
        <f aca="false">Flights!$AS$7</f>
        <v>0</v>
      </c>
      <c r="H10" s="98" t="n">
        <f aca="false">Flights!$AR$7</f>
        <v>2</v>
      </c>
    </row>
    <row r="11" customFormat="false" ht="21" hidden="false" customHeight="true" outlineLevel="0" collapsed="false">
      <c r="A11" s="91" t="s">
        <v>1621</v>
      </c>
      <c r="B11" s="92" t="str">
        <f aca="false">IF(TRIM(Flights!$Y$7)="","__________________",Flights!$Y$7)</f>
        <v>__________________</v>
      </c>
      <c r="C11" s="92"/>
      <c r="D11" s="92"/>
      <c r="E11" s="91" t="s">
        <v>1622</v>
      </c>
      <c r="F11" s="98" t="str">
        <f aca="false">Flights!$AV$7&amp;" / "&amp;Flights!$AW$7</f>
        <v>0 / 20</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IF(Documents!$F$7="","",Documents!$F$7)</f>
        <v/>
      </c>
      <c r="C14" s="97" t="str">
        <f aca="false">IF(Documents!$G$7="","",Documents!$G$7)&amp;IF(ISNUMBER(Documents!$H$7),"  "&amp;TEXT(Documents!$H$7,"DD-MMM-YY"),"")</f>
        <v/>
      </c>
      <c r="D14" s="97"/>
      <c r="E14" s="105" t="str">
        <f aca="false">IF(Documents!$J$7="OUTSTANDING","OUTSTANDING – attach before T-7D (due "&amp;IF(ISNUMBER(Flights!$AG$7),TEXT(Flights!$AG$7,"DD-MMM-YY HH:MM"),"")&amp;" "&amp;Flights!$V$7&amp;")",IF(Documents!$J$7="","Status not recorded",Documents!$J$7))</f>
        <v>OUTSTANDING – attach before T-7D (due 03-Oct-26 16:05 CGK)</v>
      </c>
      <c r="F14" s="106" t="str">
        <f aca="false">"Staple behind this sheet as page A1."&amp;IF(Documents!$I$7="",""," Location: "&amp;Documents!$I$7)</f>
        <v>Staple behind this sheet as page A1.</v>
      </c>
      <c r="G14" s="106"/>
      <c r="H14" s="106"/>
    </row>
    <row r="15" customFormat="false" ht="36" hidden="false" customHeight="true" outlineLevel="0" collapsed="false">
      <c r="A15" s="91" t="s">
        <v>1633</v>
      </c>
      <c r="B15" s="92" t="str">
        <f aca="false">IF(Documents!$K$7="","",Documents!$K$7)</f>
        <v/>
      </c>
      <c r="C15" s="97" t="str">
        <f aca="false">IF(Documents!$L$7="","",Documents!$L$7)&amp;IF(ISNUMBER(Documents!$M$7),"  "&amp;TEXT(Documents!$M$7,"DD-MMM-YY"),"")</f>
        <v/>
      </c>
      <c r="D15" s="97"/>
      <c r="E15" s="105" t="str">
        <f aca="false">IF(Documents!$O$7="OUTSTANDING","OUTSTANDING – attach before T-7D (due "&amp;IF(ISNUMBER(Flights!$AG$7),TEXT(Flights!$AG$7,"DD-MMM-YY HH:MM"),"")&amp;" "&amp;Flights!$V$7&amp;")",IF(Documents!$O$7="","Status not recorded",Documents!$O$7))</f>
        <v>OUTSTANDING – attach before T-7D (due 03-Oct-26 16:05 CGK)</v>
      </c>
      <c r="F15" s="106" t="str">
        <f aca="false">"Staple behind this sheet as page A2."&amp;IF(Documents!$N$7="",""," Location: "&amp;Documents!$N$7)</f>
        <v>Staple behind this sheet as page A2.</v>
      </c>
      <c r="G15" s="106"/>
      <c r="H15" s="106"/>
    </row>
    <row r="16" customFormat="false" ht="22.5" hidden="false" customHeight="true" outlineLevel="0" collapsed="false">
      <c r="A16" s="91" t="s">
        <v>1634</v>
      </c>
      <c r="B16" s="107" t="str">
        <f aca="false">IF(Documents!$Q$7="","",Documents!$Q$7)</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"&amp;IF(TRIM(Flights!$Y$7)="","__________________",Flights!$Y$7)</f>
        <v>Name: __________________</v>
      </c>
      <c r="B18" s="92"/>
      <c r="C18" s="92" t="str">
        <f aca="false">"Name: __________________"</f>
        <v>Name: __________________</v>
      </c>
      <c r="D18" s="92"/>
      <c r="E18" s="92"/>
      <c r="F18" s="92" t="str">
        <f aca="false">"Name: __________________"&amp;"   Station: "&amp;Flights!$V$7</f>
        <v>Name: __________________   Station: CGK</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Checks!$A$69&amp;CHAR(10)&amp;IF(Checks!$I$69="","",Checks!$I$69&amp;": ")&amp;Checks!$J$69</f>
        <v>F03-T7-01
Meal: Meal sensory testing completed for this flight's menu cycle (assessed class)</v>
      </c>
      <c r="B23" s="112" t="str">
        <f aca="false">Checks!$K$69&amp;IF(Checks!$O$69="","",IF(Checks!$K$69="","",CHAR(10))&amp;"Note: "&amp;Checks!$O$69)</f>
        <v>Record panel result / score in Result</v>
      </c>
      <c r="C23" s="112" t="str">
        <f aca="false">Checks!$N$69&amp;CHAR(10)&amp;IF(ISNUMBER(Checks!$R$69),TEXT(Checks!$R$69,"DD-MMM-YY HH:MM"),"")&amp;" "&amp;Checks!$P$69</f>
        <v>Required
03-Oct-26 16:05 CGK</v>
      </c>
      <c r="D23" s="112" t="str">
        <f aca="false">IF(Checks!$U$69="","",Checks!$U$69)&amp;IF(Checks!$AB$69="","",CHAR(10)&amp;"CA: "&amp;Checks!$AB$69)</f>
        <v/>
      </c>
      <c r="E23" s="112" t="str">
        <f aca="false">IF(Checks!$V$69="","",Checks!$V$69)&amp;IF(Checks!$AC$69="","",IF(Checks!$V$69="","",CHAR(10))&amp;"N/A just.: "&amp;Checks!$AC$69)&amp;IF(Checks!$W$69="","",CHAR(10)&amp;"Batch: "&amp;Checks!$W$69)&amp;IF(AND(Checks!$X$69="",Checks!$Y$69=""),"",CHAR(10)&amp;"Exp: "&amp;Checks!$X$69&amp;"  /  Act: "&amp;Checks!$Y$69)</f>
        <v/>
      </c>
      <c r="F23" s="112" t="str">
        <f aca="false">IF(Checks!$Z$69="","","Evidence: "&amp;Checks!$Z$69)&amp;IF(Checks!$AA$69="","",IF(Checks!$Z$69="","",CHAR(10))&amp;"CA: "&amp;Checks!$AA$69)</f>
        <v/>
      </c>
      <c r="G23" s="112" t="str">
        <f aca="false">IF(ISNUMBER(Checks!$AD$69),TEXT(Checks!$AD$69,"DD-MMM-YY HH:MM")&amp;" "&amp;Checks!$P$69,"")&amp;IF(Checks!$AE$69="","",CHAR(10)&amp;"Verifier: "&amp;Checks!$AE$69)&amp;IF(Checks!$T$69="","",CHAR(10)&amp;"PIC: "&amp;Checks!$T$69)</f>
        <v/>
      </c>
      <c r="H23" s="113" t="str">
        <f aca="false">IF(Checks!$AH$69="","",Checks!$AH$69)</f>
        <v>OPEN</v>
      </c>
    </row>
    <row r="24" customFormat="false" ht="114" hidden="false" customHeight="true" outlineLevel="0" collapsed="false">
      <c r="A24" s="112" t="str">
        <f aca="false">Checks!$A$70&amp;CHAR(10)&amp;IF(Checks!$I$70="","",Checks!$I$70&amp;": ")&amp;Checks!$J$70</f>
        <v>F03-T7-02
Menu: Printed menu cards confirmed (content, cycle, language, quantity)</v>
      </c>
      <c r="B24" s="112" t="str">
        <f aca="false">Checks!$K$70&amp;IF(Checks!$O$70="","",IF(Checks!$K$70="","",CHAR(10))&amp;"Note: "&amp;Checks!$O$70)</f>
        <v>Menu card matches approved menu for this flight</v>
      </c>
      <c r="C24" s="112" t="str">
        <f aca="false">Checks!$N$70&amp;CHAR(10)&amp;IF(ISNUMBER(Checks!$R$70),TEXT(Checks!$R$70,"DD-MMM-YY HH:MM"),"")&amp;" "&amp;Checks!$P$70</f>
        <v>Required
03-Oct-26 16:05 CGK</v>
      </c>
      <c r="D24" s="112" t="str">
        <f aca="false">IF(Checks!$U$70="","",Checks!$U$70)&amp;IF(Checks!$AB$70="","",CHAR(10)&amp;"CA: "&amp;Checks!$AB$70)</f>
        <v/>
      </c>
      <c r="E24" s="112" t="str">
        <f aca="false">IF(Checks!$V$70="","",Checks!$V$70)&amp;IF(Checks!$AC$70="","",IF(Checks!$V$70="","",CHAR(10))&amp;"N/A just.: "&amp;Checks!$AC$70)&amp;IF(Checks!$W$70="","",CHAR(10)&amp;"Batch: "&amp;Checks!$W$70)&amp;IF(AND(Checks!$X$70="",Checks!$Y$70=""),"",CHAR(10)&amp;"Exp: "&amp;Checks!$X$70&amp;"  /  Act: "&amp;Checks!$Y$70)</f>
        <v/>
      </c>
      <c r="F24" s="112" t="str">
        <f aca="false">IF(Checks!$Z$70="","","Evidence: "&amp;Checks!$Z$70)&amp;IF(Checks!$AA$70="","",IF(Checks!$Z$70="","",CHAR(10))&amp;"CA: "&amp;Checks!$AA$70)</f>
        <v/>
      </c>
      <c r="G24" s="112" t="str">
        <f aca="false">IF(ISNUMBER(Checks!$AD$70),TEXT(Checks!$AD$70,"DD-MMM-YY HH:MM")&amp;" "&amp;Checks!$P$70,"")&amp;IF(Checks!$AE$70="","",CHAR(10)&amp;"Verifier: "&amp;Checks!$AE$70)&amp;IF(Checks!$T$70="","",CHAR(10)&amp;"PIC: "&amp;Checks!$T$70)</f>
        <v/>
      </c>
      <c r="H24" s="113" t="str">
        <f aca="false">IF(Checks!$AH$70="","",Checks!$AH$70)</f>
        <v>OPEN</v>
      </c>
    </row>
    <row r="25" customFormat="false" ht="114" hidden="false" customHeight="true" outlineLevel="0" collapsed="false">
      <c r="A25" s="112" t="str">
        <f aca="false">Checks!$A$71&amp;CHAR(10)&amp;IF(Checks!$I$71="","",Checks!$I$71&amp;": ")&amp;Checks!$J$71</f>
        <v>F03-T7-03
IFE: Digital menu in IFE confirmed (A339 only)</v>
      </c>
      <c r="B25" s="112" t="str">
        <f aca="false">Checks!$K$71&amp;IF(Checks!$O$71="","",IF(Checks!$K$71="","",CHAR(10))&amp;"Note: "&amp;Checks!$O$71)</f>
        <v>Applies when fleet = A339
Note: Digital IFE menu applies to A339 only (user brief). Applicability follows the Fleet cell on Flights.</v>
      </c>
      <c r="C25" s="112" t="str">
        <f aca="false">Checks!$N$71&amp;CHAR(10)&amp;IF(ISNUMBER(Checks!$R$71),TEXT(Checks!$R$71,"DD-MMM-YY HH:MM"),"")&amp;" "&amp;Checks!$P$71</f>
        <v>N/A – rule
03-Oct-26 16:05 CGK</v>
      </c>
      <c r="D25" s="112" t="str">
        <f aca="false">IF(Checks!$U$71="","",Checks!$U$71)&amp;IF(Checks!$AB$71="","",CHAR(10)&amp;"CA: "&amp;Checks!$AB$71)</f>
        <v/>
      </c>
      <c r="E25" s="112" t="str">
        <f aca="false">IF(Checks!$V$71="","",Checks!$V$71)&amp;IF(Checks!$AC$71="","",IF(Checks!$V$71="","",CHAR(10))&amp;"N/A just.: "&amp;Checks!$AC$71)&amp;IF(Checks!$W$71="","",CHAR(10)&amp;"Batch: "&amp;Checks!$W$71)&amp;IF(AND(Checks!$X$71="",Checks!$Y$71=""),"",CHAR(10)&amp;"Exp: "&amp;Checks!$X$71&amp;"  /  Act: "&amp;Checks!$Y$71)</f>
        <v/>
      </c>
      <c r="F25" s="112" t="str">
        <f aca="false">IF(Checks!$Z$71="","","Evidence: "&amp;Checks!$Z$71)&amp;IF(Checks!$AA$71="","",IF(Checks!$Z$71="","",CHAR(10))&amp;"CA: "&amp;Checks!$AA$71)</f>
        <v/>
      </c>
      <c r="G25" s="112" t="str">
        <f aca="false">IF(ISNUMBER(Checks!$AD$71),TEXT(Checks!$AD$71,"DD-MMM-YY HH:MM")&amp;" "&amp;Checks!$P$71,"")&amp;IF(Checks!$AE$71="","",CHAR(10)&amp;"Verifier: "&amp;Checks!$AE$71)&amp;IF(Checks!$T$71="","",CHAR(10)&amp;"PIC: "&amp;Checks!$T$71)</f>
        <v/>
      </c>
      <c r="H25" s="113" t="str">
        <f aca="false">IF(Checks!$AH$71="","",Checks!$AH$71)</f>
        <v>N/A – RULE</v>
      </c>
    </row>
    <row r="26" customFormat="false" ht="114" hidden="false" customHeight="true" outlineLevel="0" collapsed="false">
      <c r="A26" s="112" t="str">
        <f aca="false">Checks!$A$72&amp;CHAR(10)&amp;IF(Checks!$I$72="","",Checks!$I$72&amp;": ")&amp;Checks!$J$72</f>
        <v>F03-T7-04
Staffing: Experienced catering officer assigned to this flight</v>
      </c>
      <c r="B26" s="112" t="str">
        <f aca="false">Checks!$K$72&amp;IF(Checks!$O$72="","",IF(Checks!$K$72="","",CHAR(10))&amp;"Note: "&amp;Checks!$O$72)</f>
        <v>Record officer name in Result</v>
      </c>
      <c r="C26" s="112" t="str">
        <f aca="false">Checks!$N$72&amp;CHAR(10)&amp;IF(ISNUMBER(Checks!$R$72),TEXT(Checks!$R$72,"DD-MMM-YY HH:MM"),"")&amp;" "&amp;Checks!$P$72</f>
        <v>Required
03-Oct-26 16:05 CGK</v>
      </c>
      <c r="D26" s="112" t="str">
        <f aca="false">IF(Checks!$U$72="","",Checks!$U$72)&amp;IF(Checks!$AB$72="","",CHAR(10)&amp;"CA: "&amp;Checks!$AB$72)</f>
        <v/>
      </c>
      <c r="E26" s="112" t="str">
        <f aca="false">IF(Checks!$V$72="","",Checks!$V$72)&amp;IF(Checks!$AC$72="","",IF(Checks!$V$72="","",CHAR(10))&amp;"N/A just.: "&amp;Checks!$AC$72)&amp;IF(Checks!$W$72="","",CHAR(10)&amp;"Batch: "&amp;Checks!$W$72)&amp;IF(AND(Checks!$X$72="",Checks!$Y$72=""),"",CHAR(10)&amp;"Exp: "&amp;Checks!$X$72&amp;"  /  Act: "&amp;Checks!$Y$72)</f>
        <v/>
      </c>
      <c r="F26" s="112" t="str">
        <f aca="false">IF(Checks!$Z$72="","","Evidence: "&amp;Checks!$Z$72)&amp;IF(Checks!$AA$72="","",IF(Checks!$Z$72="","",CHAR(10))&amp;"CA: "&amp;Checks!$AA$72)</f>
        <v/>
      </c>
      <c r="G26" s="112" t="str">
        <f aca="false">IF(ISNUMBER(Checks!$AD$72),TEXT(Checks!$AD$72,"DD-MMM-YY HH:MM")&amp;" "&amp;Checks!$P$72,"")&amp;IF(Checks!$AE$72="","",CHAR(10)&amp;"Verifier: "&amp;Checks!$AE$72)&amp;IF(Checks!$T$72="","",CHAR(10)&amp;"PIC: "&amp;Checks!$T$72)</f>
        <v/>
      </c>
      <c r="H26" s="113" t="str">
        <f aca="false">IF(Checks!$AH$72="","",Checks!$AH$72)</f>
        <v>OPEN</v>
      </c>
    </row>
    <row r="27" customFormat="false" ht="114" hidden="false" customHeight="true" outlineLevel="0" collapsed="false">
      <c r="A27" s="112" t="str">
        <f aca="false">Checks!$A$73&amp;CHAR(10)&amp;IF(Checks!$I$73="","",Checks!$I$73&amp;": ")&amp;Checks!$J$73</f>
        <v>F03-T7-05
ISOP: All latest applicable ISOP revisions communicated to caterer</v>
      </c>
      <c r="B27" s="112" t="str">
        <f aca="false">Checks!$K$73&amp;IF(Checks!$O$73="","",IF(Checks!$K$73="","",CHAR(10))&amp;"Note: "&amp;Checks!$O$73)</f>
        <v>List revision numbers in Result (see ISOP register)</v>
      </c>
      <c r="C27" s="112" t="str">
        <f aca="false">Checks!$N$73&amp;CHAR(10)&amp;IF(ISNUMBER(Checks!$R$73),TEXT(Checks!$R$73,"DD-MMM-YY HH:MM"),"")&amp;" "&amp;Checks!$P$73</f>
        <v>Required
03-Oct-26 16:05 CGK</v>
      </c>
      <c r="D27" s="112" t="str">
        <f aca="false">IF(Checks!$U$73="","",Checks!$U$73)&amp;IF(Checks!$AB$73="","",CHAR(10)&amp;"CA: "&amp;Checks!$AB$73)</f>
        <v/>
      </c>
      <c r="E27" s="112" t="str">
        <f aca="false">IF(Checks!$V$73="","",Checks!$V$73)&amp;IF(Checks!$AC$73="","",IF(Checks!$V$73="","",CHAR(10))&amp;"N/A just.: "&amp;Checks!$AC$73)&amp;IF(Checks!$W$73="","",CHAR(10)&amp;"Batch: "&amp;Checks!$W$73)&amp;IF(AND(Checks!$X$73="",Checks!$Y$73=""),"",CHAR(10)&amp;"Exp: "&amp;Checks!$X$73&amp;"  /  Act: "&amp;Checks!$Y$73)</f>
        <v/>
      </c>
      <c r="F27" s="112" t="str">
        <f aca="false">IF(Checks!$Z$73="","","Evidence: "&amp;Checks!$Z$73)&amp;IF(Checks!$AA$73="","",IF(Checks!$Z$73="","",CHAR(10))&amp;"CA: "&amp;Checks!$AA$73)</f>
        <v/>
      </c>
      <c r="G27" s="112" t="str">
        <f aca="false">IF(ISNUMBER(Checks!$AD$73),TEXT(Checks!$AD$73,"DD-MMM-YY HH:MM")&amp;" "&amp;Checks!$P$73,"")&amp;IF(Checks!$AE$73="","",CHAR(10)&amp;"Verifier: "&amp;Checks!$AE$73)&amp;IF(Checks!$T$73="","",CHAR(10)&amp;"PIC: "&amp;Checks!$T$73)</f>
        <v/>
      </c>
      <c r="H27" s="113" t="str">
        <f aca="false">IF(Checks!$AH$73="","",Checks!$AH$73)</f>
        <v>OPEN</v>
      </c>
    </row>
    <row r="28" customFormat="false" ht="114" hidden="false" customHeight="true" outlineLevel="0" collapsed="false">
      <c r="A28" s="112" t="str">
        <f aca="false">Checks!$A$74&amp;CHAR(10)&amp;IF(Checks!$I$74="","",Checks!$I$74&amp;": ")&amp;Checks!$J$74</f>
        <v>F03-T7-06
ISOP: Caterer acknowledgement of ISOP revisions recorded</v>
      </c>
      <c r="B28" s="112" t="str">
        <f aca="false">Checks!$K$74&amp;IF(Checks!$O$74="","",IF(Checks!$K$74="","",CHAR(10))&amp;"Note: "&amp;Checks!$O$74)</f>
        <v>Record acknowledgement ref in Evidence</v>
      </c>
      <c r="C28" s="112" t="str">
        <f aca="false">Checks!$N$74&amp;CHAR(10)&amp;IF(ISNUMBER(Checks!$R$74),TEXT(Checks!$R$74,"DD-MMM-YY HH:MM"),"")&amp;" "&amp;Checks!$P$74</f>
        <v>Required
03-Oct-26 16:05 CGK</v>
      </c>
      <c r="D28" s="112" t="str">
        <f aca="false">IF(Checks!$U$74="","",Checks!$U$74)&amp;IF(Checks!$AB$74="","",CHAR(10)&amp;"CA: "&amp;Checks!$AB$74)</f>
        <v/>
      </c>
      <c r="E28" s="112" t="str">
        <f aca="false">IF(Checks!$V$74="","",Checks!$V$74)&amp;IF(Checks!$AC$74="","",IF(Checks!$V$74="","",CHAR(10))&amp;"N/A just.: "&amp;Checks!$AC$74)&amp;IF(Checks!$W$74="","",CHAR(10)&amp;"Batch: "&amp;Checks!$W$74)&amp;IF(AND(Checks!$X$74="",Checks!$Y$74=""),"",CHAR(10)&amp;"Exp: "&amp;Checks!$X$74&amp;"  /  Act: "&amp;Checks!$Y$74)</f>
        <v/>
      </c>
      <c r="F28" s="112" t="str">
        <f aca="false">IF(Checks!$Z$74="","","Evidence: "&amp;Checks!$Z$74)&amp;IF(Checks!$AA$74="","",IF(Checks!$Z$74="","",CHAR(10))&amp;"CA: "&amp;Checks!$AA$74)</f>
        <v/>
      </c>
      <c r="G28" s="112" t="str">
        <f aca="false">IF(ISNUMBER(Checks!$AD$74),TEXT(Checks!$AD$74,"DD-MMM-YY HH:MM")&amp;" "&amp;Checks!$P$74,"")&amp;IF(Checks!$AE$74="","",CHAR(10)&amp;"Verifier: "&amp;Checks!$AE$74)&amp;IF(Checks!$T$74="","",CHAR(10)&amp;"PIC: "&amp;Checks!$T$74)</f>
        <v/>
      </c>
      <c r="H28" s="113" t="str">
        <f aca="false">IF(Checks!$AH$74="","",Checks!$AH$74)</f>
        <v>OPEN</v>
      </c>
    </row>
    <row r="29" customFormat="false" ht="114" hidden="false" customHeight="true" outlineLevel="0" collapsed="false">
      <c r="A29" s="112" t="str">
        <f aca="false">Checks!$A$75&amp;CHAR(10)&amp;IF(Checks!$I$75="","",Checks!$I$75&amp;": ")&amp;Checks!$J$75</f>
        <v>F03-T7-07
Documents: Galley loading diagram (GLD) received, revision recorded &amp; attached</v>
      </c>
      <c r="B29" s="112" t="str">
        <f aca="false">Checks!$K$75&amp;IF(Checks!$O$75="","",IF(Checks!$K$75="","",CHAR(10))&amp;"Note: "&amp;Checks!$O$75)</f>
        <v>Documents sheet row complete</v>
      </c>
      <c r="C29" s="112" t="str">
        <f aca="false">Checks!$N$75&amp;CHAR(10)&amp;IF(ISNUMBER(Checks!$R$75),TEXT(Checks!$R$75,"DD-MMM-YY HH:MM"),"")&amp;" "&amp;Checks!$P$75</f>
        <v>Required
03-Oct-26 16:05 CGK</v>
      </c>
      <c r="D29" s="112" t="str">
        <f aca="false">IF(Checks!$U$75="","",Checks!$U$75)&amp;IF(Checks!$AB$75="","",CHAR(10)&amp;"CA: "&amp;Checks!$AB$75)</f>
        <v/>
      </c>
      <c r="E29" s="112" t="str">
        <f aca="false">IF(Checks!$V$75="","",Checks!$V$75)&amp;IF(Checks!$AC$75="","",IF(Checks!$V$75="","",CHAR(10))&amp;"N/A just.: "&amp;Checks!$AC$75)&amp;IF(Checks!$W$75="","",CHAR(10)&amp;"Batch: "&amp;Checks!$W$75)&amp;IF(AND(Checks!$X$75="",Checks!$Y$75=""),"",CHAR(10)&amp;"Exp: "&amp;Checks!$X$75&amp;"  /  Act: "&amp;Checks!$Y$75)</f>
        <v/>
      </c>
      <c r="F29" s="112" t="str">
        <f aca="false">IF(Checks!$Z$75="","","Evidence: "&amp;Checks!$Z$75)&amp;IF(Checks!$AA$75="","",IF(Checks!$Z$75="","",CHAR(10))&amp;"CA: "&amp;Checks!$AA$75)</f>
        <v/>
      </c>
      <c r="G29" s="112" t="str">
        <f aca="false">IF(ISNUMBER(Checks!$AD$75),TEXT(Checks!$AD$75,"DD-MMM-YY HH:MM")&amp;" "&amp;Checks!$P$75,"")&amp;IF(Checks!$AE$75="","",CHAR(10)&amp;"Verifier: "&amp;Checks!$AE$75)&amp;IF(Checks!$T$75="","",CHAR(10)&amp;"PIC: "&amp;Checks!$T$75)</f>
        <v/>
      </c>
      <c r="H29" s="113" t="str">
        <f aca="false">IF(Checks!$AH$75="","",Checks!$AH$75)</f>
        <v>OPEN</v>
      </c>
    </row>
    <row r="30" customFormat="false" ht="114" hidden="false" customHeight="true" outlineLevel="0" collapsed="false">
      <c r="A30" s="112" t="str">
        <f aca="false">Checks!$A$76&amp;CHAR(10)&amp;IF(Checks!$I$76="","",Checks!$I$76&amp;": ")&amp;Checks!$J$76</f>
        <v>F03-T7-08
Documents: Menu checklist received, revision recorded &amp; attached</v>
      </c>
      <c r="B30" s="112" t="str">
        <f aca="false">Checks!$K$76&amp;IF(Checks!$O$76="","",IF(Checks!$K$76="","",CHAR(10))&amp;"Note: "&amp;Checks!$O$76)</f>
        <v>Documents sheet row complete</v>
      </c>
      <c r="C30" s="112" t="str">
        <f aca="false">Checks!$N$76&amp;CHAR(10)&amp;IF(ISNUMBER(Checks!$R$76),TEXT(Checks!$R$76,"DD-MMM-YY HH:MM"),"")&amp;" "&amp;Checks!$P$76</f>
        <v>Required
03-Oct-26 16:05 CGK</v>
      </c>
      <c r="D30" s="112" t="str">
        <f aca="false">IF(Checks!$U$76="","",Checks!$U$76)&amp;IF(Checks!$AB$76="","",CHAR(10)&amp;"CA: "&amp;Checks!$AB$76)</f>
        <v/>
      </c>
      <c r="E30" s="112" t="str">
        <f aca="false">IF(Checks!$V$76="","",Checks!$V$76)&amp;IF(Checks!$AC$76="","",IF(Checks!$V$76="","",CHAR(10))&amp;"N/A just.: "&amp;Checks!$AC$76)&amp;IF(Checks!$W$76="","",CHAR(10)&amp;"Batch: "&amp;Checks!$W$76)&amp;IF(AND(Checks!$X$76="",Checks!$Y$76=""),"",CHAR(10)&amp;"Exp: "&amp;Checks!$X$76&amp;"  /  Act: "&amp;Checks!$Y$76)</f>
        <v/>
      </c>
      <c r="F30" s="112" t="str">
        <f aca="false">IF(Checks!$Z$76="","","Evidence: "&amp;Checks!$Z$76)&amp;IF(Checks!$AA$76="","",IF(Checks!$Z$76="","",CHAR(10))&amp;"CA: "&amp;Checks!$AA$76)</f>
        <v/>
      </c>
      <c r="G30" s="112" t="str">
        <f aca="false">IF(ISNUMBER(Checks!$AD$76),TEXT(Checks!$AD$76,"DD-MMM-YY HH:MM")&amp;" "&amp;Checks!$P$76,"")&amp;IF(Checks!$AE$76="","",CHAR(10)&amp;"Verifier: "&amp;Checks!$AE$76)&amp;IF(Checks!$T$76="","",CHAR(10)&amp;"PIC: "&amp;Checks!$T$76)</f>
        <v/>
      </c>
      <c r="H30" s="113" t="str">
        <f aca="false">IF(Checks!$AH$76="","",Checks!$AH$76)</f>
        <v>OPEN</v>
      </c>
    </row>
    <row r="31" customFormat="false" ht="114" hidden="false" customHeight="true" outlineLevel="0" collapsed="false">
      <c r="A31" s="112" t="str">
        <f aca="false">Checks!$A$77&amp;CHAR(10)&amp;IF(Checks!$I$77="","",Checks!$I$77&amp;": ")&amp;Checks!$J$77</f>
        <v>F03-T7-09
Uplift plan: Uplift plan confirmed with caterer vs STD Uplift Information</v>
      </c>
      <c r="B31" s="112" t="str">
        <f aca="false">Checks!$K$77&amp;IF(Checks!$O$77="","",IF(Checks!$K$77="","",CHAR(10))&amp;"Note: "&amp;Checks!$O$77)</f>
        <v>Service: 1 Meal (Meal); meal uplift stn CGK (ref lists KUL/CGK)</v>
      </c>
      <c r="C31" s="112" t="str">
        <f aca="false">Checks!$N$77&amp;CHAR(10)&amp;IF(ISNUMBER(Checks!$R$77),TEXT(Checks!$R$77,"DD-MMM-YY HH:MM"),"")&amp;" "&amp;Checks!$P$77</f>
        <v>Required
03-Oct-26 16:05 CGK</v>
      </c>
      <c r="D31" s="112" t="str">
        <f aca="false">IF(Checks!$U$77="","",Checks!$U$77)&amp;IF(Checks!$AB$77="","",CHAR(10)&amp;"CA: "&amp;Checks!$AB$77)</f>
        <v/>
      </c>
      <c r="E31" s="112" t="str">
        <f aca="false">IF(Checks!$V$77="","",Checks!$V$77)&amp;IF(Checks!$AC$77="","",IF(Checks!$V$77="","",CHAR(10))&amp;"N/A just.: "&amp;Checks!$AC$77)&amp;IF(Checks!$W$77="","",CHAR(10)&amp;"Batch: "&amp;Checks!$W$77)&amp;IF(AND(Checks!$X$77="",Checks!$Y$77=""),"",CHAR(10)&amp;"Exp: "&amp;Checks!$X$77&amp;"  /  Act: "&amp;Checks!$Y$77)</f>
        <v/>
      </c>
      <c r="F31" s="112" t="str">
        <f aca="false">IF(Checks!$Z$77="","","Evidence: "&amp;Checks!$Z$77)&amp;IF(Checks!$AA$77="","",IF(Checks!$Z$77="","",CHAR(10))&amp;"CA: "&amp;Checks!$AA$77)</f>
        <v/>
      </c>
      <c r="G31" s="112" t="str">
        <f aca="false">IF(ISNUMBER(Checks!$AD$77),TEXT(Checks!$AD$77,"DD-MMM-YY HH:MM")&amp;" "&amp;Checks!$P$77,"")&amp;IF(Checks!$AE$77="","",CHAR(10)&amp;"Verifier: "&amp;Checks!$AE$77)&amp;IF(Checks!$T$77="","",CHAR(10)&amp;"PIC: "&amp;Checks!$T$77)</f>
        <v/>
      </c>
      <c r="H31" s="113" t="str">
        <f aca="false">IF(Checks!$AH$77="","",Checks!$AH$77)</f>
        <v>OPEN</v>
      </c>
    </row>
    <row r="32" customFormat="false" ht="25.5" hidden="false" customHeight="true" outlineLevel="0" collapsed="false">
      <c r="A32" s="111"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Checks!$A$78&amp;CHAR(10)&amp;IF(Checks!$I$78="","",Checks!$I$78&amp;": ")&amp;Checks!$J$78</f>
        <v>F03-T24-01
Meal: Sensory test repeated on ACTUAL production batch for this flight</v>
      </c>
      <c r="B33" s="112" t="str">
        <f aca="false">Checks!$K$78&amp;IF(Checks!$O$78="","",IF(Checks!$K$78="","",CHAR(10))&amp;"Note: "&amp;Checks!$O$78)</f>
        <v>Batch ID, result, CA and acceptance mandatory</v>
      </c>
      <c r="C33" s="112" t="str">
        <f aca="false">Checks!$N$78&amp;CHAR(10)&amp;IF(ISNUMBER(Checks!$R$78),TEXT(Checks!$R$78,"DD-MMM-YY HH:MM"),"")&amp;" "&amp;Checks!$P$78</f>
        <v>Required
09-Oct-26 16:05 CGK</v>
      </c>
      <c r="D33" s="112" t="str">
        <f aca="false">IF(Checks!$U$78="","",Checks!$U$78)&amp;IF(Checks!$AB$78="","",CHAR(10)&amp;"CA: "&amp;Checks!$AB$78)</f>
        <v/>
      </c>
      <c r="E33" s="112" t="str">
        <f aca="false">IF(Checks!$V$78="","",Checks!$V$78)&amp;IF(Checks!$AC$78="","",IF(Checks!$V$78="","",CHAR(10))&amp;"N/A just.: "&amp;Checks!$AC$78)&amp;IF(Checks!$W$78="","",CHAR(10)&amp;"Batch: "&amp;Checks!$W$78)&amp;IF(AND(Checks!$X$78="",Checks!$Y$78=""),"",CHAR(10)&amp;"Exp: "&amp;Checks!$X$78&amp;"  /  Act: "&amp;Checks!$Y$78)</f>
        <v/>
      </c>
      <c r="F33" s="112" t="str">
        <f aca="false">IF(Checks!$Z$78="","","Evidence: "&amp;Checks!$Z$78)&amp;IF(Checks!$AA$78="","",IF(Checks!$Z$78="","",CHAR(10))&amp;"CA: "&amp;Checks!$AA$78)</f>
        <v/>
      </c>
      <c r="G33" s="112" t="str">
        <f aca="false">IF(ISNUMBER(Checks!$AD$78),TEXT(Checks!$AD$78,"DD-MMM-YY HH:MM")&amp;" "&amp;Checks!$P$78,"")&amp;IF(Checks!$AE$78="","",CHAR(10)&amp;"Verifier: "&amp;Checks!$AE$78)&amp;IF(Checks!$T$78="","",CHAR(10)&amp;"PIC: "&amp;Checks!$T$78)</f>
        <v/>
      </c>
      <c r="H33" s="113" t="str">
        <f aca="false">IF(Checks!$AH$78="","",Checks!$AH$78)</f>
        <v>OPEN</v>
      </c>
    </row>
    <row r="34" customFormat="false" ht="25.5" hidden="false" customHeight="true" outlineLevel="0" collapsed="false">
      <c r="A34" s="111"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1"/>
      <c r="C34" s="111"/>
      <c r="D34" s="111"/>
      <c r="E34" s="111"/>
      <c r="F34" s="111"/>
      <c r="G34" s="111"/>
      <c r="H34" s="111"/>
    </row>
    <row r="35" customFormat="false" ht="114" hidden="false" customHeight="true" outlineLevel="0" collapsed="false">
      <c r="A35" s="112" t="str">
        <f aca="false">Checks!$A$79&amp;CHAR(10)&amp;IF(Checks!$I$79="","",Checks!$I$79&amp;": ")&amp;Checks!$J$79</f>
        <v>F03-T12-01
Meal: Meal quality vs menu checklist</v>
      </c>
      <c r="B35" s="112" t="str">
        <f aca="false">Checks!$K$79&amp;IF(Checks!$O$79="","",IF(Checks!$K$79="","",CHAR(10))&amp;"Note: "&amp;Checks!$O$79)</f>
        <v>Note: Preparation check at caterer - does NOT confirm loading.</v>
      </c>
      <c r="C35" s="112" t="str">
        <f aca="false">Checks!$N$79&amp;CHAR(10)&amp;IF(ISNUMBER(Checks!$R$79),TEXT(Checks!$R$79,"DD-MMM-YY HH:MM"),"")&amp;" "&amp;Checks!$P$79</f>
        <v>Required
10-Oct-26 04:05 CGK</v>
      </c>
      <c r="D35" s="112" t="str">
        <f aca="false">IF(Checks!$U$79="","",Checks!$U$79)&amp;IF(Checks!$AB$79="","",CHAR(10)&amp;"CA: "&amp;Checks!$AB$79)</f>
        <v/>
      </c>
      <c r="E35" s="112" t="str">
        <f aca="false">IF(Checks!$V$79="","",Checks!$V$79)&amp;IF(Checks!$AC$79="","",IF(Checks!$V$79="","",CHAR(10))&amp;"N/A just.: "&amp;Checks!$AC$79)&amp;IF(Checks!$W$79="","",CHAR(10)&amp;"Batch: "&amp;Checks!$W$79)&amp;IF(AND(Checks!$X$79="",Checks!$Y$79=""),"",CHAR(10)&amp;"Exp: "&amp;Checks!$X$79&amp;"  /  Act: "&amp;Checks!$Y$79)</f>
        <v/>
      </c>
      <c r="F35" s="112" t="str">
        <f aca="false">IF(Checks!$Z$79="","","Evidence: "&amp;Checks!$Z$79)&amp;IF(Checks!$AA$79="","",IF(Checks!$Z$79="","",CHAR(10))&amp;"CA: "&amp;Checks!$AA$79)</f>
        <v/>
      </c>
      <c r="G35" s="112" t="str">
        <f aca="false">IF(ISNUMBER(Checks!$AD$79),TEXT(Checks!$AD$79,"DD-MMM-YY HH:MM")&amp;" "&amp;Checks!$P$79,"")&amp;IF(Checks!$AE$79="","",CHAR(10)&amp;"Verifier: "&amp;Checks!$AE$79)&amp;IF(Checks!$T$79="","",CHAR(10)&amp;"PIC: "&amp;Checks!$T$79)</f>
        <v/>
      </c>
      <c r="H35" s="113" t="str">
        <f aca="false">IF(Checks!$AH$79="","",Checks!$AH$79)</f>
        <v>OPEN</v>
      </c>
    </row>
    <row r="36" customFormat="false" ht="114" hidden="false" customHeight="true" outlineLevel="0" collapsed="false">
      <c r="A36" s="112" t="str">
        <f aca="false">Checks!$A$80&amp;CHAR(10)&amp;IF(Checks!$I$80="","",Checks!$I$80&amp;": ")&amp;Checks!$J$80</f>
        <v>F03-T12-02
Meal: Meal quantities vs menu checklist</v>
      </c>
      <c r="B36" s="112" t="str">
        <f aca="false">Checks!$K$80&amp;IF(Checks!$O$80="","",IF(Checks!$K$80="","",CHAR(10))&amp;"Note: "&amp;Checks!$O$80)</f>
        <v>Enter expected &amp; actual
Note: Preparation check at caterer - does NOT confirm loading.</v>
      </c>
      <c r="C36" s="112" t="str">
        <f aca="false">Checks!$N$80&amp;CHAR(10)&amp;IF(ISNUMBER(Checks!$R$80),TEXT(Checks!$R$80,"DD-MMM-YY HH:MM"),"")&amp;" "&amp;Checks!$P$80</f>
        <v>Required
10-Oct-26 04:05 CGK</v>
      </c>
      <c r="D36" s="112" t="str">
        <f aca="false">IF(Checks!$U$80="","",Checks!$U$80)&amp;IF(Checks!$AB$80="","",CHAR(10)&amp;"CA: "&amp;Checks!$AB$80)</f>
        <v/>
      </c>
      <c r="E36" s="112" t="str">
        <f aca="false">IF(Checks!$V$80="","",Checks!$V$80)&amp;IF(Checks!$AC$80="","",IF(Checks!$V$80="","",CHAR(10))&amp;"N/A just.: "&amp;Checks!$AC$80)&amp;IF(Checks!$W$80="","",CHAR(10)&amp;"Batch: "&amp;Checks!$W$80)&amp;IF(AND(Checks!$X$80="",Checks!$Y$80=""),"",CHAR(10)&amp;"Exp: "&amp;Checks!$X$80&amp;"  /  Act: "&amp;Checks!$Y$80)</f>
        <v/>
      </c>
      <c r="F36" s="112" t="str">
        <f aca="false">IF(Checks!$Z$80="","","Evidence: "&amp;Checks!$Z$80)&amp;IF(Checks!$AA$80="","",IF(Checks!$Z$80="","",CHAR(10))&amp;"CA: "&amp;Checks!$AA$80)</f>
        <v/>
      </c>
      <c r="G36" s="112" t="str">
        <f aca="false">IF(ISNUMBER(Checks!$AD$80),TEXT(Checks!$AD$80,"DD-MMM-YY HH:MM")&amp;" "&amp;Checks!$P$80,"")&amp;IF(Checks!$AE$80="","",CHAR(10)&amp;"Verifier: "&amp;Checks!$AE$80)&amp;IF(Checks!$T$80="","",CHAR(10)&amp;"PIC: "&amp;Checks!$T$80)</f>
        <v/>
      </c>
      <c r="H36" s="113" t="str">
        <f aca="false">IF(Checks!$AH$80="","",Checks!$AH$80)</f>
        <v>OPEN</v>
      </c>
    </row>
    <row r="37" customFormat="false" ht="114" hidden="false" customHeight="true" outlineLevel="0" collapsed="false">
      <c r="A37" s="112" t="str">
        <f aca="false">Checks!$A$81&amp;CHAR(10)&amp;IF(Checks!$I$81="","",Checks!$I$81&amp;": ")&amp;Checks!$J$81</f>
        <v>F03-T12-03
Equipment: Equipment cleanliness vs GLD</v>
      </c>
      <c r="B37" s="112" t="str">
        <f aca="false">Checks!$K$81&amp;IF(Checks!$O$81="","",IF(Checks!$K$81="","",CHAR(10))&amp;"Note: "&amp;Checks!$O$81)</f>
        <v>Note: Preparation check at caterer - does NOT confirm loading.</v>
      </c>
      <c r="C37" s="112" t="str">
        <f aca="false">Checks!$N$81&amp;CHAR(10)&amp;IF(ISNUMBER(Checks!$R$81),TEXT(Checks!$R$81,"DD-MMM-YY HH:MM"),"")&amp;" "&amp;Checks!$P$81</f>
        <v>Required
10-Oct-26 04:05 CGK</v>
      </c>
      <c r="D37" s="112" t="str">
        <f aca="false">IF(Checks!$U$81="","",Checks!$U$81)&amp;IF(Checks!$AB$81="","",CHAR(10)&amp;"CA: "&amp;Checks!$AB$81)</f>
        <v/>
      </c>
      <c r="E37" s="112" t="str">
        <f aca="false">IF(Checks!$V$81="","",Checks!$V$81)&amp;IF(Checks!$AC$81="","",IF(Checks!$V$81="","",CHAR(10))&amp;"N/A just.: "&amp;Checks!$AC$81)&amp;IF(Checks!$W$81="","",CHAR(10)&amp;"Batch: "&amp;Checks!$W$81)&amp;IF(AND(Checks!$X$81="",Checks!$Y$81=""),"",CHAR(10)&amp;"Exp: "&amp;Checks!$X$81&amp;"  /  Act: "&amp;Checks!$Y$81)</f>
        <v/>
      </c>
      <c r="F37" s="112" t="str">
        <f aca="false">IF(Checks!$Z$81="","","Evidence: "&amp;Checks!$Z$81)&amp;IF(Checks!$AA$81="","",IF(Checks!$Z$81="","",CHAR(10))&amp;"CA: "&amp;Checks!$AA$81)</f>
        <v/>
      </c>
      <c r="G37" s="112" t="str">
        <f aca="false">IF(ISNUMBER(Checks!$AD$81),TEXT(Checks!$AD$81,"DD-MMM-YY HH:MM")&amp;" "&amp;Checks!$P$81,"")&amp;IF(Checks!$AE$81="","",CHAR(10)&amp;"Verifier: "&amp;Checks!$AE$81)&amp;IF(Checks!$T$81="","",CHAR(10)&amp;"PIC: "&amp;Checks!$T$81)</f>
        <v/>
      </c>
      <c r="H37" s="113" t="str">
        <f aca="false">IF(Checks!$AH$81="","",Checks!$AH$81)</f>
        <v>OPEN</v>
      </c>
    </row>
    <row r="38" customFormat="false" ht="114" hidden="false" customHeight="true" outlineLevel="0" collapsed="false">
      <c r="A38" s="112" t="str">
        <f aca="false">Checks!$A$82&amp;CHAR(10)&amp;IF(Checks!$I$82="","",Checks!$I$82&amp;": ")&amp;Checks!$J$82</f>
        <v>F03-T12-04
Equipment: Equipment presentation vs GLD</v>
      </c>
      <c r="B38" s="112" t="str">
        <f aca="false">Checks!$K$82&amp;IF(Checks!$O$82="","",IF(Checks!$K$82="","",CHAR(10))&amp;"Note: "&amp;Checks!$O$82)</f>
        <v>Note: Preparation check at caterer - does NOT confirm loading.</v>
      </c>
      <c r="C38" s="112" t="str">
        <f aca="false">Checks!$N$82&amp;CHAR(10)&amp;IF(ISNUMBER(Checks!$R$82),TEXT(Checks!$R$82,"DD-MMM-YY HH:MM"),"")&amp;" "&amp;Checks!$P$82</f>
        <v>Required
10-Oct-26 04:05 CGK</v>
      </c>
      <c r="D38" s="112" t="str">
        <f aca="false">IF(Checks!$U$82="","",Checks!$U$82)&amp;IF(Checks!$AB$82="","",CHAR(10)&amp;"CA: "&amp;Checks!$AB$82)</f>
        <v/>
      </c>
      <c r="E38" s="112" t="str">
        <f aca="false">IF(Checks!$V$82="","",Checks!$V$82)&amp;IF(Checks!$AC$82="","",IF(Checks!$V$82="","",CHAR(10))&amp;"N/A just.: "&amp;Checks!$AC$82)&amp;IF(Checks!$W$82="","",CHAR(10)&amp;"Batch: "&amp;Checks!$W$82)&amp;IF(AND(Checks!$X$82="",Checks!$Y$82=""),"",CHAR(10)&amp;"Exp: "&amp;Checks!$X$82&amp;"  /  Act: "&amp;Checks!$Y$82)</f>
        <v/>
      </c>
      <c r="F38" s="112" t="str">
        <f aca="false">IF(Checks!$Z$82="","","Evidence: "&amp;Checks!$Z$82)&amp;IF(Checks!$AA$82="","",IF(Checks!$Z$82="","",CHAR(10))&amp;"CA: "&amp;Checks!$AA$82)</f>
        <v/>
      </c>
      <c r="G38" s="112" t="str">
        <f aca="false">IF(ISNUMBER(Checks!$AD$82),TEXT(Checks!$AD$82,"DD-MMM-YY HH:MM")&amp;" "&amp;Checks!$P$82,"")&amp;IF(Checks!$AE$82="","",CHAR(10)&amp;"Verifier: "&amp;Checks!$AE$82)&amp;IF(Checks!$T$82="","",CHAR(10)&amp;"PIC: "&amp;Checks!$T$82)</f>
        <v/>
      </c>
      <c r="H38" s="113" t="str">
        <f aca="false">IF(Checks!$AH$82="","",Checks!$AH$82)</f>
        <v>OPEN</v>
      </c>
    </row>
    <row r="39" customFormat="false" ht="114" hidden="false" customHeight="true" outlineLevel="0" collapsed="false">
      <c r="A39" s="112" t="str">
        <f aca="false">Checks!$A$83&amp;CHAR(10)&amp;IF(Checks!$I$83="","",Checks!$I$83&amp;": ")&amp;Checks!$J$83</f>
        <v>F03-T12-05
Equipment: Equipment serviceability vs GLD</v>
      </c>
      <c r="B39" s="112" t="str">
        <f aca="false">Checks!$K$83&amp;IF(Checks!$O$83="","",IF(Checks!$K$83="","",CHAR(10))&amp;"Note: "&amp;Checks!$O$83)</f>
        <v>Note: Preparation check at caterer - does NOT confirm loading.</v>
      </c>
      <c r="C39" s="112" t="str">
        <f aca="false">Checks!$N$83&amp;CHAR(10)&amp;IF(ISNUMBER(Checks!$R$83),TEXT(Checks!$R$83,"DD-MMM-YY HH:MM"),"")&amp;" "&amp;Checks!$P$83</f>
        <v>Required
10-Oct-26 04:05 CGK</v>
      </c>
      <c r="D39" s="112" t="str">
        <f aca="false">IF(Checks!$U$83="","",Checks!$U$83)&amp;IF(Checks!$AB$83="","",CHAR(10)&amp;"CA: "&amp;Checks!$AB$83)</f>
        <v/>
      </c>
      <c r="E39" s="112" t="str">
        <f aca="false">IF(Checks!$V$83="","",Checks!$V$83)&amp;IF(Checks!$AC$83="","",IF(Checks!$V$83="","",CHAR(10))&amp;"N/A just.: "&amp;Checks!$AC$83)&amp;IF(Checks!$W$83="","",CHAR(10)&amp;"Batch: "&amp;Checks!$W$83)&amp;IF(AND(Checks!$X$83="",Checks!$Y$83=""),"",CHAR(10)&amp;"Exp: "&amp;Checks!$X$83&amp;"  /  Act: "&amp;Checks!$Y$83)</f>
        <v/>
      </c>
      <c r="F39" s="112" t="str">
        <f aca="false">IF(Checks!$Z$83="","","Evidence: "&amp;Checks!$Z$83)&amp;IF(Checks!$AA$83="","",IF(Checks!$Z$83="","",CHAR(10))&amp;"CA: "&amp;Checks!$AA$83)</f>
        <v/>
      </c>
      <c r="G39" s="112" t="str">
        <f aca="false">IF(ISNUMBER(Checks!$AD$83),TEXT(Checks!$AD$83,"DD-MMM-YY HH:MM")&amp;" "&amp;Checks!$P$83,"")&amp;IF(Checks!$AE$83="","",CHAR(10)&amp;"Verifier: "&amp;Checks!$AE$83)&amp;IF(Checks!$T$83="","",CHAR(10)&amp;"PIC: "&amp;Checks!$T$83)</f>
        <v/>
      </c>
      <c r="H39" s="113" t="str">
        <f aca="false">IF(Checks!$AH$83="","",Checks!$AH$83)</f>
        <v>OPEN</v>
      </c>
    </row>
    <row r="40" customFormat="false" ht="201.75" hidden="false" customHeight="true" outlineLevel="0" collapsed="false">
      <c r="A40" s="112" t="str">
        <f aca="false">Checks!$A$84&amp;CHAR(10)&amp;IF(Checks!$I$84="","",Checks!$I$84&amp;": ")&amp;Checks!$J$84</f>
        <v>F03-T12-06
Equipment: Equipment quantities vs GLD</v>
      </c>
      <c r="B40" s="112"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2" t="str">
        <f aca="false">Checks!$N$84&amp;CHAR(10)&amp;IF(ISNUMBER(Checks!$R$84),TEXT(Checks!$R$84,"DD-MMM-YY HH:MM"),"")&amp;" "&amp;Checks!$P$84</f>
        <v>Required
10-Oct-26 04:05 CGK</v>
      </c>
      <c r="D40" s="112" t="str">
        <f aca="false">IF(Checks!$U$84="","",Checks!$U$84)&amp;IF(Checks!$AB$84="","",CHAR(10)&amp;"CA: "&amp;Checks!$AB$84)</f>
        <v/>
      </c>
      <c r="E40" s="112" t="str">
        <f aca="false">IF(Checks!$V$84="","",Checks!$V$84)&amp;IF(Checks!$AC$84="","",IF(Checks!$V$84="","",CHAR(10))&amp;"N/A just.: "&amp;Checks!$AC$84)&amp;IF(Checks!$W$84="","",CHAR(10)&amp;"Batch: "&amp;Checks!$W$84)&amp;IF(AND(Checks!$X$84="",Checks!$Y$84=""),"",CHAR(10)&amp;"Exp: "&amp;Checks!$X$84&amp;"  /  Act: "&amp;Checks!$Y$84)</f>
        <v/>
      </c>
      <c r="F40" s="112" t="str">
        <f aca="false">IF(Checks!$Z$84="","","Evidence: "&amp;Checks!$Z$84)&amp;IF(Checks!$AA$84="","",IF(Checks!$Z$84="","",CHAR(10))&amp;"CA: "&amp;Checks!$AA$84)</f>
        <v/>
      </c>
      <c r="G40" s="112" t="str">
        <f aca="false">IF(ISNUMBER(Checks!$AD$84),TEXT(Checks!$AD$84,"DD-MMM-YY HH:MM")&amp;" "&amp;Checks!$P$84,"")&amp;IF(Checks!$AE$84="","",CHAR(10)&amp;"Verifier: "&amp;Checks!$AE$84)&amp;IF(Checks!$T$84="","",CHAR(10)&amp;"PIC: "&amp;Checks!$T$84)</f>
        <v/>
      </c>
      <c r="H40" s="113" t="str">
        <f aca="false">IF(Checks!$AH$84="","",Checks!$AH$84)</f>
        <v>OPEN</v>
      </c>
    </row>
    <row r="41" customFormat="false" ht="114" hidden="false" customHeight="true" outlineLevel="0" collapsed="false">
      <c r="A41" s="112" t="str">
        <f aca="false">Checks!$A$85&amp;CHAR(10)&amp;IF(Checks!$I$85="","",Checks!$I$85&amp;": ")&amp;Checks!$J$85</f>
        <v>F03-T12-07
Equipment: Loading positions planned vs GLD</v>
      </c>
      <c r="B41" s="112" t="str">
        <f aca="false">Checks!$K$85&amp;IF(Checks!$O$85="","",IF(Checks!$K$85="","",CHAR(10))&amp;"Note: "&amp;Checks!$O$85)</f>
        <v>Note: Preparation check at caterer - does NOT confirm loading.</v>
      </c>
      <c r="C41" s="112" t="str">
        <f aca="false">Checks!$N$85&amp;CHAR(10)&amp;IF(ISNUMBER(Checks!$R$85),TEXT(Checks!$R$85,"DD-MMM-YY HH:MM"),"")&amp;" "&amp;Checks!$P$85</f>
        <v>Required
10-Oct-26 04:05 CGK</v>
      </c>
      <c r="D41" s="112" t="str">
        <f aca="false">IF(Checks!$U$85="","",Checks!$U$85)&amp;IF(Checks!$AB$85="","",CHAR(10)&amp;"CA: "&amp;Checks!$AB$85)</f>
        <v/>
      </c>
      <c r="E41" s="112" t="str">
        <f aca="false">IF(Checks!$V$85="","",Checks!$V$85)&amp;IF(Checks!$AC$85="","",IF(Checks!$V$85="","",CHAR(10))&amp;"N/A just.: "&amp;Checks!$AC$85)&amp;IF(Checks!$W$85="","",CHAR(10)&amp;"Batch: "&amp;Checks!$W$85)&amp;IF(AND(Checks!$X$85="",Checks!$Y$85=""),"",CHAR(10)&amp;"Exp: "&amp;Checks!$X$85&amp;"  /  Act: "&amp;Checks!$Y$85)</f>
        <v/>
      </c>
      <c r="F41" s="112" t="str">
        <f aca="false">IF(Checks!$Z$85="","","Evidence: "&amp;Checks!$Z$85)&amp;IF(Checks!$AA$85="","",IF(Checks!$Z$85="","",CHAR(10))&amp;"CA: "&amp;Checks!$AA$85)</f>
        <v/>
      </c>
      <c r="G41" s="112" t="str">
        <f aca="false">IF(ISNUMBER(Checks!$AD$85),TEXT(Checks!$AD$85,"DD-MMM-YY HH:MM")&amp;" "&amp;Checks!$P$85,"")&amp;IF(Checks!$AE$85="","",CHAR(10)&amp;"Verifier: "&amp;Checks!$AE$85)&amp;IF(Checks!$T$85="","",CHAR(10)&amp;"PIC: "&amp;Checks!$T$85)</f>
        <v/>
      </c>
      <c r="H41" s="113" t="str">
        <f aca="false">IF(Checks!$AH$85="","",Checks!$AH$85)</f>
        <v>OPEN</v>
      </c>
    </row>
    <row r="42" customFormat="false" ht="114" hidden="false" customHeight="true" outlineLevel="0" collapsed="false">
      <c r="A42" s="112" t="str">
        <f aca="false">Checks!$A$86&amp;CHAR(10)&amp;IF(Checks!$I$86="","",Checks!$I$86&amp;": ")&amp;Checks!$J$86</f>
        <v>F03-T12-08
Seat Linen: Seat pillow (EY) - prepared</v>
      </c>
      <c r="B42" s="112" t="str">
        <f aca="false">Checks!$K$86&amp;IF(Checks!$O$86="","",IF(Checks!$K$86="","",CHAR(10))&amp;"Note: "&amp;Checks!$O$86)</f>
        <v>Available 100% (ticked in reference)
Note: Reference gives no uplift stn for this item: preparation checked at the meal uplift stn (CGK) - confirm with caterer.</v>
      </c>
      <c r="C42" s="112" t="str">
        <f aca="false">Checks!$N$86&amp;CHAR(10)&amp;IF(ISNUMBER(Checks!$R$86),TEXT(Checks!$R$86,"DD-MMM-YY HH:MM"),"")&amp;" "&amp;Checks!$P$86</f>
        <v>Required
10-Oct-26 04:05 CGK</v>
      </c>
      <c r="D42" s="112" t="str">
        <f aca="false">IF(Checks!$U$86="","",Checks!$U$86)&amp;IF(Checks!$AB$86="","",CHAR(10)&amp;"CA: "&amp;Checks!$AB$86)</f>
        <v/>
      </c>
      <c r="E42" s="112" t="str">
        <f aca="false">IF(Checks!$V$86="","",Checks!$V$86)&amp;IF(Checks!$AC$86="","",IF(Checks!$V$86="","",CHAR(10))&amp;"N/A just.: "&amp;Checks!$AC$86)&amp;IF(Checks!$W$86="","",CHAR(10)&amp;"Batch: "&amp;Checks!$W$86)&amp;IF(AND(Checks!$X$86="",Checks!$Y$86=""),"",CHAR(10)&amp;"Exp: "&amp;Checks!$X$86&amp;"  /  Act: "&amp;Checks!$Y$86)</f>
        <v/>
      </c>
      <c r="F42" s="112" t="str">
        <f aca="false">IF(Checks!$Z$86="","","Evidence: "&amp;Checks!$Z$86)&amp;IF(Checks!$AA$86="","",IF(Checks!$Z$86="","",CHAR(10))&amp;"CA: "&amp;Checks!$AA$86)</f>
        <v/>
      </c>
      <c r="G42" s="112" t="str">
        <f aca="false">IF(ISNUMBER(Checks!$AD$86),TEXT(Checks!$AD$86,"DD-MMM-YY HH:MM")&amp;" "&amp;Checks!$P$86,"")&amp;IF(Checks!$AE$86="","",CHAR(10)&amp;"Verifier: "&amp;Checks!$AE$86)&amp;IF(Checks!$T$86="","",CHAR(10)&amp;"PIC: "&amp;Checks!$T$86)</f>
        <v/>
      </c>
      <c r="H42" s="113" t="str">
        <f aca="false">IF(Checks!$AH$86="","",Checks!$AH$86)</f>
        <v>OPEN</v>
      </c>
    </row>
    <row r="43" customFormat="false" ht="25.5" hidden="false" customHeight="true" outlineLevel="0" collapsed="false">
      <c r="A43" s="111"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1"/>
      <c r="C43" s="111"/>
      <c r="D43" s="111"/>
      <c r="E43" s="111"/>
      <c r="F43" s="111"/>
      <c r="G43" s="111"/>
      <c r="H43" s="111"/>
    </row>
    <row r="44" customFormat="false" ht="114" hidden="false" customHeight="true" outlineLevel="0" collapsed="false">
      <c r="A44" s="112" t="str">
        <f aca="false">Checks!$A$87&amp;CHAR(10)&amp;IF(Checks!$I$87="","",Checks!$I$87&amp;": ")&amp;Checks!$J$87</f>
        <v>F03-UPL-01
Meal: Meals physically uplifted on board - quantity vs menu checklist</v>
      </c>
      <c r="B44" s="112" t="str">
        <f aca="false">Checks!$K$87&amp;IF(Checks!$O$87="","",IF(Checks!$K$87="","",CHAR(10))&amp;"Note: "&amp;Checks!$O$87)</f>
        <v>Enter expected &amp; actual
Note: Confirm on board before departure; completion time must fall inside the uplift window.</v>
      </c>
      <c r="C44" s="112" t="str">
        <f aca="false">Checks!$N$87&amp;CHAR(10)&amp;IF(ISNUMBER(Checks!$R$87),TEXT(Checks!$R$87,"DD-MMM-YY HH:MM"),"")&amp;" "&amp;Checks!$P$87</f>
        <v>Required
10-Oct-26 16:05 CGK</v>
      </c>
      <c r="D44" s="112" t="str">
        <f aca="false">IF(Checks!$U$87="","",Checks!$U$87)&amp;IF(Checks!$AB$87="","",CHAR(10)&amp;"CA: "&amp;Checks!$AB$87)</f>
        <v/>
      </c>
      <c r="E44" s="112" t="str">
        <f aca="false">IF(Checks!$V$87="","",Checks!$V$87)&amp;IF(Checks!$AC$87="","",IF(Checks!$V$87="","",CHAR(10))&amp;"N/A just.: "&amp;Checks!$AC$87)&amp;IF(Checks!$W$87="","",CHAR(10)&amp;"Batch: "&amp;Checks!$W$87)&amp;IF(AND(Checks!$X$87="",Checks!$Y$87=""),"",CHAR(10)&amp;"Exp: "&amp;Checks!$X$87&amp;"  /  Act: "&amp;Checks!$Y$87)</f>
        <v/>
      </c>
      <c r="F44" s="112" t="str">
        <f aca="false">IF(Checks!$Z$87="","","Evidence: "&amp;Checks!$Z$87)&amp;IF(Checks!$AA$87="","",IF(Checks!$Z$87="","",CHAR(10))&amp;"CA: "&amp;Checks!$AA$87)</f>
        <v/>
      </c>
      <c r="G44" s="112" t="str">
        <f aca="false">IF(ISNUMBER(Checks!$AD$87),TEXT(Checks!$AD$87,"DD-MMM-YY HH:MM")&amp;" "&amp;Checks!$P$87,"")&amp;IF(Checks!$AE$87="","",CHAR(10)&amp;"Verifier: "&amp;Checks!$AE$87)&amp;IF(Checks!$T$87="","",CHAR(10)&amp;"PIC: "&amp;Checks!$T$87)</f>
        <v/>
      </c>
      <c r="H44" s="113" t="str">
        <f aca="false">IF(Checks!$AH$87="","",Checks!$AH$87)</f>
        <v>OPEN</v>
      </c>
    </row>
    <row r="45" customFormat="false" ht="114" hidden="false" customHeight="true" outlineLevel="0" collapsed="false">
      <c r="A45" s="112" t="str">
        <f aca="false">Checks!$A$88&amp;CHAR(10)&amp;IF(Checks!$I$88="","",Checks!$I$88&amp;": ")&amp;Checks!$J$88</f>
        <v>F03-UPL-02
Equipment: Equipment physically loaded at GLD positions - quantity &amp; positions</v>
      </c>
      <c r="B45" s="112" t="str">
        <f aca="false">Checks!$K$88&amp;IF(Checks!$O$88="","",IF(Checks!$K$88="","",CHAR(10))&amp;"Note: "&amp;Checks!$O$88)</f>
        <v>Enter expected &amp; actual
Note: Confirm on board before departure; completion time must fall inside the uplift window.</v>
      </c>
      <c r="C45" s="112" t="str">
        <f aca="false">Checks!$N$88&amp;CHAR(10)&amp;IF(ISNUMBER(Checks!$R$88),TEXT(Checks!$R$88,"DD-MMM-YY HH:MM"),"")&amp;" "&amp;Checks!$P$88</f>
        <v>Required
10-Oct-26 16:05 CGK</v>
      </c>
      <c r="D45" s="112" t="str">
        <f aca="false">IF(Checks!$U$88="","",Checks!$U$88)&amp;IF(Checks!$AB$88="","",CHAR(10)&amp;"CA: "&amp;Checks!$AB$88)</f>
        <v/>
      </c>
      <c r="E45" s="112" t="str">
        <f aca="false">IF(Checks!$V$88="","",Checks!$V$88)&amp;IF(Checks!$AC$88="","",IF(Checks!$V$88="","",CHAR(10))&amp;"N/A just.: "&amp;Checks!$AC$88)&amp;IF(Checks!$W$88="","",CHAR(10)&amp;"Batch: "&amp;Checks!$W$88)&amp;IF(AND(Checks!$X$88="",Checks!$Y$88=""),"",CHAR(10)&amp;"Exp: "&amp;Checks!$X$88&amp;"  /  Act: "&amp;Checks!$Y$88)</f>
        <v/>
      </c>
      <c r="F45" s="112" t="str">
        <f aca="false">IF(Checks!$Z$88="","","Evidence: "&amp;Checks!$Z$88)&amp;IF(Checks!$AA$88="","",IF(Checks!$Z$88="","",CHAR(10))&amp;"CA: "&amp;Checks!$AA$88)</f>
        <v/>
      </c>
      <c r="G45" s="112" t="str">
        <f aca="false">IF(ISNUMBER(Checks!$AD$88),TEXT(Checks!$AD$88,"DD-MMM-YY HH:MM")&amp;" "&amp;Checks!$P$88,"")&amp;IF(Checks!$AE$88="","",CHAR(10)&amp;"Verifier: "&amp;Checks!$AE$88)&amp;IF(Checks!$T$88="","",CHAR(10)&amp;"PIC: "&amp;Checks!$T$88)</f>
        <v/>
      </c>
      <c r="H45" s="113" t="str">
        <f aca="false">IF(Checks!$AH$88="","",Checks!$AH$88)</f>
        <v>OPEN</v>
      </c>
    </row>
    <row r="46" customFormat="false" ht="114" hidden="false" customHeight="true" outlineLevel="0" collapsed="false">
      <c r="A46" s="112" t="str">
        <f aca="false">Checks!$A$89&amp;CHAR(10)&amp;IF(Checks!$I$89="","",Checks!$I$89&amp;": ")&amp;Checks!$J$89</f>
        <v>F03-UPL-03
Seat Linen: Seat pillow (EY) - on board</v>
      </c>
      <c r="B46" s="112" t="str">
        <f aca="false">Checks!$K$89&amp;IF(Checks!$O$89="","",IF(Checks!$K$89="","",CHAR(10))&amp;"Note: "&amp;Checks!$O$89)</f>
        <v>Available 100% (ticked in reference)</v>
      </c>
      <c r="C46" s="112" t="str">
        <f aca="false">Checks!$N$89&amp;CHAR(10)&amp;IF(ISNUMBER(Checks!$R$89),TEXT(Checks!$R$89,"DD-MMM-YY HH:MM"),"")&amp;" "&amp;Checks!$P$89</f>
        <v>Required
10-Oct-26 16:05 CGK</v>
      </c>
      <c r="D46" s="112" t="str">
        <f aca="false">IF(Checks!$U$89="","",Checks!$U$89)&amp;IF(Checks!$AB$89="","",CHAR(10)&amp;"CA: "&amp;Checks!$AB$89)</f>
        <v/>
      </c>
      <c r="E46" s="112" t="str">
        <f aca="false">IF(Checks!$V$89="","",Checks!$V$89)&amp;IF(Checks!$AC$89="","",IF(Checks!$V$89="","",CHAR(10))&amp;"N/A just.: "&amp;Checks!$AC$89)&amp;IF(Checks!$W$89="","",CHAR(10)&amp;"Batch: "&amp;Checks!$W$89)&amp;IF(AND(Checks!$X$89="",Checks!$Y$89=""),"",CHAR(10)&amp;"Exp: "&amp;Checks!$X$89&amp;"  /  Act: "&amp;Checks!$Y$89)</f>
        <v/>
      </c>
      <c r="F46" s="112" t="str">
        <f aca="false">IF(Checks!$Z$89="","","Evidence: "&amp;Checks!$Z$89)&amp;IF(Checks!$AA$89="","",IF(Checks!$Z$89="","",CHAR(10))&amp;"CA: "&amp;Checks!$AA$89)</f>
        <v/>
      </c>
      <c r="G46" s="112" t="str">
        <f aca="false">IF(ISNUMBER(Checks!$AD$89),TEXT(Checks!$AD$89,"DD-MMM-YY HH:MM")&amp;" "&amp;Checks!$P$89,"")&amp;IF(Checks!$AE$89="","",CHAR(10)&amp;"Verifier: "&amp;Checks!$AE$89)&amp;IF(Checks!$T$89="","",CHAR(10)&amp;"PIC: "&amp;Checks!$T$89)</f>
        <v/>
      </c>
      <c r="H46" s="113" t="str">
        <f aca="false">IF(Checks!$AH$89="","",Checks!$AH$89)</f>
        <v>OPEN</v>
      </c>
    </row>
    <row r="48" customFormat="false" ht="24" hidden="false" customHeight="true" outlineLevel="0" collapsed="false">
      <c r="A48" s="114" t="s">
        <v>1647</v>
      </c>
      <c r="B48" s="114"/>
      <c r="C48" s="114"/>
      <c r="D48" s="114"/>
      <c r="E48" s="114" t="s">
        <v>1648</v>
      </c>
      <c r="F48" s="114"/>
      <c r="G48" s="114"/>
      <c r="H48" s="114"/>
    </row>
    <row r="49" customFormat="false" ht="21.75" hidden="false" customHeight="true" outlineLevel="0" collapsed="false">
      <c r="A49" s="115"/>
      <c r="B49" s="115"/>
      <c r="C49" s="115"/>
      <c r="D49" s="115"/>
      <c r="E49" s="115"/>
      <c r="F49" s="115"/>
      <c r="G49" s="115"/>
      <c r="H49" s="115"/>
    </row>
    <row r="50" customFormat="false" ht="21.75" hidden="false" customHeight="true" outlineLevel="0" collapsed="false">
      <c r="A50" s="115"/>
      <c r="B50" s="115"/>
      <c r="C50" s="115"/>
      <c r="D50" s="115"/>
      <c r="E50" s="115"/>
      <c r="F50" s="115"/>
      <c r="G50" s="115"/>
      <c r="H50" s="115"/>
    </row>
    <row r="51" customFormat="false" ht="21.75" hidden="false" customHeight="true" outlineLevel="0" collapsed="false">
      <c r="A51" s="115"/>
      <c r="B51" s="115"/>
      <c r="C51" s="115"/>
      <c r="D51" s="115"/>
      <c r="E51" s="115"/>
      <c r="F51" s="115"/>
      <c r="G51" s="115"/>
      <c r="H51" s="115"/>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F04  "&amp;Flights!$F$8&amp;"  "&amp;TEXT(Flights!$D$8,"DD-MMM-YY")&amp;" ("&amp;Flights!$E$8&amp;")  "&amp;Flights!$G$8&amp;" → "&amp;Flights!$H$8&amp;"  |  Class "&amp;Flights!$K$8</f>
        <v>SKYTRAX 2026 CATERING READINESS CHECKLIST  |  F04  MH0088  10-Oct-26 (SAT)  KUL → NRT  |  Class BC</v>
      </c>
      <c r="B1" s="90"/>
      <c r="C1" s="90"/>
      <c r="D1" s="90"/>
      <c r="E1" s="90"/>
      <c r="F1" s="90"/>
      <c r="G1" s="90"/>
      <c r="H1" s="90"/>
    </row>
    <row r="2" customFormat="false" ht="12.75" hidden="false" customHeight="true" outlineLevel="0" collapsed="false">
      <c r="A2" s="91" t="s">
        <v>1602</v>
      </c>
      <c r="B2" s="92" t="str">
        <f aca="false">Flights!$F$8&amp;"   "&amp;TEXT(Flights!$D$8,"DD-MMM-YY")&amp;" ("&amp;Flights!$E$8&amp;")"</f>
        <v>MH0088   10-Oct-26 (SAT)</v>
      </c>
      <c r="C2" s="92"/>
      <c r="D2" s="92"/>
      <c r="E2" s="93" t="s">
        <v>1603</v>
      </c>
      <c r="F2" s="94" t="str">
        <f aca="false">Flights!$AT$8</f>
        <v>NOT READY – DOCUMENTS</v>
      </c>
      <c r="G2" s="94"/>
      <c r="H2" s="94"/>
    </row>
    <row r="3" customFormat="false" ht="24" hidden="false" customHeight="true" outlineLevel="0" collapsed="false">
      <c r="A3" s="91" t="s">
        <v>1604</v>
      </c>
      <c r="B3" s="92" t="str">
        <f aca="false">Flights!$G$8&amp;" → "&amp;Flights!$H$8&amp;"   Class "&amp;Flights!$K$8&amp;"   Seat "&amp;Flights!$O$8</f>
        <v>KUL → NRT   Class BC   Seat 1A</v>
      </c>
      <c r="C3" s="92"/>
      <c r="D3" s="92"/>
      <c r="E3" s="93" t="s">
        <v>66</v>
      </c>
      <c r="F3" s="93" t="s">
        <v>1605</v>
      </c>
      <c r="G3" s="93" t="s">
        <v>1606</v>
      </c>
      <c r="H3" s="93"/>
    </row>
    <row r="4" customFormat="false" ht="24" hidden="false" customHeight="true" outlineLevel="0" collapsed="false">
      <c r="A4" s="91" t="s">
        <v>1607</v>
      </c>
      <c r="B4" s="92" t="str">
        <f aca="false">IF(ISNUMBER(Flights!$I$8),TEXT(Flights!$I$8,"DD-MMM-YY HH:MM"),"")&amp;" "&amp;Flights!$G$8&amp;"  →  "&amp;IF(ISNUMBER(Flights!$J$8),TEXT(Flights!$J$8,"DD-MMM-YY HH:MM"),"")&amp;" "&amp;Flights!$H$8</f>
        <v>10-Oct-26 23:30 KUL  →  11-Oct-26 07:40 NRT</v>
      </c>
      <c r="C4" s="92"/>
      <c r="D4" s="92"/>
      <c r="E4" s="91" t="s">
        <v>1608</v>
      </c>
      <c r="F4" s="95" t="str">
        <f aca="false">IF(ISNUMBER(Flights!$AG$8),TEXT(Flights!$AG$8,"DD-MMM-YY HH:MM"),"")&amp;" "&amp;Flights!$V$8</f>
        <v>03-Oct-26 23:30 KUL</v>
      </c>
      <c r="G4" s="96" t="n">
        <f aca="false">Flights!$AJ$8</f>
        <v>0</v>
      </c>
      <c r="H4" s="96"/>
    </row>
    <row r="5" customFormat="false" ht="24" hidden="false" customHeight="true" outlineLevel="0" collapsed="false">
      <c r="A5" s="91" t="s">
        <v>1609</v>
      </c>
      <c r="B5" s="92" t="str">
        <f aca="false">Flights!$L$8&amp;" – "&amp;Flights!$M$8</f>
        <v>A350 – A350-900: A359 (9M-MAB..MAG, row 6) or A350 9M-MAH (row 7) - tail to confirm</v>
      </c>
      <c r="C5" s="92"/>
      <c r="D5" s="92"/>
      <c r="E5" s="91" t="s">
        <v>1610</v>
      </c>
      <c r="F5" s="95" t="str">
        <f aca="false">IF(ISNUMBER(Flights!$AH$8),TEXT(Flights!$AH$8,"DD-MMM-YY HH:MM"),"")&amp;" "&amp;Flights!$V$8</f>
        <v>09-Oct-26 23:30 KUL</v>
      </c>
      <c r="G5" s="96" t="n">
        <f aca="false">Flights!$AK$8</f>
        <v>0</v>
      </c>
      <c r="H5" s="96"/>
    </row>
    <row r="6" customFormat="false" ht="24" hidden="false" customHeight="true" outlineLevel="0" collapsed="false">
      <c r="A6" s="91" t="s">
        <v>1611</v>
      </c>
      <c r="B6" s="92" t="str">
        <f aca="false">IF(TRIM(Flights!$N$8)="","__________________",Flights!$N$8)</f>
        <v>__________________</v>
      </c>
      <c r="C6" s="92"/>
      <c r="D6" s="92"/>
      <c r="E6" s="91" t="s">
        <v>1612</v>
      </c>
      <c r="F6" s="95" t="str">
        <f aca="false">IF(ISNUMBER(Flights!$AI$8),TEXT(Flights!$AI$8,"DD-MMM-YY HH:MM"),"")&amp;" "&amp;Flights!$V$8&amp;IF(Flights!$AI$8=Flights!$AH$8,"  (= T-24H due)","")</f>
        <v>10-Oct-26 11:30 KUL</v>
      </c>
      <c r="G6" s="96" t="n">
        <f aca="false">Flights!$AL$8</f>
        <v>0</v>
      </c>
      <c r="H6" s="96"/>
    </row>
    <row r="7" customFormat="false" ht="24" hidden="false" customHeight="true" outlineLevel="0" collapsed="false">
      <c r="A7" s="91" t="s">
        <v>1613</v>
      </c>
      <c r="B7" s="92" t="str">
        <f aca="false">Flights!$T$8</f>
        <v>1.5 Meal (Meal)</v>
      </c>
      <c r="C7" s="92"/>
      <c r="D7" s="92"/>
      <c r="E7" s="91" t="s">
        <v>1614</v>
      </c>
      <c r="F7" s="95" t="str">
        <f aca="false">"STD "&amp;IF(ISNUMBER(Flights!$I$8),TEXT(Flights!$I$8,"DD-MMM-YY HH:MM"),"")&amp;" "&amp;Flights!$G$8&amp;" (dep stn)"</f>
        <v>STD 10-Oct-26 23:30 KUL (dep stn)</v>
      </c>
      <c r="G7" s="96" t="n">
        <f aca="false">Flights!$AM$8</f>
        <v>0</v>
      </c>
      <c r="H7" s="96"/>
    </row>
    <row r="8" customFormat="false" ht="12.75" hidden="false" customHeight="true" outlineLevel="0" collapsed="false">
      <c r="A8" s="91" t="s">
        <v>148</v>
      </c>
      <c r="B8" s="92" t="str">
        <f aca="false">Flights!$V$8&amp;"   (reference uplift stns: "&amp;Flights!$U$8&amp;")"</f>
        <v>KUL   (reference uplift stns: KUL/NRT)</v>
      </c>
      <c r="C8" s="92"/>
      <c r="D8" s="92"/>
      <c r="E8" s="91" t="s">
        <v>1615</v>
      </c>
      <c r="F8" s="97" t="s">
        <v>1616</v>
      </c>
      <c r="G8" s="96" t="n">
        <f aca="false">Flights!$AN$8</f>
        <v>0</v>
      </c>
      <c r="H8" s="96"/>
    </row>
    <row r="9" customFormat="false" ht="12.75" hidden="false" customHeight="true" outlineLevel="0" collapsed="false">
      <c r="A9" s="91" t="s">
        <v>1617</v>
      </c>
      <c r="B9" s="92" t="str">
        <f aca="false">TRIM(Flights!$P$8&amp;"  "&amp;Flights!$Q$8)</f>
        <v>4H 05M Overnight NRT</v>
      </c>
      <c r="C9" s="92"/>
      <c r="D9" s="92"/>
      <c r="E9" s="91" t="s">
        <v>1618</v>
      </c>
      <c r="F9" s="98" t="n">
        <f aca="false">Flights!$AP$8</f>
        <v>0</v>
      </c>
      <c r="G9" s="98" t="n">
        <f aca="false">Flights!$AQ$8</f>
        <v>0</v>
      </c>
      <c r="H9" s="98" t="n">
        <f aca="false">Flights!$AU$8</f>
        <v>0</v>
      </c>
    </row>
    <row r="10" customFormat="false" ht="24" hidden="false" customHeight="true" outlineLevel="0" collapsed="false">
      <c r="A10" s="91" t="s">
        <v>1619</v>
      </c>
      <c r="B10" s="92" t="str">
        <f aca="false">IF(TRIM(Flights!$X$8)="","__________________",Flights!$X$8)</f>
        <v>__________________</v>
      </c>
      <c r="C10" s="92"/>
      <c r="D10" s="92"/>
      <c r="E10" s="91" t="s">
        <v>1620</v>
      </c>
      <c r="F10" s="98" t="n">
        <f aca="false">Flights!$AO$8</f>
        <v>46</v>
      </c>
      <c r="G10" s="98" t="n">
        <f aca="false">Flights!$AS$8</f>
        <v>0</v>
      </c>
      <c r="H10" s="98" t="n">
        <f aca="false">Flights!$AR$8</f>
        <v>2</v>
      </c>
    </row>
    <row r="11" customFormat="false" ht="21" hidden="false" customHeight="true" outlineLevel="0" collapsed="false">
      <c r="A11" s="91" t="s">
        <v>1621</v>
      </c>
      <c r="B11" s="92" t="str">
        <f aca="false">IF(TRIM(Flights!$Y$8)="","__________________",Flights!$Y$8)</f>
        <v>__________________</v>
      </c>
      <c r="C11" s="92"/>
      <c r="D11" s="92"/>
      <c r="E11" s="91" t="s">
        <v>1622</v>
      </c>
      <c r="F11" s="98" t="str">
        <f aca="false">Flights!$AV$8&amp;" / "&amp;Flights!$AW$8</f>
        <v>0 / 46</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IF(Documents!$F$8="","",Documents!$F$8)</f>
        <v/>
      </c>
      <c r="C14" s="97" t="str">
        <f aca="false">IF(Documents!$G$8="","",Documents!$G$8)&amp;IF(ISNUMBER(Documents!$H$8),"  "&amp;TEXT(Documents!$H$8,"DD-MMM-YY"),"")</f>
        <v/>
      </c>
      <c r="D14" s="97"/>
      <c r="E14" s="105" t="str">
        <f aca="false">IF(Documents!$J$8="OUTSTANDING","OUTSTANDING – attach before T-7D (due "&amp;IF(ISNUMBER(Flights!$AG$8),TEXT(Flights!$AG$8,"DD-MMM-YY HH:MM"),"")&amp;" "&amp;Flights!$V$8&amp;")",IF(Documents!$J$8="","Status not recorded",Documents!$J$8))</f>
        <v>OUTSTANDING – attach before T-7D (due 03-Oct-26 23:30 KUL)</v>
      </c>
      <c r="F14" s="106" t="str">
        <f aca="false">"Staple behind this sheet as page A1."&amp;IF(Documents!$I$8="",""," Location: "&amp;Documents!$I$8)</f>
        <v>Staple behind this sheet as page A1.</v>
      </c>
      <c r="G14" s="106"/>
      <c r="H14" s="106"/>
    </row>
    <row r="15" customFormat="false" ht="36" hidden="false" customHeight="true" outlineLevel="0" collapsed="false">
      <c r="A15" s="91" t="s">
        <v>1633</v>
      </c>
      <c r="B15" s="92" t="str">
        <f aca="false">IF(Documents!$K$8="","",Documents!$K$8)</f>
        <v/>
      </c>
      <c r="C15" s="97" t="str">
        <f aca="false">IF(Documents!$L$8="","",Documents!$L$8)&amp;IF(ISNUMBER(Documents!$M$8),"  "&amp;TEXT(Documents!$M$8,"DD-MMM-YY"),"")</f>
        <v/>
      </c>
      <c r="D15" s="97"/>
      <c r="E15" s="105" t="str">
        <f aca="false">IF(Documents!$O$8="OUTSTANDING","OUTSTANDING – attach before T-7D (due "&amp;IF(ISNUMBER(Flights!$AG$8),TEXT(Flights!$AG$8,"DD-MMM-YY HH:MM"),"")&amp;" "&amp;Flights!$V$8&amp;")",IF(Documents!$O$8="","Status not recorded",Documents!$O$8))</f>
        <v>OUTSTANDING – attach before T-7D (due 03-Oct-26 23:30 KUL)</v>
      </c>
      <c r="F15" s="106" t="str">
        <f aca="false">"Staple behind this sheet as page A2."&amp;IF(Documents!$N$8="",""," Location: "&amp;Documents!$N$8)</f>
        <v>Staple behind this sheet as page A2.</v>
      </c>
      <c r="G15" s="106"/>
      <c r="H15" s="106"/>
    </row>
    <row r="16" customFormat="false" ht="22.5" hidden="false" customHeight="true" outlineLevel="0" collapsed="false">
      <c r="A16" s="91" t="s">
        <v>1634</v>
      </c>
      <c r="B16" s="107" t="str">
        <f aca="false">IF(Documents!$Q$8="","",Documents!$Q$8)</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"&amp;IF(TRIM(Flights!$Y$8)="","__________________",Flights!$Y$8)</f>
        <v>Name: __________________</v>
      </c>
      <c r="B18" s="92"/>
      <c r="C18" s="92" t="str">
        <f aca="false">"Name: __________________"</f>
        <v>Name: __________________</v>
      </c>
      <c r="D18" s="92"/>
      <c r="E18" s="92"/>
      <c r="F18" s="92" t="str">
        <f aca="false">"Name: __________________"&amp;"   Station: "&amp;Flights!$V$8</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Checks!$A$90&amp;CHAR(10)&amp;IF(Checks!$I$90="","",Checks!$I$90&amp;": ")&amp;Checks!$J$90</f>
        <v>F04-T7-01
Meal: Meal sensory testing completed for this flight's menu cycle (assessed class)</v>
      </c>
      <c r="B23" s="112" t="str">
        <f aca="false">Checks!$K$90&amp;IF(Checks!$O$90="","",IF(Checks!$K$90="","",CHAR(10))&amp;"Note: "&amp;Checks!$O$90)</f>
        <v>Record panel result / score in Result</v>
      </c>
      <c r="C23" s="112" t="str">
        <f aca="false">Checks!$N$90&amp;CHAR(10)&amp;IF(ISNUMBER(Checks!$R$90),TEXT(Checks!$R$90,"DD-MMM-YY HH:MM"),"")&amp;" "&amp;Checks!$P$90</f>
        <v>Required
03-Oct-26 23:30 KUL</v>
      </c>
      <c r="D23" s="112" t="str">
        <f aca="false">IF(Checks!$U$90="","",Checks!$U$90)&amp;IF(Checks!$AB$90="","",CHAR(10)&amp;"CA: "&amp;Checks!$AB$90)</f>
        <v/>
      </c>
      <c r="E23" s="112" t="str">
        <f aca="false">IF(Checks!$V$90="","",Checks!$V$90)&amp;IF(Checks!$AC$90="","",IF(Checks!$V$90="","",CHAR(10))&amp;"N/A just.: "&amp;Checks!$AC$90)&amp;IF(Checks!$W$90="","",CHAR(10)&amp;"Batch: "&amp;Checks!$W$90)&amp;IF(AND(Checks!$X$90="",Checks!$Y$90=""),"",CHAR(10)&amp;"Exp: "&amp;Checks!$X$90&amp;"  /  Act: "&amp;Checks!$Y$90)</f>
        <v/>
      </c>
      <c r="F23" s="112" t="str">
        <f aca="false">IF(Checks!$Z$90="","","Evidence: "&amp;Checks!$Z$90)&amp;IF(Checks!$AA$90="","",IF(Checks!$Z$90="","",CHAR(10))&amp;"CA: "&amp;Checks!$AA$90)</f>
        <v/>
      </c>
      <c r="G23" s="112" t="str">
        <f aca="false">IF(ISNUMBER(Checks!$AD$90),TEXT(Checks!$AD$90,"DD-MMM-YY HH:MM")&amp;" "&amp;Checks!$P$90,"")&amp;IF(Checks!$AE$90="","",CHAR(10)&amp;"Verifier: "&amp;Checks!$AE$90)&amp;IF(Checks!$T$90="","",CHAR(10)&amp;"PIC: "&amp;Checks!$T$90)</f>
        <v/>
      </c>
      <c r="H23" s="113" t="str">
        <f aca="false">IF(Checks!$AH$90="","",Checks!$AH$90)</f>
        <v>OPEN</v>
      </c>
    </row>
    <row r="24" customFormat="false" ht="114" hidden="false" customHeight="true" outlineLevel="0" collapsed="false">
      <c r="A24" s="112" t="str">
        <f aca="false">Checks!$A$91&amp;CHAR(10)&amp;IF(Checks!$I$91="","",Checks!$I$91&amp;": ")&amp;Checks!$J$91</f>
        <v>F04-T7-02
Menu: Printed menu cards confirmed (content, cycle, language, quantity)</v>
      </c>
      <c r="B24" s="112" t="str">
        <f aca="false">Checks!$K$91&amp;IF(Checks!$O$91="","",IF(Checks!$K$91="","",CHAR(10))&amp;"Note: "&amp;Checks!$O$91)</f>
        <v>Menu card matches approved menu for this flight</v>
      </c>
      <c r="C24" s="112" t="str">
        <f aca="false">Checks!$N$91&amp;CHAR(10)&amp;IF(ISNUMBER(Checks!$R$91),TEXT(Checks!$R$91,"DD-MMM-YY HH:MM"),"")&amp;" "&amp;Checks!$P$91</f>
        <v>Required
03-Oct-26 23:30 KUL</v>
      </c>
      <c r="D24" s="112" t="str">
        <f aca="false">IF(Checks!$U$91="","",Checks!$U$91)&amp;IF(Checks!$AB$91="","",CHAR(10)&amp;"CA: "&amp;Checks!$AB$91)</f>
        <v/>
      </c>
      <c r="E24" s="112" t="str">
        <f aca="false">IF(Checks!$V$91="","",Checks!$V$91)&amp;IF(Checks!$AC$91="","",IF(Checks!$V$91="","",CHAR(10))&amp;"N/A just.: "&amp;Checks!$AC$91)&amp;IF(Checks!$W$91="","",CHAR(10)&amp;"Batch: "&amp;Checks!$W$91)&amp;IF(AND(Checks!$X$91="",Checks!$Y$91=""),"",CHAR(10)&amp;"Exp: "&amp;Checks!$X$91&amp;"  /  Act: "&amp;Checks!$Y$91)</f>
        <v/>
      </c>
      <c r="F24" s="112" t="str">
        <f aca="false">IF(Checks!$Z$91="","","Evidence: "&amp;Checks!$Z$91)&amp;IF(Checks!$AA$91="","",IF(Checks!$Z$91="","",CHAR(10))&amp;"CA: "&amp;Checks!$AA$91)</f>
        <v/>
      </c>
      <c r="G24" s="112" t="str">
        <f aca="false">IF(ISNUMBER(Checks!$AD$91),TEXT(Checks!$AD$91,"DD-MMM-YY HH:MM")&amp;" "&amp;Checks!$P$91,"")&amp;IF(Checks!$AE$91="","",CHAR(10)&amp;"Verifier: "&amp;Checks!$AE$91)&amp;IF(Checks!$T$91="","",CHAR(10)&amp;"PIC: "&amp;Checks!$T$91)</f>
        <v/>
      </c>
      <c r="H24" s="113" t="str">
        <f aca="false">IF(Checks!$AH$91="","",Checks!$AH$91)</f>
        <v>OPEN</v>
      </c>
    </row>
    <row r="25" customFormat="false" ht="114" hidden="false" customHeight="true" outlineLevel="0" collapsed="false">
      <c r="A25" s="112" t="str">
        <f aca="false">Checks!$A$92&amp;CHAR(10)&amp;IF(Checks!$I$92="","",Checks!$I$92&amp;": ")&amp;Checks!$J$92</f>
        <v>F04-T7-03
IFE: Digital menu in IFE confirmed (A339 only)</v>
      </c>
      <c r="B25" s="112" t="str">
        <f aca="false">Checks!$K$92&amp;IF(Checks!$O$92="","",IF(Checks!$K$92="","",CHAR(10))&amp;"Note: "&amp;Checks!$O$92)</f>
        <v>Applies when fleet = A339
Note: Digital IFE menu applies to A339 only (user brief). Applicability follows the Fleet cell on Flights.</v>
      </c>
      <c r="C25" s="112" t="str">
        <f aca="false">Checks!$N$92&amp;CHAR(10)&amp;IF(ISNUMBER(Checks!$R$92),TEXT(Checks!$R$92,"DD-MMM-YY HH:MM"),"")&amp;" "&amp;Checks!$P$92</f>
        <v>N/A – rule
03-Oct-26 23:30 KUL</v>
      </c>
      <c r="D25" s="112" t="str">
        <f aca="false">IF(Checks!$U$92="","",Checks!$U$92)&amp;IF(Checks!$AB$92="","",CHAR(10)&amp;"CA: "&amp;Checks!$AB$92)</f>
        <v/>
      </c>
      <c r="E25" s="112" t="str">
        <f aca="false">IF(Checks!$V$92="","",Checks!$V$92)&amp;IF(Checks!$AC$92="","",IF(Checks!$V$92="","",CHAR(10))&amp;"N/A just.: "&amp;Checks!$AC$92)&amp;IF(Checks!$W$92="","",CHAR(10)&amp;"Batch: "&amp;Checks!$W$92)&amp;IF(AND(Checks!$X$92="",Checks!$Y$92=""),"",CHAR(10)&amp;"Exp: "&amp;Checks!$X$92&amp;"  /  Act: "&amp;Checks!$Y$92)</f>
        <v/>
      </c>
      <c r="F25" s="112" t="str">
        <f aca="false">IF(Checks!$Z$92="","","Evidence: "&amp;Checks!$Z$92)&amp;IF(Checks!$AA$92="","",IF(Checks!$Z$92="","",CHAR(10))&amp;"CA: "&amp;Checks!$AA$92)</f>
        <v/>
      </c>
      <c r="G25" s="112" t="str">
        <f aca="false">IF(ISNUMBER(Checks!$AD$92),TEXT(Checks!$AD$92,"DD-MMM-YY HH:MM")&amp;" "&amp;Checks!$P$92,"")&amp;IF(Checks!$AE$92="","",CHAR(10)&amp;"Verifier: "&amp;Checks!$AE$92)&amp;IF(Checks!$T$92="","",CHAR(10)&amp;"PIC: "&amp;Checks!$T$92)</f>
        <v/>
      </c>
      <c r="H25" s="113" t="str">
        <f aca="false">IF(Checks!$AH$92="","",Checks!$AH$92)</f>
        <v>N/A – RULE</v>
      </c>
    </row>
    <row r="26" customFormat="false" ht="114" hidden="false" customHeight="true" outlineLevel="0" collapsed="false">
      <c r="A26" s="112" t="str">
        <f aca="false">Checks!$A$93&amp;CHAR(10)&amp;IF(Checks!$I$93="","",Checks!$I$93&amp;": ")&amp;Checks!$J$93</f>
        <v>F04-T7-04
Staffing: Experienced catering officer assigned to this flight</v>
      </c>
      <c r="B26" s="112" t="str">
        <f aca="false">Checks!$K$93&amp;IF(Checks!$O$93="","",IF(Checks!$K$93="","",CHAR(10))&amp;"Note: "&amp;Checks!$O$93)</f>
        <v>Record officer name in Result</v>
      </c>
      <c r="C26" s="112" t="str">
        <f aca="false">Checks!$N$93&amp;CHAR(10)&amp;IF(ISNUMBER(Checks!$R$93),TEXT(Checks!$R$93,"DD-MMM-YY HH:MM"),"")&amp;" "&amp;Checks!$P$93</f>
        <v>Required
03-Oct-26 23:30 KUL</v>
      </c>
      <c r="D26" s="112" t="str">
        <f aca="false">IF(Checks!$U$93="","",Checks!$U$93)&amp;IF(Checks!$AB$93="","",CHAR(10)&amp;"CA: "&amp;Checks!$AB$93)</f>
        <v/>
      </c>
      <c r="E26" s="112" t="str">
        <f aca="false">IF(Checks!$V$93="","",Checks!$V$93)&amp;IF(Checks!$AC$93="","",IF(Checks!$V$93="","",CHAR(10))&amp;"N/A just.: "&amp;Checks!$AC$93)&amp;IF(Checks!$W$93="","",CHAR(10)&amp;"Batch: "&amp;Checks!$W$93)&amp;IF(AND(Checks!$X$93="",Checks!$Y$93=""),"",CHAR(10)&amp;"Exp: "&amp;Checks!$X$93&amp;"  /  Act: "&amp;Checks!$Y$93)</f>
        <v/>
      </c>
      <c r="F26" s="112" t="str">
        <f aca="false">IF(Checks!$Z$93="","","Evidence: "&amp;Checks!$Z$93)&amp;IF(Checks!$AA$93="","",IF(Checks!$Z$93="","",CHAR(10))&amp;"CA: "&amp;Checks!$AA$93)</f>
        <v/>
      </c>
      <c r="G26" s="112" t="str">
        <f aca="false">IF(ISNUMBER(Checks!$AD$93),TEXT(Checks!$AD$93,"DD-MMM-YY HH:MM")&amp;" "&amp;Checks!$P$93,"")&amp;IF(Checks!$AE$93="","",CHAR(10)&amp;"Verifier: "&amp;Checks!$AE$93)&amp;IF(Checks!$T$93="","",CHAR(10)&amp;"PIC: "&amp;Checks!$T$93)</f>
        <v/>
      </c>
      <c r="H26" s="113" t="str">
        <f aca="false">IF(Checks!$AH$93="","",Checks!$AH$93)</f>
        <v>OPEN</v>
      </c>
    </row>
    <row r="27" customFormat="false" ht="114" hidden="false" customHeight="true" outlineLevel="0" collapsed="false">
      <c r="A27" s="112" t="str">
        <f aca="false">Checks!$A$94&amp;CHAR(10)&amp;IF(Checks!$I$94="","",Checks!$I$94&amp;": ")&amp;Checks!$J$94</f>
        <v>F04-T7-05
ISOP: All latest applicable ISOP revisions communicated to caterer</v>
      </c>
      <c r="B27" s="112" t="str">
        <f aca="false">Checks!$K$94&amp;IF(Checks!$O$94="","",IF(Checks!$K$94="","",CHAR(10))&amp;"Note: "&amp;Checks!$O$94)</f>
        <v>List revision numbers in Result (see ISOP register)</v>
      </c>
      <c r="C27" s="112" t="str">
        <f aca="false">Checks!$N$94&amp;CHAR(10)&amp;IF(ISNUMBER(Checks!$R$94),TEXT(Checks!$R$94,"DD-MMM-YY HH:MM"),"")&amp;" "&amp;Checks!$P$94</f>
        <v>Required
03-Oct-26 23:30 KUL</v>
      </c>
      <c r="D27" s="112" t="str">
        <f aca="false">IF(Checks!$U$94="","",Checks!$U$94)&amp;IF(Checks!$AB$94="","",CHAR(10)&amp;"CA: "&amp;Checks!$AB$94)</f>
        <v/>
      </c>
      <c r="E27" s="112" t="str">
        <f aca="false">IF(Checks!$V$94="","",Checks!$V$94)&amp;IF(Checks!$AC$94="","",IF(Checks!$V$94="","",CHAR(10))&amp;"N/A just.: "&amp;Checks!$AC$94)&amp;IF(Checks!$W$94="","",CHAR(10)&amp;"Batch: "&amp;Checks!$W$94)&amp;IF(AND(Checks!$X$94="",Checks!$Y$94=""),"",CHAR(10)&amp;"Exp: "&amp;Checks!$X$94&amp;"  /  Act: "&amp;Checks!$Y$94)</f>
        <v/>
      </c>
      <c r="F27" s="112" t="str">
        <f aca="false">IF(Checks!$Z$94="","","Evidence: "&amp;Checks!$Z$94)&amp;IF(Checks!$AA$94="","",IF(Checks!$Z$94="","",CHAR(10))&amp;"CA: "&amp;Checks!$AA$94)</f>
        <v/>
      </c>
      <c r="G27" s="112" t="str">
        <f aca="false">IF(ISNUMBER(Checks!$AD$94),TEXT(Checks!$AD$94,"DD-MMM-YY HH:MM")&amp;" "&amp;Checks!$P$94,"")&amp;IF(Checks!$AE$94="","",CHAR(10)&amp;"Verifier: "&amp;Checks!$AE$94)&amp;IF(Checks!$T$94="","",CHAR(10)&amp;"PIC: "&amp;Checks!$T$94)</f>
        <v/>
      </c>
      <c r="H27" s="113" t="str">
        <f aca="false">IF(Checks!$AH$94="","",Checks!$AH$94)</f>
        <v>OPEN</v>
      </c>
    </row>
    <row r="28" customFormat="false" ht="114" hidden="false" customHeight="true" outlineLevel="0" collapsed="false">
      <c r="A28" s="112" t="str">
        <f aca="false">Checks!$A$95&amp;CHAR(10)&amp;IF(Checks!$I$95="","",Checks!$I$95&amp;": ")&amp;Checks!$J$95</f>
        <v>F04-T7-06
ISOP: Caterer acknowledgement of ISOP revisions recorded</v>
      </c>
      <c r="B28" s="112" t="str">
        <f aca="false">Checks!$K$95&amp;IF(Checks!$O$95="","",IF(Checks!$K$95="","",CHAR(10))&amp;"Note: "&amp;Checks!$O$95)</f>
        <v>Record acknowledgement ref in Evidence</v>
      </c>
      <c r="C28" s="112" t="str">
        <f aca="false">Checks!$N$95&amp;CHAR(10)&amp;IF(ISNUMBER(Checks!$R$95),TEXT(Checks!$R$95,"DD-MMM-YY HH:MM"),"")&amp;" "&amp;Checks!$P$95</f>
        <v>Required
03-Oct-26 23:30 KUL</v>
      </c>
      <c r="D28" s="112" t="str">
        <f aca="false">IF(Checks!$U$95="","",Checks!$U$95)&amp;IF(Checks!$AB$95="","",CHAR(10)&amp;"CA: "&amp;Checks!$AB$95)</f>
        <v/>
      </c>
      <c r="E28" s="112" t="str">
        <f aca="false">IF(Checks!$V$95="","",Checks!$V$95)&amp;IF(Checks!$AC$95="","",IF(Checks!$V$95="","",CHAR(10))&amp;"N/A just.: "&amp;Checks!$AC$95)&amp;IF(Checks!$W$95="","",CHAR(10)&amp;"Batch: "&amp;Checks!$W$95)&amp;IF(AND(Checks!$X$95="",Checks!$Y$95=""),"",CHAR(10)&amp;"Exp: "&amp;Checks!$X$95&amp;"  /  Act: "&amp;Checks!$Y$95)</f>
        <v/>
      </c>
      <c r="F28" s="112" t="str">
        <f aca="false">IF(Checks!$Z$95="","","Evidence: "&amp;Checks!$Z$95)&amp;IF(Checks!$AA$95="","",IF(Checks!$Z$95="","",CHAR(10))&amp;"CA: "&amp;Checks!$AA$95)</f>
        <v/>
      </c>
      <c r="G28" s="112" t="str">
        <f aca="false">IF(ISNUMBER(Checks!$AD$95),TEXT(Checks!$AD$95,"DD-MMM-YY HH:MM")&amp;" "&amp;Checks!$P$95,"")&amp;IF(Checks!$AE$95="","",CHAR(10)&amp;"Verifier: "&amp;Checks!$AE$95)&amp;IF(Checks!$T$95="","",CHAR(10)&amp;"PIC: "&amp;Checks!$T$95)</f>
        <v/>
      </c>
      <c r="H28" s="113" t="str">
        <f aca="false">IF(Checks!$AH$95="","",Checks!$AH$95)</f>
        <v>OPEN</v>
      </c>
    </row>
    <row r="29" customFormat="false" ht="114" hidden="false" customHeight="true" outlineLevel="0" collapsed="false">
      <c r="A29" s="112" t="str">
        <f aca="false">Checks!$A$96&amp;CHAR(10)&amp;IF(Checks!$I$96="","",Checks!$I$96&amp;": ")&amp;Checks!$J$96</f>
        <v>F04-T7-07
Documents: Galley loading diagram (GLD) received, revision recorded &amp; attached</v>
      </c>
      <c r="B29" s="112" t="str">
        <f aca="false">Checks!$K$96&amp;IF(Checks!$O$96="","",IF(Checks!$K$96="","",CHAR(10))&amp;"Note: "&amp;Checks!$O$96)</f>
        <v>Documents sheet row complete</v>
      </c>
      <c r="C29" s="112" t="str">
        <f aca="false">Checks!$N$96&amp;CHAR(10)&amp;IF(ISNUMBER(Checks!$R$96),TEXT(Checks!$R$96,"DD-MMM-YY HH:MM"),"")&amp;" "&amp;Checks!$P$96</f>
        <v>Required
03-Oct-26 23:30 KUL</v>
      </c>
      <c r="D29" s="112" t="str">
        <f aca="false">IF(Checks!$U$96="","",Checks!$U$96)&amp;IF(Checks!$AB$96="","",CHAR(10)&amp;"CA: "&amp;Checks!$AB$96)</f>
        <v/>
      </c>
      <c r="E29" s="112" t="str">
        <f aca="false">IF(Checks!$V$96="","",Checks!$V$96)&amp;IF(Checks!$AC$96="","",IF(Checks!$V$96="","",CHAR(10))&amp;"N/A just.: "&amp;Checks!$AC$96)&amp;IF(Checks!$W$96="","",CHAR(10)&amp;"Batch: "&amp;Checks!$W$96)&amp;IF(AND(Checks!$X$96="",Checks!$Y$96=""),"",CHAR(10)&amp;"Exp: "&amp;Checks!$X$96&amp;"  /  Act: "&amp;Checks!$Y$96)</f>
        <v/>
      </c>
      <c r="F29" s="112" t="str">
        <f aca="false">IF(Checks!$Z$96="","","Evidence: "&amp;Checks!$Z$96)&amp;IF(Checks!$AA$96="","",IF(Checks!$Z$96="","",CHAR(10))&amp;"CA: "&amp;Checks!$AA$96)</f>
        <v/>
      </c>
      <c r="G29" s="112" t="str">
        <f aca="false">IF(ISNUMBER(Checks!$AD$96),TEXT(Checks!$AD$96,"DD-MMM-YY HH:MM")&amp;" "&amp;Checks!$P$96,"")&amp;IF(Checks!$AE$96="","",CHAR(10)&amp;"Verifier: "&amp;Checks!$AE$96)&amp;IF(Checks!$T$96="","",CHAR(10)&amp;"PIC: "&amp;Checks!$T$96)</f>
        <v/>
      </c>
      <c r="H29" s="113" t="str">
        <f aca="false">IF(Checks!$AH$96="","",Checks!$AH$96)</f>
        <v>OPEN</v>
      </c>
    </row>
    <row r="30" customFormat="false" ht="114" hidden="false" customHeight="true" outlineLevel="0" collapsed="false">
      <c r="A30" s="112" t="str">
        <f aca="false">Checks!$A$97&amp;CHAR(10)&amp;IF(Checks!$I$97="","",Checks!$I$97&amp;": ")&amp;Checks!$J$97</f>
        <v>F04-T7-08
Documents: Menu checklist received, revision recorded &amp; attached</v>
      </c>
      <c r="B30" s="112" t="str">
        <f aca="false">Checks!$K$97&amp;IF(Checks!$O$97="","",IF(Checks!$K$97="","",CHAR(10))&amp;"Note: "&amp;Checks!$O$97)</f>
        <v>Documents sheet row complete</v>
      </c>
      <c r="C30" s="112" t="str">
        <f aca="false">Checks!$N$97&amp;CHAR(10)&amp;IF(ISNUMBER(Checks!$R$97),TEXT(Checks!$R$97,"DD-MMM-YY HH:MM"),"")&amp;" "&amp;Checks!$P$97</f>
        <v>Required
03-Oct-26 23:30 KUL</v>
      </c>
      <c r="D30" s="112" t="str">
        <f aca="false">IF(Checks!$U$97="","",Checks!$U$97)&amp;IF(Checks!$AB$97="","",CHAR(10)&amp;"CA: "&amp;Checks!$AB$97)</f>
        <v/>
      </c>
      <c r="E30" s="112" t="str">
        <f aca="false">IF(Checks!$V$97="","",Checks!$V$97)&amp;IF(Checks!$AC$97="","",IF(Checks!$V$97="","",CHAR(10))&amp;"N/A just.: "&amp;Checks!$AC$97)&amp;IF(Checks!$W$97="","",CHAR(10)&amp;"Batch: "&amp;Checks!$W$97)&amp;IF(AND(Checks!$X$97="",Checks!$Y$97=""),"",CHAR(10)&amp;"Exp: "&amp;Checks!$X$97&amp;"  /  Act: "&amp;Checks!$Y$97)</f>
        <v/>
      </c>
      <c r="F30" s="112" t="str">
        <f aca="false">IF(Checks!$Z$97="","","Evidence: "&amp;Checks!$Z$97)&amp;IF(Checks!$AA$97="","",IF(Checks!$Z$97="","",CHAR(10))&amp;"CA: "&amp;Checks!$AA$97)</f>
        <v/>
      </c>
      <c r="G30" s="112" t="str">
        <f aca="false">IF(ISNUMBER(Checks!$AD$97),TEXT(Checks!$AD$97,"DD-MMM-YY HH:MM")&amp;" "&amp;Checks!$P$97,"")&amp;IF(Checks!$AE$97="","",CHAR(10)&amp;"Verifier: "&amp;Checks!$AE$97)&amp;IF(Checks!$T$97="","",CHAR(10)&amp;"PIC: "&amp;Checks!$T$97)</f>
        <v/>
      </c>
      <c r="H30" s="113" t="str">
        <f aca="false">IF(Checks!$AH$97="","",Checks!$AH$97)</f>
        <v>OPEN</v>
      </c>
    </row>
    <row r="31" customFormat="false" ht="114" hidden="false" customHeight="true" outlineLevel="0" collapsed="false">
      <c r="A31" s="112" t="str">
        <f aca="false">Checks!$A$98&amp;CHAR(10)&amp;IF(Checks!$I$98="","",Checks!$I$98&amp;": ")&amp;Checks!$J$98</f>
        <v>F04-T7-09
Uplift plan: Uplift plan confirmed with caterer vs STD Uplift Information</v>
      </c>
      <c r="B31" s="112" t="str">
        <f aca="false">Checks!$K$98&amp;IF(Checks!$O$98="","",IF(Checks!$K$98="","",CHAR(10))&amp;"Note: "&amp;Checks!$O$98)</f>
        <v>Service: 1.5 Meal (Meal); meal uplift stn KUL (ref lists KUL/NRT)</v>
      </c>
      <c r="C31" s="112" t="str">
        <f aca="false">Checks!$N$98&amp;CHAR(10)&amp;IF(ISNUMBER(Checks!$R$98),TEXT(Checks!$R$98,"DD-MMM-YY HH:MM"),"")&amp;" "&amp;Checks!$P$98</f>
        <v>Required
03-Oct-26 23:30 KUL</v>
      </c>
      <c r="D31" s="112" t="str">
        <f aca="false">IF(Checks!$U$98="","",Checks!$U$98)&amp;IF(Checks!$AB$98="","",CHAR(10)&amp;"CA: "&amp;Checks!$AB$98)</f>
        <v/>
      </c>
      <c r="E31" s="112" t="str">
        <f aca="false">IF(Checks!$V$98="","",Checks!$V$98)&amp;IF(Checks!$AC$98="","",IF(Checks!$V$98="","",CHAR(10))&amp;"N/A just.: "&amp;Checks!$AC$98)&amp;IF(Checks!$W$98="","",CHAR(10)&amp;"Batch: "&amp;Checks!$W$98)&amp;IF(AND(Checks!$X$98="",Checks!$Y$98=""),"",CHAR(10)&amp;"Exp: "&amp;Checks!$X$98&amp;"  /  Act: "&amp;Checks!$Y$98)</f>
        <v/>
      </c>
      <c r="F31" s="112" t="str">
        <f aca="false">IF(Checks!$Z$98="","","Evidence: "&amp;Checks!$Z$98)&amp;IF(Checks!$AA$98="","",IF(Checks!$Z$98="","",CHAR(10))&amp;"CA: "&amp;Checks!$AA$98)</f>
        <v/>
      </c>
      <c r="G31" s="112" t="str">
        <f aca="false">IF(ISNUMBER(Checks!$AD$98),TEXT(Checks!$AD$98,"DD-MMM-YY HH:MM")&amp;" "&amp;Checks!$P$98,"")&amp;IF(Checks!$AE$98="","",CHAR(10)&amp;"Verifier: "&amp;Checks!$AE$98)&amp;IF(Checks!$T$98="","",CHAR(10)&amp;"PIC: "&amp;Checks!$T$98)</f>
        <v/>
      </c>
      <c r="H31" s="113" t="str">
        <f aca="false">IF(Checks!$AH$98="","",Checks!$AH$98)</f>
        <v>OPEN</v>
      </c>
    </row>
    <row r="32" customFormat="false" ht="25.5" hidden="false" customHeight="true" outlineLevel="0" collapsed="false">
      <c r="A32" s="111"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Checks!$A$99&amp;CHAR(10)&amp;IF(Checks!$I$99="","",Checks!$I$99&amp;": ")&amp;Checks!$J$99</f>
        <v>F04-T24-01
Meal: Sensory test repeated on ACTUAL production batch for this flight</v>
      </c>
      <c r="B33" s="112" t="str">
        <f aca="false">Checks!$K$99&amp;IF(Checks!$O$99="","",IF(Checks!$K$99="","",CHAR(10))&amp;"Note: "&amp;Checks!$O$99)</f>
        <v>Batch ID, result, CA and acceptance mandatory</v>
      </c>
      <c r="C33" s="112" t="str">
        <f aca="false">Checks!$N$99&amp;CHAR(10)&amp;IF(ISNUMBER(Checks!$R$99),TEXT(Checks!$R$99,"DD-MMM-YY HH:MM"),"")&amp;" "&amp;Checks!$P$99</f>
        <v>Required
09-Oct-26 23:30 KUL</v>
      </c>
      <c r="D33" s="112" t="str">
        <f aca="false">IF(Checks!$U$99="","",Checks!$U$99)&amp;IF(Checks!$AB$99="","",CHAR(10)&amp;"CA: "&amp;Checks!$AB$99)</f>
        <v/>
      </c>
      <c r="E33" s="112" t="str">
        <f aca="false">IF(Checks!$V$99="","",Checks!$V$99)&amp;IF(Checks!$AC$99="","",IF(Checks!$V$99="","",CHAR(10))&amp;"N/A just.: "&amp;Checks!$AC$99)&amp;IF(Checks!$W$99="","",CHAR(10)&amp;"Batch: "&amp;Checks!$W$99)&amp;IF(AND(Checks!$X$99="",Checks!$Y$99=""),"",CHAR(10)&amp;"Exp: "&amp;Checks!$X$99&amp;"  /  Act: "&amp;Checks!$Y$99)</f>
        <v/>
      </c>
      <c r="F33" s="112" t="str">
        <f aca="false">IF(Checks!$Z$99="","","Evidence: "&amp;Checks!$Z$99)&amp;IF(Checks!$AA$99="","",IF(Checks!$Z$99="","",CHAR(10))&amp;"CA: "&amp;Checks!$AA$99)</f>
        <v/>
      </c>
      <c r="G33" s="112" t="str">
        <f aca="false">IF(ISNUMBER(Checks!$AD$99),TEXT(Checks!$AD$99,"DD-MMM-YY HH:MM")&amp;" "&amp;Checks!$P$99,"")&amp;IF(Checks!$AE$99="","",CHAR(10)&amp;"Verifier: "&amp;Checks!$AE$99)&amp;IF(Checks!$T$99="","",CHAR(10)&amp;"PIC: "&amp;Checks!$T$99)</f>
        <v/>
      </c>
      <c r="H33" s="113" t="str">
        <f aca="false">IF(Checks!$AH$99="","",Checks!$AH$99)</f>
        <v>OPEN</v>
      </c>
    </row>
    <row r="34" customFormat="false" ht="25.5" hidden="false" customHeight="true" outlineLevel="0" collapsed="false">
      <c r="A34" s="111"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1"/>
      <c r="C34" s="111"/>
      <c r="D34" s="111"/>
      <c r="E34" s="111"/>
      <c r="F34" s="111"/>
      <c r="G34" s="111"/>
      <c r="H34" s="111"/>
    </row>
    <row r="35" customFormat="false" ht="114" hidden="false" customHeight="true" outlineLevel="0" collapsed="false">
      <c r="A35" s="112" t="str">
        <f aca="false">Checks!$A$100&amp;CHAR(10)&amp;IF(Checks!$I$100="","",Checks!$I$100&amp;": ")&amp;Checks!$J$100</f>
        <v>F04-T12-01
Meal: Meal quality vs menu checklist</v>
      </c>
      <c r="B35" s="112" t="str">
        <f aca="false">Checks!$K$100&amp;IF(Checks!$O$100="","",IF(Checks!$K$100="","",CHAR(10))&amp;"Note: "&amp;Checks!$O$100)</f>
        <v>Note: Preparation check at caterer - does NOT confirm loading.</v>
      </c>
      <c r="C35" s="112" t="str">
        <f aca="false">Checks!$N$100&amp;CHAR(10)&amp;IF(ISNUMBER(Checks!$R$100),TEXT(Checks!$R$100,"DD-MMM-YY HH:MM"),"")&amp;" "&amp;Checks!$P$100</f>
        <v>Required
10-Oct-26 11:30 KUL</v>
      </c>
      <c r="D35" s="112" t="str">
        <f aca="false">IF(Checks!$U$100="","",Checks!$U$100)&amp;IF(Checks!$AB$100="","",CHAR(10)&amp;"CA: "&amp;Checks!$AB$100)</f>
        <v/>
      </c>
      <c r="E35" s="112" t="str">
        <f aca="false">IF(Checks!$V$100="","",Checks!$V$100)&amp;IF(Checks!$AC$100="","",IF(Checks!$V$100="","",CHAR(10))&amp;"N/A just.: "&amp;Checks!$AC$100)&amp;IF(Checks!$W$100="","",CHAR(10)&amp;"Batch: "&amp;Checks!$W$100)&amp;IF(AND(Checks!$X$100="",Checks!$Y$100=""),"",CHAR(10)&amp;"Exp: "&amp;Checks!$X$100&amp;"  /  Act: "&amp;Checks!$Y$100)</f>
        <v/>
      </c>
      <c r="F35" s="112" t="str">
        <f aca="false">IF(Checks!$Z$100="","","Evidence: "&amp;Checks!$Z$100)&amp;IF(Checks!$AA$100="","",IF(Checks!$Z$100="","",CHAR(10))&amp;"CA: "&amp;Checks!$AA$100)</f>
        <v/>
      </c>
      <c r="G35" s="112" t="str">
        <f aca="false">IF(ISNUMBER(Checks!$AD$100),TEXT(Checks!$AD$100,"DD-MMM-YY HH:MM")&amp;" "&amp;Checks!$P$100,"")&amp;IF(Checks!$AE$100="","",CHAR(10)&amp;"Verifier: "&amp;Checks!$AE$100)&amp;IF(Checks!$T$100="","",CHAR(10)&amp;"PIC: "&amp;Checks!$T$100)</f>
        <v/>
      </c>
      <c r="H35" s="113" t="str">
        <f aca="false">IF(Checks!$AH$100="","",Checks!$AH$100)</f>
        <v>OPEN</v>
      </c>
    </row>
    <row r="36" customFormat="false" ht="114" hidden="false" customHeight="true" outlineLevel="0" collapsed="false">
      <c r="A36" s="112" t="str">
        <f aca="false">Checks!$A$101&amp;CHAR(10)&amp;IF(Checks!$I$101="","",Checks!$I$101&amp;": ")&amp;Checks!$J$101</f>
        <v>F04-T12-02
Meal: Meal quantities vs menu checklist</v>
      </c>
      <c r="B36" s="112" t="str">
        <f aca="false">Checks!$K$101&amp;IF(Checks!$O$101="","",IF(Checks!$K$101="","",CHAR(10))&amp;"Note: "&amp;Checks!$O$101)</f>
        <v>Enter expected &amp; actual
Note: Preparation check at caterer - does NOT confirm loading.</v>
      </c>
      <c r="C36" s="112" t="str">
        <f aca="false">Checks!$N$101&amp;CHAR(10)&amp;IF(ISNUMBER(Checks!$R$101),TEXT(Checks!$R$101,"DD-MMM-YY HH:MM"),"")&amp;" "&amp;Checks!$P$101</f>
        <v>Required
10-Oct-26 11:30 KUL</v>
      </c>
      <c r="D36" s="112" t="str">
        <f aca="false">IF(Checks!$U$101="","",Checks!$U$101)&amp;IF(Checks!$AB$101="","",CHAR(10)&amp;"CA: "&amp;Checks!$AB$101)</f>
        <v/>
      </c>
      <c r="E36" s="112" t="str">
        <f aca="false">IF(Checks!$V$101="","",Checks!$V$101)&amp;IF(Checks!$AC$101="","",IF(Checks!$V$101="","",CHAR(10))&amp;"N/A just.: "&amp;Checks!$AC$101)&amp;IF(Checks!$W$101="","",CHAR(10)&amp;"Batch: "&amp;Checks!$W$101)&amp;IF(AND(Checks!$X$101="",Checks!$Y$101=""),"",CHAR(10)&amp;"Exp: "&amp;Checks!$X$101&amp;"  /  Act: "&amp;Checks!$Y$101)</f>
        <v/>
      </c>
      <c r="F36" s="112" t="str">
        <f aca="false">IF(Checks!$Z$101="","","Evidence: "&amp;Checks!$Z$101)&amp;IF(Checks!$AA$101="","",IF(Checks!$Z$101="","",CHAR(10))&amp;"CA: "&amp;Checks!$AA$101)</f>
        <v/>
      </c>
      <c r="G36" s="112" t="str">
        <f aca="false">IF(ISNUMBER(Checks!$AD$101),TEXT(Checks!$AD$101,"DD-MMM-YY HH:MM")&amp;" "&amp;Checks!$P$101,"")&amp;IF(Checks!$AE$101="","",CHAR(10)&amp;"Verifier: "&amp;Checks!$AE$101)&amp;IF(Checks!$T$101="","",CHAR(10)&amp;"PIC: "&amp;Checks!$T$101)</f>
        <v/>
      </c>
      <c r="H36" s="113" t="str">
        <f aca="false">IF(Checks!$AH$101="","",Checks!$AH$101)</f>
        <v>OPEN</v>
      </c>
    </row>
    <row r="37" customFormat="false" ht="114" hidden="false" customHeight="true" outlineLevel="0" collapsed="false">
      <c r="A37" s="112" t="str">
        <f aca="false">Checks!$A$102&amp;CHAR(10)&amp;IF(Checks!$I$102="","",Checks!$I$102&amp;": ")&amp;Checks!$J$102</f>
        <v>F04-T12-03
Equipment: Equipment cleanliness vs GLD</v>
      </c>
      <c r="B37" s="112" t="str">
        <f aca="false">Checks!$K$102&amp;IF(Checks!$O$102="","",IF(Checks!$K$102="","",CHAR(10))&amp;"Note: "&amp;Checks!$O$102)</f>
        <v>Note: Preparation check at caterer - does NOT confirm loading.</v>
      </c>
      <c r="C37" s="112" t="str">
        <f aca="false">Checks!$N$102&amp;CHAR(10)&amp;IF(ISNUMBER(Checks!$R$102),TEXT(Checks!$R$102,"DD-MMM-YY HH:MM"),"")&amp;" "&amp;Checks!$P$102</f>
        <v>Required
10-Oct-26 11:30 KUL</v>
      </c>
      <c r="D37" s="112" t="str">
        <f aca="false">IF(Checks!$U$102="","",Checks!$U$102)&amp;IF(Checks!$AB$102="","",CHAR(10)&amp;"CA: "&amp;Checks!$AB$102)</f>
        <v/>
      </c>
      <c r="E37" s="112" t="str">
        <f aca="false">IF(Checks!$V$102="","",Checks!$V$102)&amp;IF(Checks!$AC$102="","",IF(Checks!$V$102="","",CHAR(10))&amp;"N/A just.: "&amp;Checks!$AC$102)&amp;IF(Checks!$W$102="","",CHAR(10)&amp;"Batch: "&amp;Checks!$W$102)&amp;IF(AND(Checks!$X$102="",Checks!$Y$102=""),"",CHAR(10)&amp;"Exp: "&amp;Checks!$X$102&amp;"  /  Act: "&amp;Checks!$Y$102)</f>
        <v/>
      </c>
      <c r="F37" s="112" t="str">
        <f aca="false">IF(Checks!$Z$102="","","Evidence: "&amp;Checks!$Z$102)&amp;IF(Checks!$AA$102="","",IF(Checks!$Z$102="","",CHAR(10))&amp;"CA: "&amp;Checks!$AA$102)</f>
        <v/>
      </c>
      <c r="G37" s="112" t="str">
        <f aca="false">IF(ISNUMBER(Checks!$AD$102),TEXT(Checks!$AD$102,"DD-MMM-YY HH:MM")&amp;" "&amp;Checks!$P$102,"")&amp;IF(Checks!$AE$102="","",CHAR(10)&amp;"Verifier: "&amp;Checks!$AE$102)&amp;IF(Checks!$T$102="","",CHAR(10)&amp;"PIC: "&amp;Checks!$T$102)</f>
        <v/>
      </c>
      <c r="H37" s="113" t="str">
        <f aca="false">IF(Checks!$AH$102="","",Checks!$AH$102)</f>
        <v>OPEN</v>
      </c>
    </row>
    <row r="38" customFormat="false" ht="114" hidden="false" customHeight="true" outlineLevel="0" collapsed="false">
      <c r="A38" s="112" t="str">
        <f aca="false">Checks!$A$103&amp;CHAR(10)&amp;IF(Checks!$I$103="","",Checks!$I$103&amp;": ")&amp;Checks!$J$103</f>
        <v>F04-T12-04
Equipment: Equipment presentation vs GLD</v>
      </c>
      <c r="B38" s="112" t="str">
        <f aca="false">Checks!$K$103&amp;IF(Checks!$O$103="","",IF(Checks!$K$103="","",CHAR(10))&amp;"Note: "&amp;Checks!$O$103)</f>
        <v>Note: Preparation check at caterer - does NOT confirm loading.</v>
      </c>
      <c r="C38" s="112" t="str">
        <f aca="false">Checks!$N$103&amp;CHAR(10)&amp;IF(ISNUMBER(Checks!$R$103),TEXT(Checks!$R$103,"DD-MMM-YY HH:MM"),"")&amp;" "&amp;Checks!$P$103</f>
        <v>Required
10-Oct-26 11:30 KUL</v>
      </c>
      <c r="D38" s="112" t="str">
        <f aca="false">IF(Checks!$U$103="","",Checks!$U$103)&amp;IF(Checks!$AB$103="","",CHAR(10)&amp;"CA: "&amp;Checks!$AB$103)</f>
        <v/>
      </c>
      <c r="E38" s="112" t="str">
        <f aca="false">IF(Checks!$V$103="","",Checks!$V$103)&amp;IF(Checks!$AC$103="","",IF(Checks!$V$103="","",CHAR(10))&amp;"N/A just.: "&amp;Checks!$AC$103)&amp;IF(Checks!$W$103="","",CHAR(10)&amp;"Batch: "&amp;Checks!$W$103)&amp;IF(AND(Checks!$X$103="",Checks!$Y$103=""),"",CHAR(10)&amp;"Exp: "&amp;Checks!$X$103&amp;"  /  Act: "&amp;Checks!$Y$103)</f>
        <v/>
      </c>
      <c r="F38" s="112" t="str">
        <f aca="false">IF(Checks!$Z$103="","","Evidence: "&amp;Checks!$Z$103)&amp;IF(Checks!$AA$103="","",IF(Checks!$Z$103="","",CHAR(10))&amp;"CA: "&amp;Checks!$AA$103)</f>
        <v/>
      </c>
      <c r="G38" s="112" t="str">
        <f aca="false">IF(ISNUMBER(Checks!$AD$103),TEXT(Checks!$AD$103,"DD-MMM-YY HH:MM")&amp;" "&amp;Checks!$P$103,"")&amp;IF(Checks!$AE$103="","",CHAR(10)&amp;"Verifier: "&amp;Checks!$AE$103)&amp;IF(Checks!$T$103="","",CHAR(10)&amp;"PIC: "&amp;Checks!$T$103)</f>
        <v/>
      </c>
      <c r="H38" s="113" t="str">
        <f aca="false">IF(Checks!$AH$103="","",Checks!$AH$103)</f>
        <v>OPEN</v>
      </c>
    </row>
    <row r="39" customFormat="false" ht="114" hidden="false" customHeight="true" outlineLevel="0" collapsed="false">
      <c r="A39" s="112" t="str">
        <f aca="false">Checks!$A$104&amp;CHAR(10)&amp;IF(Checks!$I$104="","",Checks!$I$104&amp;": ")&amp;Checks!$J$104</f>
        <v>F04-T12-05
Equipment: Equipment serviceability vs GLD</v>
      </c>
      <c r="B39" s="112" t="str">
        <f aca="false">Checks!$K$104&amp;IF(Checks!$O$104="","",IF(Checks!$K$104="","",CHAR(10))&amp;"Note: "&amp;Checks!$O$104)</f>
        <v>Note: Preparation check at caterer - does NOT confirm loading.</v>
      </c>
      <c r="C39" s="112" t="str">
        <f aca="false">Checks!$N$104&amp;CHAR(10)&amp;IF(ISNUMBER(Checks!$R$104),TEXT(Checks!$R$104,"DD-MMM-YY HH:MM"),"")&amp;" "&amp;Checks!$P$104</f>
        <v>Required
10-Oct-26 11:30 KUL</v>
      </c>
      <c r="D39" s="112" t="str">
        <f aca="false">IF(Checks!$U$104="","",Checks!$U$104)&amp;IF(Checks!$AB$104="","",CHAR(10)&amp;"CA: "&amp;Checks!$AB$104)</f>
        <v/>
      </c>
      <c r="E39" s="112" t="str">
        <f aca="false">IF(Checks!$V$104="","",Checks!$V$104)&amp;IF(Checks!$AC$104="","",IF(Checks!$V$104="","",CHAR(10))&amp;"N/A just.: "&amp;Checks!$AC$104)&amp;IF(Checks!$W$104="","",CHAR(10)&amp;"Batch: "&amp;Checks!$W$104)&amp;IF(AND(Checks!$X$104="",Checks!$Y$104=""),"",CHAR(10)&amp;"Exp: "&amp;Checks!$X$104&amp;"  /  Act: "&amp;Checks!$Y$104)</f>
        <v/>
      </c>
      <c r="F39" s="112" t="str">
        <f aca="false">IF(Checks!$Z$104="","","Evidence: "&amp;Checks!$Z$104)&amp;IF(Checks!$AA$104="","",IF(Checks!$Z$104="","",CHAR(10))&amp;"CA: "&amp;Checks!$AA$104)</f>
        <v/>
      </c>
      <c r="G39" s="112" t="str">
        <f aca="false">IF(ISNUMBER(Checks!$AD$104),TEXT(Checks!$AD$104,"DD-MMM-YY HH:MM")&amp;" "&amp;Checks!$P$104,"")&amp;IF(Checks!$AE$104="","",CHAR(10)&amp;"Verifier: "&amp;Checks!$AE$104)&amp;IF(Checks!$T$104="","",CHAR(10)&amp;"PIC: "&amp;Checks!$T$104)</f>
        <v/>
      </c>
      <c r="H39" s="113" t="str">
        <f aca="false">IF(Checks!$AH$104="","",Checks!$AH$104)</f>
        <v>OPEN</v>
      </c>
    </row>
    <row r="40" customFormat="false" ht="322.5" hidden="false" customHeight="true" outlineLevel="0" collapsed="false">
      <c r="A40" s="112" t="str">
        <f aca="false">Checks!$A$105&amp;CHAR(10)&amp;IF(Checks!$I$105="","",Checks!$I$105&amp;": ")&amp;Checks!$J$105</f>
        <v>F04-T12-06
Equipment: Equipment quantities vs GLD</v>
      </c>
      <c r="B40" s="112"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2" t="str">
        <f aca="false">Checks!$N$105&amp;CHAR(10)&amp;IF(ISNUMBER(Checks!$R$105),TEXT(Checks!$R$105,"DD-MMM-YY HH:MM"),"")&amp;" "&amp;Checks!$P$105</f>
        <v>Required
10-Oct-26 11:30 KUL</v>
      </c>
      <c r="D40" s="112" t="str">
        <f aca="false">IF(Checks!$U$105="","",Checks!$U$105)&amp;IF(Checks!$AB$105="","",CHAR(10)&amp;"CA: "&amp;Checks!$AB$105)</f>
        <v/>
      </c>
      <c r="E40" s="112" t="str">
        <f aca="false">IF(Checks!$V$105="","",Checks!$V$105)&amp;IF(Checks!$AC$105="","",IF(Checks!$V$105="","",CHAR(10))&amp;"N/A just.: "&amp;Checks!$AC$105)&amp;IF(Checks!$W$105="","",CHAR(10)&amp;"Batch: "&amp;Checks!$W$105)&amp;IF(AND(Checks!$X$105="",Checks!$Y$105=""),"",CHAR(10)&amp;"Exp: "&amp;Checks!$X$105&amp;"  /  Act: "&amp;Checks!$Y$105)</f>
        <v/>
      </c>
      <c r="F40" s="112" t="str">
        <f aca="false">IF(Checks!$Z$105="","","Evidence: "&amp;Checks!$Z$105)&amp;IF(Checks!$AA$105="","",IF(Checks!$Z$105="","",CHAR(10))&amp;"CA: "&amp;Checks!$AA$105)</f>
        <v/>
      </c>
      <c r="G40" s="112" t="str">
        <f aca="false">IF(ISNUMBER(Checks!$AD$105),TEXT(Checks!$AD$105,"DD-MMM-YY HH:MM")&amp;" "&amp;Checks!$P$105,"")&amp;IF(Checks!$AE$105="","",CHAR(10)&amp;"Verifier: "&amp;Checks!$AE$105)&amp;IF(Checks!$T$105="","",CHAR(10)&amp;"PIC: "&amp;Checks!$T$105)</f>
        <v/>
      </c>
      <c r="H40" s="113" t="str">
        <f aca="false">IF(Checks!$AH$105="","",Checks!$AH$105)</f>
        <v>OPEN</v>
      </c>
    </row>
    <row r="41" customFormat="false" ht="114" hidden="false" customHeight="true" outlineLevel="0" collapsed="false">
      <c r="A41" s="112" t="str">
        <f aca="false">Checks!$A$106&amp;CHAR(10)&amp;IF(Checks!$I$106="","",Checks!$I$106&amp;": ")&amp;Checks!$J$106</f>
        <v>F04-T12-07
Equipment: Loading positions planned vs GLD</v>
      </c>
      <c r="B41" s="112" t="str">
        <f aca="false">Checks!$K$106&amp;IF(Checks!$O$106="","",IF(Checks!$K$106="","",CHAR(10))&amp;"Note: "&amp;Checks!$O$106)</f>
        <v>Note: Preparation check at caterer - does NOT confirm loading.</v>
      </c>
      <c r="C41" s="112" t="str">
        <f aca="false">Checks!$N$106&amp;CHAR(10)&amp;IF(ISNUMBER(Checks!$R$106),TEXT(Checks!$R$106,"DD-MMM-YY HH:MM"),"")&amp;" "&amp;Checks!$P$106</f>
        <v>Required
10-Oct-26 11:30 KUL</v>
      </c>
      <c r="D41" s="112" t="str">
        <f aca="false">IF(Checks!$U$106="","",Checks!$U$106)&amp;IF(Checks!$AB$106="","",CHAR(10)&amp;"CA: "&amp;Checks!$AB$106)</f>
        <v/>
      </c>
      <c r="E41" s="112" t="str">
        <f aca="false">IF(Checks!$V$106="","",Checks!$V$106)&amp;IF(Checks!$AC$106="","",IF(Checks!$V$106="","",CHAR(10))&amp;"N/A just.: "&amp;Checks!$AC$106)&amp;IF(Checks!$W$106="","",CHAR(10)&amp;"Batch: "&amp;Checks!$W$106)&amp;IF(AND(Checks!$X$106="",Checks!$Y$106=""),"",CHAR(10)&amp;"Exp: "&amp;Checks!$X$106&amp;"  /  Act: "&amp;Checks!$Y$106)</f>
        <v/>
      </c>
      <c r="F41" s="112" t="str">
        <f aca="false">IF(Checks!$Z$106="","","Evidence: "&amp;Checks!$Z$106)&amp;IF(Checks!$AA$106="","",IF(Checks!$Z$106="","",CHAR(10))&amp;"CA: "&amp;Checks!$AA$106)</f>
        <v/>
      </c>
      <c r="G41" s="112" t="str">
        <f aca="false">IF(ISNUMBER(Checks!$AD$106),TEXT(Checks!$AD$106,"DD-MMM-YY HH:MM")&amp;" "&amp;Checks!$P$106,"")&amp;IF(Checks!$AE$106="","",CHAR(10)&amp;"Verifier: "&amp;Checks!$AE$106)&amp;IF(Checks!$T$106="","",CHAR(10)&amp;"PIC: "&amp;Checks!$T$106)</f>
        <v/>
      </c>
      <c r="H41" s="113" t="str">
        <f aca="false">IF(Checks!$AH$106="","",Checks!$AH$106)</f>
        <v>OPEN</v>
      </c>
    </row>
    <row r="42" customFormat="false" ht="114" hidden="false" customHeight="true" outlineLevel="0" collapsed="false">
      <c r="A42" s="112" t="str">
        <f aca="false">Checks!$A$107&amp;CHAR(10)&amp;IF(Checks!$I$107="","",Checks!$I$107&amp;": ")&amp;Checks!$J$107</f>
        <v>F04-T12-08
Amenities: Toiletry kits - prepared</v>
      </c>
      <c r="B42" s="112" t="str">
        <f aca="false">Checks!$K$107&amp;IF(Checks!$O$107="","",IF(Checks!$K$107="","",CHAR(10))&amp;"Note: "&amp;Checks!$O$107)</f>
        <v>Available (ticked in reference)</v>
      </c>
      <c r="C42" s="112" t="str">
        <f aca="false">Checks!$N$107&amp;CHAR(10)&amp;IF(ISNUMBER(Checks!$R$107),TEXT(Checks!$R$107,"DD-MMM-YY HH:MM"),"")&amp;" "&amp;Checks!$P$107</f>
        <v>Required
10-Oct-26 11:30 KUL</v>
      </c>
      <c r="D42" s="112" t="str">
        <f aca="false">IF(Checks!$U$107="","",Checks!$U$107)&amp;IF(Checks!$AB$107="","",CHAR(10)&amp;"CA: "&amp;Checks!$AB$107)</f>
        <v/>
      </c>
      <c r="E42" s="112" t="str">
        <f aca="false">IF(Checks!$V$107="","",Checks!$V$107)&amp;IF(Checks!$AC$107="","",IF(Checks!$V$107="","",CHAR(10))&amp;"N/A just.: "&amp;Checks!$AC$107)&amp;IF(Checks!$W$107="","",CHAR(10)&amp;"Batch: "&amp;Checks!$W$107)&amp;IF(AND(Checks!$X$107="",Checks!$Y$107=""),"",CHAR(10)&amp;"Exp: "&amp;Checks!$X$107&amp;"  /  Act: "&amp;Checks!$Y$107)</f>
        <v/>
      </c>
      <c r="F42" s="112" t="str">
        <f aca="false">IF(Checks!$Z$107="","","Evidence: "&amp;Checks!$Z$107)&amp;IF(Checks!$AA$107="","",IF(Checks!$Z$107="","",CHAR(10))&amp;"CA: "&amp;Checks!$AA$107)</f>
        <v/>
      </c>
      <c r="G42" s="112" t="str">
        <f aca="false">IF(ISNUMBER(Checks!$AD$107),TEXT(Checks!$AD$107,"DD-MMM-YY HH:MM")&amp;" "&amp;Checks!$P$107,"")&amp;IF(Checks!$AE$107="","",CHAR(10)&amp;"Verifier: "&amp;Checks!$AE$107)&amp;IF(Checks!$T$107="","",CHAR(10)&amp;"PIC: "&amp;Checks!$T$107)</f>
        <v/>
      </c>
      <c r="H42" s="113" t="str">
        <f aca="false">IF(Checks!$AH$107="","",Checks!$AH$107)</f>
        <v>OPEN</v>
      </c>
    </row>
    <row r="43" customFormat="false" ht="114" hidden="false" customHeight="true" outlineLevel="0" collapsed="false">
      <c r="A43" s="112" t="str">
        <f aca="false">Checks!$A$108&amp;CHAR(10)&amp;IF(Checks!$I$108="","",Checks!$I$108&amp;": ")&amp;Checks!$J$108</f>
        <v>F04-T12-09
Amenities: Slippers (BS/BC) - prepared</v>
      </c>
      <c r="B43" s="112" t="str">
        <f aca="false">Checks!$K$108&amp;IF(Checks!$O$108="","",IF(Checks!$K$108="","",CHAR(10))&amp;"Note: "&amp;Checks!$O$108)</f>
        <v>Available (ticked in reference)</v>
      </c>
      <c r="C43" s="112" t="str">
        <f aca="false">Checks!$N$108&amp;CHAR(10)&amp;IF(ISNUMBER(Checks!$R$108),TEXT(Checks!$R$108,"DD-MMM-YY HH:MM"),"")&amp;" "&amp;Checks!$P$108</f>
        <v>Required
10-Oct-26 11:30 KUL</v>
      </c>
      <c r="D43" s="112" t="str">
        <f aca="false">IF(Checks!$U$108="","",Checks!$U$108)&amp;IF(Checks!$AB$108="","",CHAR(10)&amp;"CA: "&amp;Checks!$AB$108)</f>
        <v/>
      </c>
      <c r="E43" s="112" t="str">
        <f aca="false">IF(Checks!$V$108="","",Checks!$V$108)&amp;IF(Checks!$AC$108="","",IF(Checks!$V$108="","",CHAR(10))&amp;"N/A just.: "&amp;Checks!$AC$108)&amp;IF(Checks!$W$108="","",CHAR(10)&amp;"Batch: "&amp;Checks!$W$108)&amp;IF(AND(Checks!$X$108="",Checks!$Y$108=""),"",CHAR(10)&amp;"Exp: "&amp;Checks!$X$108&amp;"  /  Act: "&amp;Checks!$Y$108)</f>
        <v/>
      </c>
      <c r="F43" s="112" t="str">
        <f aca="false">IF(Checks!$Z$108="","","Evidence: "&amp;Checks!$Z$108)&amp;IF(Checks!$AA$108="","",IF(Checks!$Z$108="","",CHAR(10))&amp;"CA: "&amp;Checks!$AA$108)</f>
        <v/>
      </c>
      <c r="G43" s="112" t="str">
        <f aca="false">IF(ISNUMBER(Checks!$AD$108),TEXT(Checks!$AD$108,"DD-MMM-YY HH:MM")&amp;" "&amp;Checks!$P$108,"")&amp;IF(Checks!$AE$108="","",CHAR(10)&amp;"Verifier: "&amp;Checks!$AE$108)&amp;IF(Checks!$T$108="","",CHAR(10)&amp;"PIC: "&amp;Checks!$T$108)</f>
        <v/>
      </c>
      <c r="H43" s="113" t="str">
        <f aca="false">IF(Checks!$AH$108="","",Checks!$AH$108)</f>
        <v>OPEN</v>
      </c>
    </row>
    <row r="44" customFormat="false" ht="114" hidden="false" customHeight="true" outlineLevel="0" collapsed="false">
      <c r="A44" s="112" t="str">
        <f aca="false">Checks!$A$109&amp;CHAR(10)&amp;IF(Checks!$I$109="","",Checks!$I$109&amp;": ")&amp;Checks!$J$109</f>
        <v>F04-T12-10
F&amp;B Linen: Towel - prepared</v>
      </c>
      <c r="B44" s="112" t="str">
        <f aca="false">Checks!$K$109&amp;IF(Checks!$O$109="","",IF(Checks!$K$109="","",CHAR(10))&amp;"Note: "&amp;Checks!$O$109)</f>
        <v>Available (ticked in reference)
Note: Reference gives no uplift stn for this item: preparation checked at the meal uplift stn (KUL) - confirm with caterer.</v>
      </c>
      <c r="C44" s="112" t="str">
        <f aca="false">Checks!$N$109&amp;CHAR(10)&amp;IF(ISNUMBER(Checks!$R$109),TEXT(Checks!$R$109,"DD-MMM-YY HH:MM"),"")&amp;" "&amp;Checks!$P$109</f>
        <v>Required
10-Oct-26 11:30 KUL</v>
      </c>
      <c r="D44" s="112" t="str">
        <f aca="false">IF(Checks!$U$109="","",Checks!$U$109)&amp;IF(Checks!$AB$109="","",CHAR(10)&amp;"CA: "&amp;Checks!$AB$109)</f>
        <v/>
      </c>
      <c r="E44" s="112" t="str">
        <f aca="false">IF(Checks!$V$109="","",Checks!$V$109)&amp;IF(Checks!$AC$109="","",IF(Checks!$V$109="","",CHAR(10))&amp;"N/A just.: "&amp;Checks!$AC$109)&amp;IF(Checks!$W$109="","",CHAR(10)&amp;"Batch: "&amp;Checks!$W$109)&amp;IF(AND(Checks!$X$109="",Checks!$Y$109=""),"",CHAR(10)&amp;"Exp: "&amp;Checks!$X$109&amp;"  /  Act: "&amp;Checks!$Y$109)</f>
        <v/>
      </c>
      <c r="F44" s="112" t="str">
        <f aca="false">IF(Checks!$Z$109="","","Evidence: "&amp;Checks!$Z$109)&amp;IF(Checks!$AA$109="","",IF(Checks!$Z$109="","",CHAR(10))&amp;"CA: "&amp;Checks!$AA$109)</f>
        <v/>
      </c>
      <c r="G44" s="112" t="str">
        <f aca="false">IF(ISNUMBER(Checks!$AD$109),TEXT(Checks!$AD$109,"DD-MMM-YY HH:MM")&amp;" "&amp;Checks!$P$109,"")&amp;IF(Checks!$AE$109="","",CHAR(10)&amp;"Verifier: "&amp;Checks!$AE$109)&amp;IF(Checks!$T$109="","",CHAR(10)&amp;"PIC: "&amp;Checks!$T$109)</f>
        <v/>
      </c>
      <c r="H44" s="113" t="str">
        <f aca="false">IF(Checks!$AH$109="","",Checks!$AH$109)</f>
        <v>OPEN</v>
      </c>
    </row>
    <row r="45" customFormat="false" ht="114" hidden="false" customHeight="true" outlineLevel="0" collapsed="false">
      <c r="A45" s="112" t="str">
        <f aca="false">Checks!$A$110&amp;CHAR(10)&amp;IF(Checks!$I$110="","",Checks!$I$110&amp;": ")&amp;Checks!$J$110</f>
        <v>F04-T12-11
F&amp;B Linen: Tray cloth - prepared</v>
      </c>
      <c r="B45" s="112" t="str">
        <f aca="false">Checks!$K$110&amp;IF(Checks!$O$110="","",IF(Checks!$K$110="","",CHAR(10))&amp;"Note: "&amp;Checks!$O$110)</f>
        <v>Available (ticked in reference)
Note: Reference gives no uplift stn for this item: preparation checked at the meal uplift stn (KUL) - confirm with caterer.</v>
      </c>
      <c r="C45" s="112" t="str">
        <f aca="false">Checks!$N$110&amp;CHAR(10)&amp;IF(ISNUMBER(Checks!$R$110),TEXT(Checks!$R$110,"DD-MMM-YY HH:MM"),"")&amp;" "&amp;Checks!$P$110</f>
        <v>Required
10-Oct-26 11:30 KUL</v>
      </c>
      <c r="D45" s="112" t="str">
        <f aca="false">IF(Checks!$U$110="","",Checks!$U$110)&amp;IF(Checks!$AB$110="","",CHAR(10)&amp;"CA: "&amp;Checks!$AB$110)</f>
        <v/>
      </c>
      <c r="E45" s="112" t="str">
        <f aca="false">IF(Checks!$V$110="","",Checks!$V$110)&amp;IF(Checks!$AC$110="","",IF(Checks!$V$110="","",CHAR(10))&amp;"N/A just.: "&amp;Checks!$AC$110)&amp;IF(Checks!$W$110="","",CHAR(10)&amp;"Batch: "&amp;Checks!$W$110)&amp;IF(AND(Checks!$X$110="",Checks!$Y$110=""),"",CHAR(10)&amp;"Exp: "&amp;Checks!$X$110&amp;"  /  Act: "&amp;Checks!$Y$110)</f>
        <v/>
      </c>
      <c r="F45" s="112" t="str">
        <f aca="false">IF(Checks!$Z$110="","","Evidence: "&amp;Checks!$Z$110)&amp;IF(Checks!$AA$110="","",IF(Checks!$Z$110="","",CHAR(10))&amp;"CA: "&amp;Checks!$AA$110)</f>
        <v/>
      </c>
      <c r="G45" s="112" t="str">
        <f aca="false">IF(ISNUMBER(Checks!$AD$110),TEXT(Checks!$AD$110,"DD-MMM-YY HH:MM")&amp;" "&amp;Checks!$P$110,"")&amp;IF(Checks!$AE$110="","",CHAR(10)&amp;"Verifier: "&amp;Checks!$AE$110)&amp;IF(Checks!$T$110="","",CHAR(10)&amp;"PIC: "&amp;Checks!$T$110)</f>
        <v/>
      </c>
      <c r="H45" s="113" t="str">
        <f aca="false">IF(Checks!$AH$110="","",Checks!$AH$110)</f>
        <v>OPEN</v>
      </c>
    </row>
    <row r="46" customFormat="false" ht="114" hidden="false" customHeight="true" outlineLevel="0" collapsed="false">
      <c r="A46" s="112" t="str">
        <f aca="false">Checks!$A$111&amp;CHAR(10)&amp;IF(Checks!$I$111="","",Checks!$I$111&amp;": ")&amp;Checks!$J$111</f>
        <v>F04-T12-12
F&amp;B Linen: Napkin - prepared</v>
      </c>
      <c r="B46" s="112" t="str">
        <f aca="false">Checks!$K$111&amp;IF(Checks!$O$111="","",IF(Checks!$K$111="","",CHAR(10))&amp;"Note: "&amp;Checks!$O$111)</f>
        <v>Available (ticked in reference)
Note: Reference gives no uplift stn for this item: preparation checked at the meal uplift stn (KUL) - confirm with caterer.</v>
      </c>
      <c r="C46" s="112" t="str">
        <f aca="false">Checks!$N$111&amp;CHAR(10)&amp;IF(ISNUMBER(Checks!$R$111),TEXT(Checks!$R$111,"DD-MMM-YY HH:MM"),"")&amp;" "&amp;Checks!$P$111</f>
        <v>Required
10-Oct-26 11:30 KUL</v>
      </c>
      <c r="D46" s="112" t="str">
        <f aca="false">IF(Checks!$U$111="","",Checks!$U$111)&amp;IF(Checks!$AB$111="","",CHAR(10)&amp;"CA: "&amp;Checks!$AB$111)</f>
        <v/>
      </c>
      <c r="E46" s="112" t="str">
        <f aca="false">IF(Checks!$V$111="","",Checks!$V$111)&amp;IF(Checks!$AC$111="","",IF(Checks!$V$111="","",CHAR(10))&amp;"N/A just.: "&amp;Checks!$AC$111)&amp;IF(Checks!$W$111="","",CHAR(10)&amp;"Batch: "&amp;Checks!$W$111)&amp;IF(AND(Checks!$X$111="",Checks!$Y$111=""),"",CHAR(10)&amp;"Exp: "&amp;Checks!$X$111&amp;"  /  Act: "&amp;Checks!$Y$111)</f>
        <v/>
      </c>
      <c r="F46" s="112" t="str">
        <f aca="false">IF(Checks!$Z$111="","","Evidence: "&amp;Checks!$Z$111)&amp;IF(Checks!$AA$111="","",IF(Checks!$Z$111="","",CHAR(10))&amp;"CA: "&amp;Checks!$AA$111)</f>
        <v/>
      </c>
      <c r="G46" s="112" t="str">
        <f aca="false">IF(ISNUMBER(Checks!$AD$111),TEXT(Checks!$AD$111,"DD-MMM-YY HH:MM")&amp;" "&amp;Checks!$P$111,"")&amp;IF(Checks!$AE$111="","",CHAR(10)&amp;"Verifier: "&amp;Checks!$AE$111)&amp;IF(Checks!$T$111="","",CHAR(10)&amp;"PIC: "&amp;Checks!$T$111)</f>
        <v/>
      </c>
      <c r="H46" s="113" t="str">
        <f aca="false">IF(Checks!$AH$111="","",Checks!$AH$111)</f>
        <v>OPEN</v>
      </c>
    </row>
    <row r="47" customFormat="false" ht="114" hidden="false" customHeight="true" outlineLevel="0" collapsed="false">
      <c r="A47" s="112" t="str">
        <f aca="false">Checks!$A$112&amp;CHAR(10)&amp;IF(Checks!$I$112="","",Checks!$I$112&amp;": ")&amp;Checks!$J$112</f>
        <v>F04-T12-13
F&amp;B Linen: Table cloth - prepared</v>
      </c>
      <c r="B47" s="112" t="str">
        <f aca="false">Checks!$K$112&amp;IF(Checks!$O$112="","",IF(Checks!$K$112="","",CHAR(10))&amp;"Note: "&amp;Checks!$O$112)</f>
        <v>Available (ticked in reference)
Note: Reference gives no uplift stn for this item: preparation checked at the meal uplift stn (KUL) - confirm with caterer.</v>
      </c>
      <c r="C47" s="112" t="str">
        <f aca="false">Checks!$N$112&amp;CHAR(10)&amp;IF(ISNUMBER(Checks!$R$112),TEXT(Checks!$R$112,"DD-MMM-YY HH:MM"),"")&amp;" "&amp;Checks!$P$112</f>
        <v>Required
10-Oct-26 11:30 KUL</v>
      </c>
      <c r="D47" s="112" t="str">
        <f aca="false">IF(Checks!$U$112="","",Checks!$U$112)&amp;IF(Checks!$AB$112="","",CHAR(10)&amp;"CA: "&amp;Checks!$AB$112)</f>
        <v/>
      </c>
      <c r="E47" s="112" t="str">
        <f aca="false">IF(Checks!$V$112="","",Checks!$V$112)&amp;IF(Checks!$AC$112="","",IF(Checks!$V$112="","",CHAR(10))&amp;"N/A just.: "&amp;Checks!$AC$112)&amp;IF(Checks!$W$112="","",CHAR(10)&amp;"Batch: "&amp;Checks!$W$112)&amp;IF(AND(Checks!$X$112="",Checks!$Y$112=""),"",CHAR(10)&amp;"Exp: "&amp;Checks!$X$112&amp;"  /  Act: "&amp;Checks!$Y$112)</f>
        <v/>
      </c>
      <c r="F47" s="112" t="str">
        <f aca="false">IF(Checks!$Z$112="","","Evidence: "&amp;Checks!$Z$112)&amp;IF(Checks!$AA$112="","",IF(Checks!$Z$112="","",CHAR(10))&amp;"CA: "&amp;Checks!$AA$112)</f>
        <v/>
      </c>
      <c r="G47" s="112" t="str">
        <f aca="false">IF(ISNUMBER(Checks!$AD$112),TEXT(Checks!$AD$112,"DD-MMM-YY HH:MM")&amp;" "&amp;Checks!$P$112,"")&amp;IF(Checks!$AE$112="","",CHAR(10)&amp;"Verifier: "&amp;Checks!$AE$112)&amp;IF(Checks!$T$112="","",CHAR(10)&amp;"PIC: "&amp;Checks!$T$112)</f>
        <v/>
      </c>
      <c r="H47" s="113" t="str">
        <f aca="false">IF(Checks!$AH$112="","",Checks!$AH$112)</f>
        <v>OPEN</v>
      </c>
    </row>
    <row r="48" customFormat="false" ht="114" hidden="false" customHeight="true" outlineLevel="0" collapsed="false">
      <c r="A48" s="112" t="str">
        <f aca="false">Checks!$A$113&amp;CHAR(10)&amp;IF(Checks!$I$113="","",Checks!$I$113&amp;": ")&amp;Checks!$J$113</f>
        <v>F04-T12-14
F&amp;B Linen: Bread linen (using table cloth) - prepared</v>
      </c>
      <c r="B48" s="112" t="str">
        <f aca="false">Checks!$K$113&amp;IF(Checks!$O$113="","",IF(Checks!$K$113="","",CHAR(10))&amp;"Note: "&amp;Checks!$O$113)</f>
        <v>Available (ticked in reference)
Note: Reference gives no uplift stn for this item: preparation checked at the meal uplift stn (KUL) - confirm with caterer.</v>
      </c>
      <c r="C48" s="112" t="str">
        <f aca="false">Checks!$N$113&amp;CHAR(10)&amp;IF(ISNUMBER(Checks!$R$113),TEXT(Checks!$R$113,"DD-MMM-YY HH:MM"),"")&amp;" "&amp;Checks!$P$113</f>
        <v>Required
10-Oct-26 11:30 KUL</v>
      </c>
      <c r="D48" s="112" t="str">
        <f aca="false">IF(Checks!$U$113="","",Checks!$U$113)&amp;IF(Checks!$AB$113="","",CHAR(10)&amp;"CA: "&amp;Checks!$AB$113)</f>
        <v/>
      </c>
      <c r="E48" s="112" t="str">
        <f aca="false">IF(Checks!$V$113="","",Checks!$V$113)&amp;IF(Checks!$AC$113="","",IF(Checks!$V$113="","",CHAR(10))&amp;"N/A just.: "&amp;Checks!$AC$113)&amp;IF(Checks!$W$113="","",CHAR(10)&amp;"Batch: "&amp;Checks!$W$113)&amp;IF(AND(Checks!$X$113="",Checks!$Y$113=""),"",CHAR(10)&amp;"Exp: "&amp;Checks!$X$113&amp;"  /  Act: "&amp;Checks!$Y$113)</f>
        <v/>
      </c>
      <c r="F48" s="112" t="str">
        <f aca="false">IF(Checks!$Z$113="","","Evidence: "&amp;Checks!$Z$113)&amp;IF(Checks!$AA$113="","",IF(Checks!$Z$113="","",CHAR(10))&amp;"CA: "&amp;Checks!$AA$113)</f>
        <v/>
      </c>
      <c r="G48" s="112" t="str">
        <f aca="false">IF(ISNUMBER(Checks!$AD$113),TEXT(Checks!$AD$113,"DD-MMM-YY HH:MM")&amp;" "&amp;Checks!$P$113,"")&amp;IF(Checks!$AE$113="","",CHAR(10)&amp;"Verifier: "&amp;Checks!$AE$113)&amp;IF(Checks!$T$113="","",CHAR(10)&amp;"PIC: "&amp;Checks!$T$113)</f>
        <v/>
      </c>
      <c r="H48" s="113" t="str">
        <f aca="false">IF(Checks!$AH$113="","",Checks!$AH$113)</f>
        <v>OPEN</v>
      </c>
    </row>
    <row r="49" customFormat="false" ht="124.5" hidden="false" customHeight="true" outlineLevel="0" collapsed="false">
      <c r="A49" s="112" t="str">
        <f aca="false">Checks!$A$114&amp;CHAR(10)&amp;IF(Checks!$I$114="","",Checks!$I$114&amp;": ")&amp;Checks!$J$114</f>
        <v>F04-T12-15
F&amp;B Linen: Trolley cloth - prepared</v>
      </c>
      <c r="B49" s="112"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2" t="str">
        <f aca="false">Checks!$N$114&amp;CHAR(10)&amp;IF(ISNUMBER(Checks!$R$114),TEXT(Checks!$R$114,"DD-MMM-YY HH:MM"),"")&amp;" "&amp;Checks!$P$114</f>
        <v>Required
10-Oct-26 11:30 KUL</v>
      </c>
      <c r="D49" s="112" t="str">
        <f aca="false">IF(Checks!$U$114="","",Checks!$U$114)&amp;IF(Checks!$AB$114="","",CHAR(10)&amp;"CA: "&amp;Checks!$AB$114)</f>
        <v/>
      </c>
      <c r="E49" s="112" t="str">
        <f aca="false">IF(Checks!$V$114="","",Checks!$V$114)&amp;IF(Checks!$AC$114="","",IF(Checks!$V$114="","",CHAR(10))&amp;"N/A just.: "&amp;Checks!$AC$114)&amp;IF(Checks!$W$114="","",CHAR(10)&amp;"Batch: "&amp;Checks!$W$114)&amp;IF(AND(Checks!$X$114="",Checks!$Y$114=""),"",CHAR(10)&amp;"Exp: "&amp;Checks!$X$114&amp;"  /  Act: "&amp;Checks!$Y$114)</f>
        <v/>
      </c>
      <c r="F49" s="112" t="str">
        <f aca="false">IF(Checks!$Z$114="","","Evidence: "&amp;Checks!$Z$114)&amp;IF(Checks!$AA$114="","",IF(Checks!$Z$114="","",CHAR(10))&amp;"CA: "&amp;Checks!$AA$114)</f>
        <v/>
      </c>
      <c r="G49" s="112" t="str">
        <f aca="false">IF(ISNUMBER(Checks!$AD$114),TEXT(Checks!$AD$114,"DD-MMM-YY HH:MM")&amp;" "&amp;Checks!$P$114,"")&amp;IF(Checks!$AE$114="","",CHAR(10)&amp;"Verifier: "&amp;Checks!$AE$114)&amp;IF(Checks!$T$114="","",CHAR(10)&amp;"PIC: "&amp;Checks!$T$114)</f>
        <v/>
      </c>
      <c r="H49" s="113" t="str">
        <f aca="false">IF(Checks!$AH$114="","",Checks!$AH$114)</f>
        <v>OPEN</v>
      </c>
    </row>
    <row r="50" customFormat="false" ht="114" hidden="false" customHeight="true" outlineLevel="0" collapsed="false">
      <c r="A50" s="112" t="str">
        <f aca="false">Checks!$A$115&amp;CHAR(10)&amp;IF(Checks!$I$115="","",Checks!$I$115&amp;": ")&amp;Checks!$J$115</f>
        <v>F04-T12-16
F&amp;B Linen: Linen bag - prepared</v>
      </c>
      <c r="B50" s="112" t="str">
        <f aca="false">Checks!$K$115&amp;IF(Checks!$O$115="","",IF(Checks!$K$115="","",CHAR(10))&amp;"Note: "&amp;Checks!$O$115)</f>
        <v>Available (ticked in reference)
Note: Reference gives no uplift stn for this item: preparation checked at the meal uplift stn (KUL) - confirm with caterer.</v>
      </c>
      <c r="C50" s="112" t="str">
        <f aca="false">Checks!$N$115&amp;CHAR(10)&amp;IF(ISNUMBER(Checks!$R$115),TEXT(Checks!$R$115,"DD-MMM-YY HH:MM"),"")&amp;" "&amp;Checks!$P$115</f>
        <v>Required
10-Oct-26 11:30 KUL</v>
      </c>
      <c r="D50" s="112" t="str">
        <f aca="false">IF(Checks!$U$115="","",Checks!$U$115)&amp;IF(Checks!$AB$115="","",CHAR(10)&amp;"CA: "&amp;Checks!$AB$115)</f>
        <v/>
      </c>
      <c r="E50" s="112" t="str">
        <f aca="false">IF(Checks!$V$115="","",Checks!$V$115)&amp;IF(Checks!$AC$115="","",IF(Checks!$V$115="","",CHAR(10))&amp;"N/A just.: "&amp;Checks!$AC$115)&amp;IF(Checks!$W$115="","",CHAR(10)&amp;"Batch: "&amp;Checks!$W$115)&amp;IF(AND(Checks!$X$115="",Checks!$Y$115=""),"",CHAR(10)&amp;"Exp: "&amp;Checks!$X$115&amp;"  /  Act: "&amp;Checks!$Y$115)</f>
        <v/>
      </c>
      <c r="F50" s="112" t="str">
        <f aca="false">IF(Checks!$Z$115="","","Evidence: "&amp;Checks!$Z$115)&amp;IF(Checks!$AA$115="","",IF(Checks!$Z$115="","",CHAR(10))&amp;"CA: "&amp;Checks!$AA$115)</f>
        <v/>
      </c>
      <c r="G50" s="112" t="str">
        <f aca="false">IF(ISNUMBER(Checks!$AD$115),TEXT(Checks!$AD$115,"DD-MMM-YY HH:MM")&amp;" "&amp;Checks!$P$115,"")&amp;IF(Checks!$AE$115="","",CHAR(10)&amp;"Verifier: "&amp;Checks!$AE$115)&amp;IF(Checks!$T$115="","",CHAR(10)&amp;"PIC: "&amp;Checks!$T$115)</f>
        <v/>
      </c>
      <c r="H50" s="113" t="str">
        <f aca="false">IF(Checks!$AH$115="","",Checks!$AH$115)</f>
        <v>OPEN</v>
      </c>
    </row>
    <row r="51" customFormat="false" ht="114" hidden="false" customHeight="true" outlineLevel="0" collapsed="false">
      <c r="A51" s="112" t="str">
        <f aca="false">Checks!$A$116&amp;CHAR(10)&amp;IF(Checks!$I$116="","",Checks!$I$116&amp;": ")&amp;Checks!$J$116</f>
        <v>F04-T12-17
Seat Linen: Seat pillow (BS &amp; BC) - prepared</v>
      </c>
      <c r="B51" s="112" t="str">
        <f aca="false">Checks!$K$116&amp;IF(Checks!$O$116="","",IF(Checks!$K$116="","",CHAR(10))&amp;"Note: "&amp;Checks!$O$116)</f>
        <v>Available 100% (ticked in reference)
Note: Reference gives no uplift stn for this item: preparation checked at the meal uplift stn (KUL) - confirm with caterer.</v>
      </c>
      <c r="C51" s="112" t="str">
        <f aca="false">Checks!$N$116&amp;CHAR(10)&amp;IF(ISNUMBER(Checks!$R$116),TEXT(Checks!$R$116,"DD-MMM-YY HH:MM"),"")&amp;" "&amp;Checks!$P$116</f>
        <v>Required
10-Oct-26 11:30 KUL</v>
      </c>
      <c r="D51" s="112" t="str">
        <f aca="false">IF(Checks!$U$116="","",Checks!$U$116)&amp;IF(Checks!$AB$116="","",CHAR(10)&amp;"CA: "&amp;Checks!$AB$116)</f>
        <v/>
      </c>
      <c r="E51" s="112" t="str">
        <f aca="false">IF(Checks!$V$116="","",Checks!$V$116)&amp;IF(Checks!$AC$116="","",IF(Checks!$V$116="","",CHAR(10))&amp;"N/A just.: "&amp;Checks!$AC$116)&amp;IF(Checks!$W$116="","",CHAR(10)&amp;"Batch: "&amp;Checks!$W$116)&amp;IF(AND(Checks!$X$116="",Checks!$Y$116=""),"",CHAR(10)&amp;"Exp: "&amp;Checks!$X$116&amp;"  /  Act: "&amp;Checks!$Y$116)</f>
        <v/>
      </c>
      <c r="F51" s="112" t="str">
        <f aca="false">IF(Checks!$Z$116="","","Evidence: "&amp;Checks!$Z$116)&amp;IF(Checks!$AA$116="","",IF(Checks!$Z$116="","",CHAR(10))&amp;"CA: "&amp;Checks!$AA$116)</f>
        <v/>
      </c>
      <c r="G51" s="112" t="str">
        <f aca="false">IF(ISNUMBER(Checks!$AD$116),TEXT(Checks!$AD$116,"DD-MMM-YY HH:MM")&amp;" "&amp;Checks!$P$116,"")&amp;IF(Checks!$AE$116="","",CHAR(10)&amp;"Verifier: "&amp;Checks!$AE$116)&amp;IF(Checks!$T$116="","",CHAR(10)&amp;"PIC: "&amp;Checks!$T$116)</f>
        <v/>
      </c>
      <c r="H51" s="113" t="str">
        <f aca="false">IF(Checks!$AH$116="","",Checks!$AH$116)</f>
        <v>OPEN</v>
      </c>
    </row>
    <row r="52" customFormat="false" ht="114" hidden="false" customHeight="true" outlineLevel="0" collapsed="false">
      <c r="A52" s="112" t="str">
        <f aca="false">Checks!$A$117&amp;CHAR(10)&amp;IF(Checks!$I$117="","",Checks!$I$117&amp;": ")&amp;Checks!$J$117</f>
        <v>F04-T12-18
Seat Linen: Duvet (BS &amp; BC) - prepared</v>
      </c>
      <c r="B52" s="112" t="str">
        <f aca="false">Checks!$K$117&amp;IF(Checks!$O$117="","",IF(Checks!$K$117="","",CHAR(10))&amp;"Note: "&amp;Checks!$O$117)</f>
        <v>Available 100% (ticked in reference)
Note: Reference gives no uplift stn for this item: preparation checked at the meal uplift stn (KUL) - confirm with caterer.</v>
      </c>
      <c r="C52" s="112" t="str">
        <f aca="false">Checks!$N$117&amp;CHAR(10)&amp;IF(ISNUMBER(Checks!$R$117),TEXT(Checks!$R$117,"DD-MMM-YY HH:MM"),"")&amp;" "&amp;Checks!$P$117</f>
        <v>Required
10-Oct-26 11:30 KUL</v>
      </c>
      <c r="D52" s="112" t="str">
        <f aca="false">IF(Checks!$U$117="","",Checks!$U$117)&amp;IF(Checks!$AB$117="","",CHAR(10)&amp;"CA: "&amp;Checks!$AB$117)</f>
        <v/>
      </c>
      <c r="E52" s="112" t="str">
        <f aca="false">IF(Checks!$V$117="","",Checks!$V$117)&amp;IF(Checks!$AC$117="","",IF(Checks!$V$117="","",CHAR(10))&amp;"N/A just.: "&amp;Checks!$AC$117)&amp;IF(Checks!$W$117="","",CHAR(10)&amp;"Batch: "&amp;Checks!$W$117)&amp;IF(AND(Checks!$X$117="",Checks!$Y$117=""),"",CHAR(10)&amp;"Exp: "&amp;Checks!$X$117&amp;"  /  Act: "&amp;Checks!$Y$117)</f>
        <v/>
      </c>
      <c r="F52" s="112" t="str">
        <f aca="false">IF(Checks!$Z$117="","","Evidence: "&amp;Checks!$Z$117)&amp;IF(Checks!$AA$117="","",IF(Checks!$Z$117="","",CHAR(10))&amp;"CA: "&amp;Checks!$AA$117)</f>
        <v/>
      </c>
      <c r="G52" s="112" t="str">
        <f aca="false">IF(ISNUMBER(Checks!$AD$117),TEXT(Checks!$AD$117,"DD-MMM-YY HH:MM")&amp;" "&amp;Checks!$P$117,"")&amp;IF(Checks!$AE$117="","",CHAR(10)&amp;"Verifier: "&amp;Checks!$AE$117)&amp;IF(Checks!$T$117="","",CHAR(10)&amp;"PIC: "&amp;Checks!$T$117)</f>
        <v/>
      </c>
      <c r="H52" s="113" t="str">
        <f aca="false">IF(Checks!$AH$117="","",Checks!$AH$117)</f>
        <v>OPEN</v>
      </c>
    </row>
    <row r="53" customFormat="false" ht="114" hidden="false" customHeight="true" outlineLevel="0" collapsed="false">
      <c r="A53" s="112" t="str">
        <f aca="false">Checks!$A$118&amp;CHAR(10)&amp;IF(Checks!$I$118="","",Checks!$I$118&amp;": ")&amp;Checks!$J$118</f>
        <v>F04-T12-19
Seat Linen: Mattress (BS &amp; BC) - prepared</v>
      </c>
      <c r="B53" s="112" t="str">
        <f aca="false">Checks!$K$118&amp;IF(Checks!$O$118="","",IF(Checks!$K$118="","",CHAR(10))&amp;"Note: "&amp;Checks!$O$118)</f>
        <v>Available 100% (ticked in reference)
Note: Reference gives no uplift stn for this item: preparation checked at the meal uplift stn (KUL) - confirm with caterer.</v>
      </c>
      <c r="C53" s="112" t="str">
        <f aca="false">Checks!$N$118&amp;CHAR(10)&amp;IF(ISNUMBER(Checks!$R$118),TEXT(Checks!$R$118,"DD-MMM-YY HH:MM"),"")&amp;" "&amp;Checks!$P$118</f>
        <v>Required
10-Oct-26 11:30 KUL</v>
      </c>
      <c r="D53" s="112" t="str">
        <f aca="false">IF(Checks!$U$118="","",Checks!$U$118)&amp;IF(Checks!$AB$118="","",CHAR(10)&amp;"CA: "&amp;Checks!$AB$118)</f>
        <v/>
      </c>
      <c r="E53" s="112" t="str">
        <f aca="false">IF(Checks!$V$118="","",Checks!$V$118)&amp;IF(Checks!$AC$118="","",IF(Checks!$V$118="","",CHAR(10))&amp;"N/A just.: "&amp;Checks!$AC$118)&amp;IF(Checks!$W$118="","",CHAR(10)&amp;"Batch: "&amp;Checks!$W$118)&amp;IF(AND(Checks!$X$118="",Checks!$Y$118=""),"",CHAR(10)&amp;"Exp: "&amp;Checks!$X$118&amp;"  /  Act: "&amp;Checks!$Y$118)</f>
        <v/>
      </c>
      <c r="F53" s="112" t="str">
        <f aca="false">IF(Checks!$Z$118="","","Evidence: "&amp;Checks!$Z$118)&amp;IF(Checks!$AA$118="","",IF(Checks!$Z$118="","",CHAR(10))&amp;"CA: "&amp;Checks!$AA$118)</f>
        <v/>
      </c>
      <c r="G53" s="112" t="str">
        <f aca="false">IF(ISNUMBER(Checks!$AD$118),TEXT(Checks!$AD$118,"DD-MMM-YY HH:MM")&amp;" "&amp;Checks!$P$118,"")&amp;IF(Checks!$AE$118="","",CHAR(10)&amp;"Verifier: "&amp;Checks!$AE$118)&amp;IF(Checks!$T$118="","",CHAR(10)&amp;"PIC: "&amp;Checks!$T$118)</f>
        <v/>
      </c>
      <c r="H53" s="113" t="str">
        <f aca="false">IF(Checks!$AH$118="","",Checks!$AH$118)</f>
        <v>OPEN</v>
      </c>
    </row>
    <row r="54" customFormat="false" ht="114" hidden="false" customHeight="true" outlineLevel="0" collapsed="false">
      <c r="A54" s="112" t="str">
        <f aca="false">Checks!$A$119&amp;CHAR(10)&amp;IF(Checks!$I$119="","",Checks!$I$119&amp;": ")&amp;Checks!$J$119</f>
        <v>F04-T12-20
Signature Drinks: Signature drink &amp; garnish (BC) - prepared</v>
      </c>
      <c r="B54" s="112" t="str">
        <f aca="false">Checks!$K$119&amp;IF(Checks!$O$119="","",IF(Checks!$K$119="","",CHAR(10))&amp;"Note: "&amp;Checks!$O$119)</f>
        <v>Available (ticked in reference)
Note: Signature drinks &amp; garnish uplifted from KUL (note D79).</v>
      </c>
      <c r="C54" s="112" t="str">
        <f aca="false">Checks!$N$119&amp;CHAR(10)&amp;IF(ISNUMBER(Checks!$R$119),TEXT(Checks!$R$119,"DD-MMM-YY HH:MM"),"")&amp;" "&amp;Checks!$P$119</f>
        <v>Required
10-Oct-26 11:30 KUL</v>
      </c>
      <c r="D54" s="112" t="str">
        <f aca="false">IF(Checks!$U$119="","",Checks!$U$119)&amp;IF(Checks!$AB$119="","",CHAR(10)&amp;"CA: "&amp;Checks!$AB$119)</f>
        <v/>
      </c>
      <c r="E54" s="112" t="str">
        <f aca="false">IF(Checks!$V$119="","",Checks!$V$119)&amp;IF(Checks!$AC$119="","",IF(Checks!$V$119="","",CHAR(10))&amp;"N/A just.: "&amp;Checks!$AC$119)&amp;IF(Checks!$W$119="","",CHAR(10)&amp;"Batch: "&amp;Checks!$W$119)&amp;IF(AND(Checks!$X$119="",Checks!$Y$119=""),"",CHAR(10)&amp;"Exp: "&amp;Checks!$X$119&amp;"  /  Act: "&amp;Checks!$Y$119)</f>
        <v/>
      </c>
      <c r="F54" s="112" t="str">
        <f aca="false">IF(Checks!$Z$119="","","Evidence: "&amp;Checks!$Z$119)&amp;IF(Checks!$AA$119="","",IF(Checks!$Z$119="","",CHAR(10))&amp;"CA: "&amp;Checks!$AA$119)</f>
        <v/>
      </c>
      <c r="G54" s="112" t="str">
        <f aca="false">IF(ISNUMBER(Checks!$AD$119),TEXT(Checks!$AD$119,"DD-MMM-YY HH:MM")&amp;" "&amp;Checks!$P$119,"")&amp;IF(Checks!$AE$119="","",CHAR(10)&amp;"Verifier: "&amp;Checks!$AE$119)&amp;IF(Checks!$T$119="","",CHAR(10)&amp;"PIC: "&amp;Checks!$T$119)</f>
        <v/>
      </c>
      <c r="H54" s="113" t="str">
        <f aca="false">IF(Checks!$AH$119="","",Checks!$AH$119)</f>
        <v>OPEN</v>
      </c>
    </row>
    <row r="55" customFormat="false" ht="168.75" hidden="false" customHeight="true" outlineLevel="0" collapsed="false">
      <c r="A55" s="112" t="str">
        <f aca="false">Checks!$A$120&amp;CHAR(10)&amp;IF(Checks!$I$120="","",Checks!$I$120&amp;": ")&amp;Checks!$J$120</f>
        <v>F04-T12-21
Sales Cart: Sales cart (caterer PASB) - prepared</v>
      </c>
      <c r="B55" s="112"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2" t="str">
        <f aca="false">Checks!$N$120&amp;CHAR(10)&amp;IF(ISNUMBER(Checks!$R$120),TEXT(Checks!$R$120,"DD-MMM-YY HH:MM"),"")&amp;" "&amp;Checks!$P$120</f>
        <v>Required
10-Oct-26 11:30 KUL</v>
      </c>
      <c r="D55" s="112" t="str">
        <f aca="false">IF(Checks!$U$120="","",Checks!$U$120)&amp;IF(Checks!$AB$120="","",CHAR(10)&amp;"CA: "&amp;Checks!$AB$120)</f>
        <v/>
      </c>
      <c r="E55" s="112" t="str">
        <f aca="false">IF(Checks!$V$120="","",Checks!$V$120)&amp;IF(Checks!$AC$120="","",IF(Checks!$V$120="","",CHAR(10))&amp;"N/A just.: "&amp;Checks!$AC$120)&amp;IF(Checks!$W$120="","",CHAR(10)&amp;"Batch: "&amp;Checks!$W$120)&amp;IF(AND(Checks!$X$120="",Checks!$Y$120=""),"",CHAR(10)&amp;"Exp: "&amp;Checks!$X$120&amp;"  /  Act: "&amp;Checks!$Y$120)</f>
        <v/>
      </c>
      <c r="F55" s="112" t="str">
        <f aca="false">IF(Checks!$Z$120="","","Evidence: "&amp;Checks!$Z$120)&amp;IF(Checks!$AA$120="","",IF(Checks!$Z$120="","",CHAR(10))&amp;"CA: "&amp;Checks!$AA$120)</f>
        <v/>
      </c>
      <c r="G55" s="112" t="str">
        <f aca="false">IF(ISNUMBER(Checks!$AD$120),TEXT(Checks!$AD$120,"DD-MMM-YY HH:MM")&amp;" "&amp;Checks!$P$120,"")&amp;IF(Checks!$AE$120="","",CHAR(10)&amp;"Verifier: "&amp;Checks!$AE$120)&amp;IF(Checks!$T$120="","",CHAR(10)&amp;"PIC: "&amp;Checks!$T$120)</f>
        <v/>
      </c>
      <c r="H55" s="113" t="str">
        <f aca="false">IF(Checks!$AH$120="","",Checks!$AH$120)</f>
        <v>OPEN</v>
      </c>
    </row>
    <row r="56" customFormat="false" ht="25.5" hidden="false" customHeight="true" outlineLevel="0" collapsed="false">
      <c r="A56" s="111"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1"/>
      <c r="C56" s="111"/>
      <c r="D56" s="111"/>
      <c r="E56" s="111"/>
      <c r="F56" s="111"/>
      <c r="G56" s="111"/>
      <c r="H56" s="111"/>
    </row>
    <row r="57" customFormat="false" ht="114" hidden="false" customHeight="true" outlineLevel="0" collapsed="false">
      <c r="A57" s="112" t="str">
        <f aca="false">Checks!$A$121&amp;CHAR(10)&amp;IF(Checks!$I$121="","",Checks!$I$121&amp;": ")&amp;Checks!$J$121</f>
        <v>F04-UPL-01
Meal: Meals physically uplifted on board - quantity vs menu checklist</v>
      </c>
      <c r="B57" s="112" t="str">
        <f aca="false">Checks!$K$121&amp;IF(Checks!$O$121="","",IF(Checks!$K$121="","",CHAR(10))&amp;"Note: "&amp;Checks!$O$121)</f>
        <v>Enter expected &amp; actual
Note: Confirm on board before departure; completion time must fall inside the uplift window.</v>
      </c>
      <c r="C57" s="112" t="str">
        <f aca="false">Checks!$N$121&amp;CHAR(10)&amp;IF(ISNUMBER(Checks!$R$121),TEXT(Checks!$R$121,"DD-MMM-YY HH:MM"),"")&amp;" "&amp;Checks!$P$121</f>
        <v>Required
10-Oct-26 23:30 KUL</v>
      </c>
      <c r="D57" s="112" t="str">
        <f aca="false">IF(Checks!$U$121="","",Checks!$U$121)&amp;IF(Checks!$AB$121="","",CHAR(10)&amp;"CA: "&amp;Checks!$AB$121)</f>
        <v/>
      </c>
      <c r="E57" s="112" t="str">
        <f aca="false">IF(Checks!$V$121="","",Checks!$V$121)&amp;IF(Checks!$AC$121="","",IF(Checks!$V$121="","",CHAR(10))&amp;"N/A just.: "&amp;Checks!$AC$121)&amp;IF(Checks!$W$121="","",CHAR(10)&amp;"Batch: "&amp;Checks!$W$121)&amp;IF(AND(Checks!$X$121="",Checks!$Y$121=""),"",CHAR(10)&amp;"Exp: "&amp;Checks!$X$121&amp;"  /  Act: "&amp;Checks!$Y$121)</f>
        <v/>
      </c>
      <c r="F57" s="112" t="str">
        <f aca="false">IF(Checks!$Z$121="","","Evidence: "&amp;Checks!$Z$121)&amp;IF(Checks!$AA$121="","",IF(Checks!$Z$121="","",CHAR(10))&amp;"CA: "&amp;Checks!$AA$121)</f>
        <v/>
      </c>
      <c r="G57" s="112" t="str">
        <f aca="false">IF(ISNUMBER(Checks!$AD$121),TEXT(Checks!$AD$121,"DD-MMM-YY HH:MM")&amp;" "&amp;Checks!$P$121,"")&amp;IF(Checks!$AE$121="","",CHAR(10)&amp;"Verifier: "&amp;Checks!$AE$121)&amp;IF(Checks!$T$121="","",CHAR(10)&amp;"PIC: "&amp;Checks!$T$121)</f>
        <v/>
      </c>
      <c r="H57" s="113" t="str">
        <f aca="false">IF(Checks!$AH$121="","",Checks!$AH$121)</f>
        <v>OPEN</v>
      </c>
    </row>
    <row r="58" customFormat="false" ht="114" hidden="false" customHeight="true" outlineLevel="0" collapsed="false">
      <c r="A58" s="112" t="str">
        <f aca="false">Checks!$A$122&amp;CHAR(10)&amp;IF(Checks!$I$122="","",Checks!$I$122&amp;": ")&amp;Checks!$J$122</f>
        <v>F04-UPL-02
Equipment: Equipment physically loaded at GLD positions - quantity &amp; positions</v>
      </c>
      <c r="B58" s="112" t="str">
        <f aca="false">Checks!$K$122&amp;IF(Checks!$O$122="","",IF(Checks!$K$122="","",CHAR(10))&amp;"Note: "&amp;Checks!$O$122)</f>
        <v>Enter expected &amp; actual
Note: Confirm on board before departure; completion time must fall inside the uplift window.</v>
      </c>
      <c r="C58" s="112" t="str">
        <f aca="false">Checks!$N$122&amp;CHAR(10)&amp;IF(ISNUMBER(Checks!$R$122),TEXT(Checks!$R$122,"DD-MMM-YY HH:MM"),"")&amp;" "&amp;Checks!$P$122</f>
        <v>Required
10-Oct-26 23:30 KUL</v>
      </c>
      <c r="D58" s="112" t="str">
        <f aca="false">IF(Checks!$U$122="","",Checks!$U$122)&amp;IF(Checks!$AB$122="","",CHAR(10)&amp;"CA: "&amp;Checks!$AB$122)</f>
        <v/>
      </c>
      <c r="E58" s="112" t="str">
        <f aca="false">IF(Checks!$V$122="","",Checks!$V$122)&amp;IF(Checks!$AC$122="","",IF(Checks!$V$122="","",CHAR(10))&amp;"N/A just.: "&amp;Checks!$AC$122)&amp;IF(Checks!$W$122="","",CHAR(10)&amp;"Batch: "&amp;Checks!$W$122)&amp;IF(AND(Checks!$X$122="",Checks!$Y$122=""),"",CHAR(10)&amp;"Exp: "&amp;Checks!$X$122&amp;"  /  Act: "&amp;Checks!$Y$122)</f>
        <v/>
      </c>
      <c r="F58" s="112" t="str">
        <f aca="false">IF(Checks!$Z$122="","","Evidence: "&amp;Checks!$Z$122)&amp;IF(Checks!$AA$122="","",IF(Checks!$Z$122="","",CHAR(10))&amp;"CA: "&amp;Checks!$AA$122)</f>
        <v/>
      </c>
      <c r="G58" s="112" t="str">
        <f aca="false">IF(ISNUMBER(Checks!$AD$122),TEXT(Checks!$AD$122,"DD-MMM-YY HH:MM")&amp;" "&amp;Checks!$P$122,"")&amp;IF(Checks!$AE$122="","",CHAR(10)&amp;"Verifier: "&amp;Checks!$AE$122)&amp;IF(Checks!$T$122="","",CHAR(10)&amp;"PIC: "&amp;Checks!$T$122)</f>
        <v/>
      </c>
      <c r="H58" s="113" t="str">
        <f aca="false">IF(Checks!$AH$122="","",Checks!$AH$122)</f>
        <v>OPEN</v>
      </c>
    </row>
    <row r="59" customFormat="false" ht="114" hidden="false" customHeight="true" outlineLevel="0" collapsed="false">
      <c r="A59" s="112" t="str">
        <f aca="false">Checks!$A$123&amp;CHAR(10)&amp;IF(Checks!$I$123="","",Checks!$I$123&amp;": ")&amp;Checks!$J$123</f>
        <v>F04-UPL-03
Amenities: Toiletry kits - on board</v>
      </c>
      <c r="B59" s="112" t="str">
        <f aca="false">Checks!$K$123&amp;IF(Checks!$O$123="","",IF(Checks!$K$123="","",CHAR(10))&amp;"Note: "&amp;Checks!$O$123)</f>
        <v>Available (ticked in reference)</v>
      </c>
      <c r="C59" s="112" t="str">
        <f aca="false">Checks!$N$123&amp;CHAR(10)&amp;IF(ISNUMBER(Checks!$R$123),TEXT(Checks!$R$123,"DD-MMM-YY HH:MM"),"")&amp;" "&amp;Checks!$P$123</f>
        <v>Required
10-Oct-26 23:30 KUL</v>
      </c>
      <c r="D59" s="112" t="str">
        <f aca="false">IF(Checks!$U$123="","",Checks!$U$123)&amp;IF(Checks!$AB$123="","",CHAR(10)&amp;"CA: "&amp;Checks!$AB$123)</f>
        <v/>
      </c>
      <c r="E59" s="112" t="str">
        <f aca="false">IF(Checks!$V$123="","",Checks!$V$123)&amp;IF(Checks!$AC$123="","",IF(Checks!$V$123="","",CHAR(10))&amp;"N/A just.: "&amp;Checks!$AC$123)&amp;IF(Checks!$W$123="","",CHAR(10)&amp;"Batch: "&amp;Checks!$W$123)&amp;IF(AND(Checks!$X$123="",Checks!$Y$123=""),"",CHAR(10)&amp;"Exp: "&amp;Checks!$X$123&amp;"  /  Act: "&amp;Checks!$Y$123)</f>
        <v/>
      </c>
      <c r="F59" s="112" t="str">
        <f aca="false">IF(Checks!$Z$123="","","Evidence: "&amp;Checks!$Z$123)&amp;IF(Checks!$AA$123="","",IF(Checks!$Z$123="","",CHAR(10))&amp;"CA: "&amp;Checks!$AA$123)</f>
        <v/>
      </c>
      <c r="G59" s="112" t="str">
        <f aca="false">IF(ISNUMBER(Checks!$AD$123),TEXT(Checks!$AD$123,"DD-MMM-YY HH:MM")&amp;" "&amp;Checks!$P$123,"")&amp;IF(Checks!$AE$123="","",CHAR(10)&amp;"Verifier: "&amp;Checks!$AE$123)&amp;IF(Checks!$T$123="","",CHAR(10)&amp;"PIC: "&amp;Checks!$T$123)</f>
        <v/>
      </c>
      <c r="H59" s="113" t="str">
        <f aca="false">IF(Checks!$AH$123="","",Checks!$AH$123)</f>
        <v>OPEN</v>
      </c>
    </row>
    <row r="60" customFormat="false" ht="114" hidden="false" customHeight="true" outlineLevel="0" collapsed="false">
      <c r="A60" s="112" t="str">
        <f aca="false">Checks!$A$124&amp;CHAR(10)&amp;IF(Checks!$I$124="","",Checks!$I$124&amp;": ")&amp;Checks!$J$124</f>
        <v>F04-UPL-04
Amenities: Slippers (BS/BC) - on board</v>
      </c>
      <c r="B60" s="112" t="str">
        <f aca="false">Checks!$K$124&amp;IF(Checks!$O$124="","",IF(Checks!$K$124="","",CHAR(10))&amp;"Note: "&amp;Checks!$O$124)</f>
        <v>Available (ticked in reference)</v>
      </c>
      <c r="C60" s="112" t="str">
        <f aca="false">Checks!$N$124&amp;CHAR(10)&amp;IF(ISNUMBER(Checks!$R$124),TEXT(Checks!$R$124,"DD-MMM-YY HH:MM"),"")&amp;" "&amp;Checks!$P$124</f>
        <v>Required
10-Oct-26 23:30 KUL</v>
      </c>
      <c r="D60" s="112" t="str">
        <f aca="false">IF(Checks!$U$124="","",Checks!$U$124)&amp;IF(Checks!$AB$124="","",CHAR(10)&amp;"CA: "&amp;Checks!$AB$124)</f>
        <v/>
      </c>
      <c r="E60" s="112" t="str">
        <f aca="false">IF(Checks!$V$124="","",Checks!$V$124)&amp;IF(Checks!$AC$124="","",IF(Checks!$V$124="","",CHAR(10))&amp;"N/A just.: "&amp;Checks!$AC$124)&amp;IF(Checks!$W$124="","",CHAR(10)&amp;"Batch: "&amp;Checks!$W$124)&amp;IF(AND(Checks!$X$124="",Checks!$Y$124=""),"",CHAR(10)&amp;"Exp: "&amp;Checks!$X$124&amp;"  /  Act: "&amp;Checks!$Y$124)</f>
        <v/>
      </c>
      <c r="F60" s="112" t="str">
        <f aca="false">IF(Checks!$Z$124="","","Evidence: "&amp;Checks!$Z$124)&amp;IF(Checks!$AA$124="","",IF(Checks!$Z$124="","",CHAR(10))&amp;"CA: "&amp;Checks!$AA$124)</f>
        <v/>
      </c>
      <c r="G60" s="112" t="str">
        <f aca="false">IF(ISNUMBER(Checks!$AD$124),TEXT(Checks!$AD$124,"DD-MMM-YY HH:MM")&amp;" "&amp;Checks!$P$124,"")&amp;IF(Checks!$AE$124="","",CHAR(10)&amp;"Verifier: "&amp;Checks!$AE$124)&amp;IF(Checks!$T$124="","",CHAR(10)&amp;"PIC: "&amp;Checks!$T$124)</f>
        <v/>
      </c>
      <c r="H60" s="113" t="str">
        <f aca="false">IF(Checks!$AH$124="","",Checks!$AH$124)</f>
        <v>OPEN</v>
      </c>
    </row>
    <row r="61" customFormat="false" ht="114" hidden="false" customHeight="true" outlineLevel="0" collapsed="false">
      <c r="A61" s="112" t="str">
        <f aca="false">Checks!$A$125&amp;CHAR(10)&amp;IF(Checks!$I$125="","",Checks!$I$125&amp;": ")&amp;Checks!$J$125</f>
        <v>F04-UPL-05
F&amp;B Linen: Towel - on board</v>
      </c>
      <c r="B61" s="112" t="str">
        <f aca="false">Checks!$K$125&amp;IF(Checks!$O$125="","",IF(Checks!$K$125="","",CHAR(10))&amp;"Note: "&amp;Checks!$O$125)</f>
        <v>Available (ticked in reference)</v>
      </c>
      <c r="C61" s="112" t="str">
        <f aca="false">Checks!$N$125&amp;CHAR(10)&amp;IF(ISNUMBER(Checks!$R$125),TEXT(Checks!$R$125,"DD-MMM-YY HH:MM"),"")&amp;" "&amp;Checks!$P$125</f>
        <v>Required
10-Oct-26 23:30 KUL</v>
      </c>
      <c r="D61" s="112" t="str">
        <f aca="false">IF(Checks!$U$125="","",Checks!$U$125)&amp;IF(Checks!$AB$125="","",CHAR(10)&amp;"CA: "&amp;Checks!$AB$125)</f>
        <v/>
      </c>
      <c r="E61" s="112" t="str">
        <f aca="false">IF(Checks!$V$125="","",Checks!$V$125)&amp;IF(Checks!$AC$125="","",IF(Checks!$V$125="","",CHAR(10))&amp;"N/A just.: "&amp;Checks!$AC$125)&amp;IF(Checks!$W$125="","",CHAR(10)&amp;"Batch: "&amp;Checks!$W$125)&amp;IF(AND(Checks!$X$125="",Checks!$Y$125=""),"",CHAR(10)&amp;"Exp: "&amp;Checks!$X$125&amp;"  /  Act: "&amp;Checks!$Y$125)</f>
        <v/>
      </c>
      <c r="F61" s="112" t="str">
        <f aca="false">IF(Checks!$Z$125="","","Evidence: "&amp;Checks!$Z$125)&amp;IF(Checks!$AA$125="","",IF(Checks!$Z$125="","",CHAR(10))&amp;"CA: "&amp;Checks!$AA$125)</f>
        <v/>
      </c>
      <c r="G61" s="112" t="str">
        <f aca="false">IF(ISNUMBER(Checks!$AD$125),TEXT(Checks!$AD$125,"DD-MMM-YY HH:MM")&amp;" "&amp;Checks!$P$125,"")&amp;IF(Checks!$AE$125="","",CHAR(10)&amp;"Verifier: "&amp;Checks!$AE$125)&amp;IF(Checks!$T$125="","",CHAR(10)&amp;"PIC: "&amp;Checks!$T$125)</f>
        <v/>
      </c>
      <c r="H61" s="113" t="str">
        <f aca="false">IF(Checks!$AH$125="","",Checks!$AH$125)</f>
        <v>OPEN</v>
      </c>
    </row>
    <row r="62" customFormat="false" ht="114" hidden="false" customHeight="true" outlineLevel="0" collapsed="false">
      <c r="A62" s="112" t="str">
        <f aca="false">Checks!$A$126&amp;CHAR(10)&amp;IF(Checks!$I$126="","",Checks!$I$126&amp;": ")&amp;Checks!$J$126</f>
        <v>F04-UPL-06
F&amp;B Linen: Tray cloth - on board</v>
      </c>
      <c r="B62" s="112" t="str">
        <f aca="false">Checks!$K$126&amp;IF(Checks!$O$126="","",IF(Checks!$K$126="","",CHAR(10))&amp;"Note: "&amp;Checks!$O$126)</f>
        <v>Available (ticked in reference)</v>
      </c>
      <c r="C62" s="112" t="str">
        <f aca="false">Checks!$N$126&amp;CHAR(10)&amp;IF(ISNUMBER(Checks!$R$126),TEXT(Checks!$R$126,"DD-MMM-YY HH:MM"),"")&amp;" "&amp;Checks!$P$126</f>
        <v>Required
10-Oct-26 23:30 KUL</v>
      </c>
      <c r="D62" s="112" t="str">
        <f aca="false">IF(Checks!$U$126="","",Checks!$U$126)&amp;IF(Checks!$AB$126="","",CHAR(10)&amp;"CA: "&amp;Checks!$AB$126)</f>
        <v/>
      </c>
      <c r="E62" s="112" t="str">
        <f aca="false">IF(Checks!$V$126="","",Checks!$V$126)&amp;IF(Checks!$AC$126="","",IF(Checks!$V$126="","",CHAR(10))&amp;"N/A just.: "&amp;Checks!$AC$126)&amp;IF(Checks!$W$126="","",CHAR(10)&amp;"Batch: "&amp;Checks!$W$126)&amp;IF(AND(Checks!$X$126="",Checks!$Y$126=""),"",CHAR(10)&amp;"Exp: "&amp;Checks!$X$126&amp;"  /  Act: "&amp;Checks!$Y$126)</f>
        <v/>
      </c>
      <c r="F62" s="112" t="str">
        <f aca="false">IF(Checks!$Z$126="","","Evidence: "&amp;Checks!$Z$126)&amp;IF(Checks!$AA$126="","",IF(Checks!$Z$126="","",CHAR(10))&amp;"CA: "&amp;Checks!$AA$126)</f>
        <v/>
      </c>
      <c r="G62" s="112" t="str">
        <f aca="false">IF(ISNUMBER(Checks!$AD$126),TEXT(Checks!$AD$126,"DD-MMM-YY HH:MM")&amp;" "&amp;Checks!$P$126,"")&amp;IF(Checks!$AE$126="","",CHAR(10)&amp;"Verifier: "&amp;Checks!$AE$126)&amp;IF(Checks!$T$126="","",CHAR(10)&amp;"PIC: "&amp;Checks!$T$126)</f>
        <v/>
      </c>
      <c r="H62" s="113" t="str">
        <f aca="false">IF(Checks!$AH$126="","",Checks!$AH$126)</f>
        <v>OPEN</v>
      </c>
    </row>
    <row r="63" customFormat="false" ht="114" hidden="false" customHeight="true" outlineLevel="0" collapsed="false">
      <c r="A63" s="112" t="str">
        <f aca="false">Checks!$A$127&amp;CHAR(10)&amp;IF(Checks!$I$127="","",Checks!$I$127&amp;": ")&amp;Checks!$J$127</f>
        <v>F04-UPL-07
F&amp;B Linen: Napkin - on board</v>
      </c>
      <c r="B63" s="112" t="str">
        <f aca="false">Checks!$K$127&amp;IF(Checks!$O$127="","",IF(Checks!$K$127="","",CHAR(10))&amp;"Note: "&amp;Checks!$O$127)</f>
        <v>Available (ticked in reference)</v>
      </c>
      <c r="C63" s="112" t="str">
        <f aca="false">Checks!$N$127&amp;CHAR(10)&amp;IF(ISNUMBER(Checks!$R$127),TEXT(Checks!$R$127,"DD-MMM-YY HH:MM"),"")&amp;" "&amp;Checks!$P$127</f>
        <v>Required
10-Oct-26 23:30 KUL</v>
      </c>
      <c r="D63" s="112" t="str">
        <f aca="false">IF(Checks!$U$127="","",Checks!$U$127)&amp;IF(Checks!$AB$127="","",CHAR(10)&amp;"CA: "&amp;Checks!$AB$127)</f>
        <v/>
      </c>
      <c r="E63" s="112" t="str">
        <f aca="false">IF(Checks!$V$127="","",Checks!$V$127)&amp;IF(Checks!$AC$127="","",IF(Checks!$V$127="","",CHAR(10))&amp;"N/A just.: "&amp;Checks!$AC$127)&amp;IF(Checks!$W$127="","",CHAR(10)&amp;"Batch: "&amp;Checks!$W$127)&amp;IF(AND(Checks!$X$127="",Checks!$Y$127=""),"",CHAR(10)&amp;"Exp: "&amp;Checks!$X$127&amp;"  /  Act: "&amp;Checks!$Y$127)</f>
        <v/>
      </c>
      <c r="F63" s="112" t="str">
        <f aca="false">IF(Checks!$Z$127="","","Evidence: "&amp;Checks!$Z$127)&amp;IF(Checks!$AA$127="","",IF(Checks!$Z$127="","",CHAR(10))&amp;"CA: "&amp;Checks!$AA$127)</f>
        <v/>
      </c>
      <c r="G63" s="112" t="str">
        <f aca="false">IF(ISNUMBER(Checks!$AD$127),TEXT(Checks!$AD$127,"DD-MMM-YY HH:MM")&amp;" "&amp;Checks!$P$127,"")&amp;IF(Checks!$AE$127="","",CHAR(10)&amp;"Verifier: "&amp;Checks!$AE$127)&amp;IF(Checks!$T$127="","",CHAR(10)&amp;"PIC: "&amp;Checks!$T$127)</f>
        <v/>
      </c>
      <c r="H63" s="113" t="str">
        <f aca="false">IF(Checks!$AH$127="","",Checks!$AH$127)</f>
        <v>OPEN</v>
      </c>
    </row>
    <row r="64" customFormat="false" ht="114" hidden="false" customHeight="true" outlineLevel="0" collapsed="false">
      <c r="A64" s="112" t="str">
        <f aca="false">Checks!$A$128&amp;CHAR(10)&amp;IF(Checks!$I$128="","",Checks!$I$128&amp;": ")&amp;Checks!$J$128</f>
        <v>F04-UPL-08
F&amp;B Linen: Table cloth - on board</v>
      </c>
      <c r="B64" s="112" t="str">
        <f aca="false">Checks!$K$128&amp;IF(Checks!$O$128="","",IF(Checks!$K$128="","",CHAR(10))&amp;"Note: "&amp;Checks!$O$128)</f>
        <v>Available (ticked in reference)</v>
      </c>
      <c r="C64" s="112" t="str">
        <f aca="false">Checks!$N$128&amp;CHAR(10)&amp;IF(ISNUMBER(Checks!$R$128),TEXT(Checks!$R$128,"DD-MMM-YY HH:MM"),"")&amp;" "&amp;Checks!$P$128</f>
        <v>Required
10-Oct-26 23:30 KUL</v>
      </c>
      <c r="D64" s="112" t="str">
        <f aca="false">IF(Checks!$U$128="","",Checks!$U$128)&amp;IF(Checks!$AB$128="","",CHAR(10)&amp;"CA: "&amp;Checks!$AB$128)</f>
        <v/>
      </c>
      <c r="E64" s="112" t="str">
        <f aca="false">IF(Checks!$V$128="","",Checks!$V$128)&amp;IF(Checks!$AC$128="","",IF(Checks!$V$128="","",CHAR(10))&amp;"N/A just.: "&amp;Checks!$AC$128)&amp;IF(Checks!$W$128="","",CHAR(10)&amp;"Batch: "&amp;Checks!$W$128)&amp;IF(AND(Checks!$X$128="",Checks!$Y$128=""),"",CHAR(10)&amp;"Exp: "&amp;Checks!$X$128&amp;"  /  Act: "&amp;Checks!$Y$128)</f>
        <v/>
      </c>
      <c r="F64" s="112" t="str">
        <f aca="false">IF(Checks!$Z$128="","","Evidence: "&amp;Checks!$Z$128)&amp;IF(Checks!$AA$128="","",IF(Checks!$Z$128="","",CHAR(10))&amp;"CA: "&amp;Checks!$AA$128)</f>
        <v/>
      </c>
      <c r="G64" s="112" t="str">
        <f aca="false">IF(ISNUMBER(Checks!$AD$128),TEXT(Checks!$AD$128,"DD-MMM-YY HH:MM")&amp;" "&amp;Checks!$P$128,"")&amp;IF(Checks!$AE$128="","",CHAR(10)&amp;"Verifier: "&amp;Checks!$AE$128)&amp;IF(Checks!$T$128="","",CHAR(10)&amp;"PIC: "&amp;Checks!$T$128)</f>
        <v/>
      </c>
      <c r="H64" s="113" t="str">
        <f aca="false">IF(Checks!$AH$128="","",Checks!$AH$128)</f>
        <v>OPEN</v>
      </c>
    </row>
    <row r="65" customFormat="false" ht="114" hidden="false" customHeight="true" outlineLevel="0" collapsed="false">
      <c r="A65" s="112" t="str">
        <f aca="false">Checks!$A$129&amp;CHAR(10)&amp;IF(Checks!$I$129="","",Checks!$I$129&amp;": ")&amp;Checks!$J$129</f>
        <v>F04-UPL-09
F&amp;B Linen: Bread linen (using table cloth) - on board</v>
      </c>
      <c r="B65" s="112" t="str">
        <f aca="false">Checks!$K$129&amp;IF(Checks!$O$129="","",IF(Checks!$K$129="","",CHAR(10))&amp;"Note: "&amp;Checks!$O$129)</f>
        <v>Available (ticked in reference)</v>
      </c>
      <c r="C65" s="112" t="str">
        <f aca="false">Checks!$N$129&amp;CHAR(10)&amp;IF(ISNUMBER(Checks!$R$129),TEXT(Checks!$R$129,"DD-MMM-YY HH:MM"),"")&amp;" "&amp;Checks!$P$129</f>
        <v>Required
10-Oct-26 23:30 KUL</v>
      </c>
      <c r="D65" s="112" t="str">
        <f aca="false">IF(Checks!$U$129="","",Checks!$U$129)&amp;IF(Checks!$AB$129="","",CHAR(10)&amp;"CA: "&amp;Checks!$AB$129)</f>
        <v/>
      </c>
      <c r="E65" s="112" t="str">
        <f aca="false">IF(Checks!$V$129="","",Checks!$V$129)&amp;IF(Checks!$AC$129="","",IF(Checks!$V$129="","",CHAR(10))&amp;"N/A just.: "&amp;Checks!$AC$129)&amp;IF(Checks!$W$129="","",CHAR(10)&amp;"Batch: "&amp;Checks!$W$129)&amp;IF(AND(Checks!$X$129="",Checks!$Y$129=""),"",CHAR(10)&amp;"Exp: "&amp;Checks!$X$129&amp;"  /  Act: "&amp;Checks!$Y$129)</f>
        <v/>
      </c>
      <c r="F65" s="112" t="str">
        <f aca="false">IF(Checks!$Z$129="","","Evidence: "&amp;Checks!$Z$129)&amp;IF(Checks!$AA$129="","",IF(Checks!$Z$129="","",CHAR(10))&amp;"CA: "&amp;Checks!$AA$129)</f>
        <v/>
      </c>
      <c r="G65" s="112" t="str">
        <f aca="false">IF(ISNUMBER(Checks!$AD$129),TEXT(Checks!$AD$129,"DD-MMM-YY HH:MM")&amp;" "&amp;Checks!$P$129,"")&amp;IF(Checks!$AE$129="","",CHAR(10)&amp;"Verifier: "&amp;Checks!$AE$129)&amp;IF(Checks!$T$129="","",CHAR(10)&amp;"PIC: "&amp;Checks!$T$129)</f>
        <v/>
      </c>
      <c r="H65" s="113" t="str">
        <f aca="false">IF(Checks!$AH$129="","",Checks!$AH$129)</f>
        <v>OPEN</v>
      </c>
    </row>
    <row r="66" customFormat="false" ht="114" hidden="false" customHeight="true" outlineLevel="0" collapsed="false">
      <c r="A66" s="112" t="str">
        <f aca="false">Checks!$A$130&amp;CHAR(10)&amp;IF(Checks!$I$130="","",Checks!$I$130&amp;": ")&amp;Checks!$J$130</f>
        <v>F04-UPL-10
F&amp;B Linen: Trolley cloth - on board</v>
      </c>
      <c r="B66" s="112" t="str">
        <f aca="false">SUBSTITUTE(Checks!$K$130&amp;IF(Checks!$O$130="","",IF(Checks!$K$130="","",CHAR(10))&amp;"Note: "&amp;Checks!$O$130),"F&amp;B LINEN!","Ref: F&amp;B LINEN!")</f>
        <v>Wide body: Top/Middle &amp; Bottom
Note: Per note Ref: F&amp;B LINEN!B79:C80.</v>
      </c>
      <c r="C66" s="112" t="str">
        <f aca="false">Checks!$N$130&amp;CHAR(10)&amp;IF(ISNUMBER(Checks!$R$130),TEXT(Checks!$R$130,"DD-MMM-YY HH:MM"),"")&amp;" "&amp;Checks!$P$130</f>
        <v>Required
10-Oct-26 23:30 KUL</v>
      </c>
      <c r="D66" s="112" t="str">
        <f aca="false">IF(Checks!$U$130="","",Checks!$U$130)&amp;IF(Checks!$AB$130="","",CHAR(10)&amp;"CA: "&amp;Checks!$AB$130)</f>
        <v/>
      </c>
      <c r="E66" s="112" t="str">
        <f aca="false">IF(Checks!$V$130="","",Checks!$V$130)&amp;IF(Checks!$AC$130="","",IF(Checks!$V$130="","",CHAR(10))&amp;"N/A just.: "&amp;Checks!$AC$130)&amp;IF(Checks!$W$130="","",CHAR(10)&amp;"Batch: "&amp;Checks!$W$130)&amp;IF(AND(Checks!$X$130="",Checks!$Y$130=""),"",CHAR(10)&amp;"Exp: "&amp;Checks!$X$130&amp;"  /  Act: "&amp;Checks!$Y$130)</f>
        <v/>
      </c>
      <c r="F66" s="112" t="str">
        <f aca="false">IF(Checks!$Z$130="","","Evidence: "&amp;Checks!$Z$130)&amp;IF(Checks!$AA$130="","",IF(Checks!$Z$130="","",CHAR(10))&amp;"CA: "&amp;Checks!$AA$130)</f>
        <v/>
      </c>
      <c r="G66" s="112" t="str">
        <f aca="false">IF(ISNUMBER(Checks!$AD$130),TEXT(Checks!$AD$130,"DD-MMM-YY HH:MM")&amp;" "&amp;Checks!$P$130,"")&amp;IF(Checks!$AE$130="","",CHAR(10)&amp;"Verifier: "&amp;Checks!$AE$130)&amp;IF(Checks!$T$130="","",CHAR(10)&amp;"PIC: "&amp;Checks!$T$130)</f>
        <v/>
      </c>
      <c r="H66" s="113" t="str">
        <f aca="false">IF(Checks!$AH$130="","",Checks!$AH$130)</f>
        <v>OPEN</v>
      </c>
    </row>
    <row r="67" customFormat="false" ht="114" hidden="false" customHeight="true" outlineLevel="0" collapsed="false">
      <c r="A67" s="112" t="str">
        <f aca="false">Checks!$A$131&amp;CHAR(10)&amp;IF(Checks!$I$131="","",Checks!$I$131&amp;": ")&amp;Checks!$J$131</f>
        <v>F04-UPL-11
F&amp;B Linen: Linen bag - on board</v>
      </c>
      <c r="B67" s="112" t="str">
        <f aca="false">Checks!$K$131&amp;IF(Checks!$O$131="","",IF(Checks!$K$131="","",CHAR(10))&amp;"Note: "&amp;Checks!$O$131)</f>
        <v>Available (ticked in reference)</v>
      </c>
      <c r="C67" s="112" t="str">
        <f aca="false">Checks!$N$131&amp;CHAR(10)&amp;IF(ISNUMBER(Checks!$R$131),TEXT(Checks!$R$131,"DD-MMM-YY HH:MM"),"")&amp;" "&amp;Checks!$P$131</f>
        <v>Required
10-Oct-26 23:30 KUL</v>
      </c>
      <c r="D67" s="112" t="str">
        <f aca="false">IF(Checks!$U$131="","",Checks!$U$131)&amp;IF(Checks!$AB$131="","",CHAR(10)&amp;"CA: "&amp;Checks!$AB$131)</f>
        <v/>
      </c>
      <c r="E67" s="112" t="str">
        <f aca="false">IF(Checks!$V$131="","",Checks!$V$131)&amp;IF(Checks!$AC$131="","",IF(Checks!$V$131="","",CHAR(10))&amp;"N/A just.: "&amp;Checks!$AC$131)&amp;IF(Checks!$W$131="","",CHAR(10)&amp;"Batch: "&amp;Checks!$W$131)&amp;IF(AND(Checks!$X$131="",Checks!$Y$131=""),"",CHAR(10)&amp;"Exp: "&amp;Checks!$X$131&amp;"  /  Act: "&amp;Checks!$Y$131)</f>
        <v/>
      </c>
      <c r="F67" s="112" t="str">
        <f aca="false">IF(Checks!$Z$131="","","Evidence: "&amp;Checks!$Z$131)&amp;IF(Checks!$AA$131="","",IF(Checks!$Z$131="","",CHAR(10))&amp;"CA: "&amp;Checks!$AA$131)</f>
        <v/>
      </c>
      <c r="G67" s="112" t="str">
        <f aca="false">IF(ISNUMBER(Checks!$AD$131),TEXT(Checks!$AD$131,"DD-MMM-YY HH:MM")&amp;" "&amp;Checks!$P$131,"")&amp;IF(Checks!$AE$131="","",CHAR(10)&amp;"Verifier: "&amp;Checks!$AE$131)&amp;IF(Checks!$T$131="","",CHAR(10)&amp;"PIC: "&amp;Checks!$T$131)</f>
        <v/>
      </c>
      <c r="H67" s="113" t="str">
        <f aca="false">IF(Checks!$AH$131="","",Checks!$AH$131)</f>
        <v>OPEN</v>
      </c>
    </row>
    <row r="68" customFormat="false" ht="114" hidden="false" customHeight="true" outlineLevel="0" collapsed="false">
      <c r="A68" s="112" t="str">
        <f aca="false">Checks!$A$132&amp;CHAR(10)&amp;IF(Checks!$I$132="","",Checks!$I$132&amp;": ")&amp;Checks!$J$132</f>
        <v>F04-UPL-12
Seat Linen: Seat pillow (BS &amp; BC) - on board</v>
      </c>
      <c r="B68" s="112" t="str">
        <f aca="false">Checks!$K$132&amp;IF(Checks!$O$132="","",IF(Checks!$K$132="","",CHAR(10))&amp;"Note: "&amp;Checks!$O$132)</f>
        <v>Available 100% (ticked in reference)</v>
      </c>
      <c r="C68" s="112" t="str">
        <f aca="false">Checks!$N$132&amp;CHAR(10)&amp;IF(ISNUMBER(Checks!$R$132),TEXT(Checks!$R$132,"DD-MMM-YY HH:MM"),"")&amp;" "&amp;Checks!$P$132</f>
        <v>Required
10-Oct-26 23:30 KUL</v>
      </c>
      <c r="D68" s="112" t="str">
        <f aca="false">IF(Checks!$U$132="","",Checks!$U$132)&amp;IF(Checks!$AB$132="","",CHAR(10)&amp;"CA: "&amp;Checks!$AB$132)</f>
        <v/>
      </c>
      <c r="E68" s="112" t="str">
        <f aca="false">IF(Checks!$V$132="","",Checks!$V$132)&amp;IF(Checks!$AC$132="","",IF(Checks!$V$132="","",CHAR(10))&amp;"N/A just.: "&amp;Checks!$AC$132)&amp;IF(Checks!$W$132="","",CHAR(10)&amp;"Batch: "&amp;Checks!$W$132)&amp;IF(AND(Checks!$X$132="",Checks!$Y$132=""),"",CHAR(10)&amp;"Exp: "&amp;Checks!$X$132&amp;"  /  Act: "&amp;Checks!$Y$132)</f>
        <v/>
      </c>
      <c r="F68" s="112" t="str">
        <f aca="false">IF(Checks!$Z$132="","","Evidence: "&amp;Checks!$Z$132)&amp;IF(Checks!$AA$132="","",IF(Checks!$Z$132="","",CHAR(10))&amp;"CA: "&amp;Checks!$AA$132)</f>
        <v/>
      </c>
      <c r="G68" s="112" t="str">
        <f aca="false">IF(ISNUMBER(Checks!$AD$132),TEXT(Checks!$AD$132,"DD-MMM-YY HH:MM")&amp;" "&amp;Checks!$P$132,"")&amp;IF(Checks!$AE$132="","",CHAR(10)&amp;"Verifier: "&amp;Checks!$AE$132)&amp;IF(Checks!$T$132="","",CHAR(10)&amp;"PIC: "&amp;Checks!$T$132)</f>
        <v/>
      </c>
      <c r="H68" s="113" t="str">
        <f aca="false">IF(Checks!$AH$132="","",Checks!$AH$132)</f>
        <v>OPEN</v>
      </c>
    </row>
    <row r="69" customFormat="false" ht="114" hidden="false" customHeight="true" outlineLevel="0" collapsed="false">
      <c r="A69" s="112" t="str">
        <f aca="false">Checks!$A$133&amp;CHAR(10)&amp;IF(Checks!$I$133="","",Checks!$I$133&amp;": ")&amp;Checks!$J$133</f>
        <v>F04-UPL-13
Seat Linen: Duvet (BS &amp; BC) - on board</v>
      </c>
      <c r="B69" s="112" t="str">
        <f aca="false">Checks!$K$133&amp;IF(Checks!$O$133="","",IF(Checks!$K$133="","",CHAR(10))&amp;"Note: "&amp;Checks!$O$133)</f>
        <v>Available 100% (ticked in reference)</v>
      </c>
      <c r="C69" s="112" t="str">
        <f aca="false">Checks!$N$133&amp;CHAR(10)&amp;IF(ISNUMBER(Checks!$R$133),TEXT(Checks!$R$133,"DD-MMM-YY HH:MM"),"")&amp;" "&amp;Checks!$P$133</f>
        <v>Required
10-Oct-26 23:30 KUL</v>
      </c>
      <c r="D69" s="112" t="str">
        <f aca="false">IF(Checks!$U$133="","",Checks!$U$133)&amp;IF(Checks!$AB$133="","",CHAR(10)&amp;"CA: "&amp;Checks!$AB$133)</f>
        <v/>
      </c>
      <c r="E69" s="112" t="str">
        <f aca="false">IF(Checks!$V$133="","",Checks!$V$133)&amp;IF(Checks!$AC$133="","",IF(Checks!$V$133="","",CHAR(10))&amp;"N/A just.: "&amp;Checks!$AC$133)&amp;IF(Checks!$W$133="","",CHAR(10)&amp;"Batch: "&amp;Checks!$W$133)&amp;IF(AND(Checks!$X$133="",Checks!$Y$133=""),"",CHAR(10)&amp;"Exp: "&amp;Checks!$X$133&amp;"  /  Act: "&amp;Checks!$Y$133)</f>
        <v/>
      </c>
      <c r="F69" s="112" t="str">
        <f aca="false">IF(Checks!$Z$133="","","Evidence: "&amp;Checks!$Z$133)&amp;IF(Checks!$AA$133="","",IF(Checks!$Z$133="","",CHAR(10))&amp;"CA: "&amp;Checks!$AA$133)</f>
        <v/>
      </c>
      <c r="G69" s="112" t="str">
        <f aca="false">IF(ISNUMBER(Checks!$AD$133),TEXT(Checks!$AD$133,"DD-MMM-YY HH:MM")&amp;" "&amp;Checks!$P$133,"")&amp;IF(Checks!$AE$133="","",CHAR(10)&amp;"Verifier: "&amp;Checks!$AE$133)&amp;IF(Checks!$T$133="","",CHAR(10)&amp;"PIC: "&amp;Checks!$T$133)</f>
        <v/>
      </c>
      <c r="H69" s="113" t="str">
        <f aca="false">IF(Checks!$AH$133="","",Checks!$AH$133)</f>
        <v>OPEN</v>
      </c>
    </row>
    <row r="70" customFormat="false" ht="114" hidden="false" customHeight="true" outlineLevel="0" collapsed="false">
      <c r="A70" s="112" t="str">
        <f aca="false">Checks!$A$134&amp;CHAR(10)&amp;IF(Checks!$I$134="","",Checks!$I$134&amp;": ")&amp;Checks!$J$134</f>
        <v>F04-UPL-14
Seat Linen: Mattress (BS &amp; BC) - on board</v>
      </c>
      <c r="B70" s="112" t="str">
        <f aca="false">Checks!$K$134&amp;IF(Checks!$O$134="","",IF(Checks!$K$134="","",CHAR(10))&amp;"Note: "&amp;Checks!$O$134)</f>
        <v>Available 100% (ticked in reference)</v>
      </c>
      <c r="C70" s="112" t="str">
        <f aca="false">Checks!$N$134&amp;CHAR(10)&amp;IF(ISNUMBER(Checks!$R$134),TEXT(Checks!$R$134,"DD-MMM-YY HH:MM"),"")&amp;" "&amp;Checks!$P$134</f>
        <v>Required
10-Oct-26 23:30 KUL</v>
      </c>
      <c r="D70" s="112" t="str">
        <f aca="false">IF(Checks!$U$134="","",Checks!$U$134)&amp;IF(Checks!$AB$134="","",CHAR(10)&amp;"CA: "&amp;Checks!$AB$134)</f>
        <v/>
      </c>
      <c r="E70" s="112" t="str">
        <f aca="false">IF(Checks!$V$134="","",Checks!$V$134)&amp;IF(Checks!$AC$134="","",IF(Checks!$V$134="","",CHAR(10))&amp;"N/A just.: "&amp;Checks!$AC$134)&amp;IF(Checks!$W$134="","",CHAR(10)&amp;"Batch: "&amp;Checks!$W$134)&amp;IF(AND(Checks!$X$134="",Checks!$Y$134=""),"",CHAR(10)&amp;"Exp: "&amp;Checks!$X$134&amp;"  /  Act: "&amp;Checks!$Y$134)</f>
        <v/>
      </c>
      <c r="F70" s="112" t="str">
        <f aca="false">IF(Checks!$Z$134="","","Evidence: "&amp;Checks!$Z$134)&amp;IF(Checks!$AA$134="","",IF(Checks!$Z$134="","",CHAR(10))&amp;"CA: "&amp;Checks!$AA$134)</f>
        <v/>
      </c>
      <c r="G70" s="112" t="str">
        <f aca="false">IF(ISNUMBER(Checks!$AD$134),TEXT(Checks!$AD$134,"DD-MMM-YY HH:MM")&amp;" "&amp;Checks!$P$134,"")&amp;IF(Checks!$AE$134="","",CHAR(10)&amp;"Verifier: "&amp;Checks!$AE$134)&amp;IF(Checks!$T$134="","",CHAR(10)&amp;"PIC: "&amp;Checks!$T$134)</f>
        <v/>
      </c>
      <c r="H70" s="113" t="str">
        <f aca="false">IF(Checks!$AH$134="","",Checks!$AH$134)</f>
        <v>OPEN</v>
      </c>
    </row>
    <row r="71" customFormat="false" ht="114" hidden="false" customHeight="true" outlineLevel="0" collapsed="false">
      <c r="A71" s="112" t="str">
        <f aca="false">Checks!$A$135&amp;CHAR(10)&amp;IF(Checks!$I$135="","",Checks!$I$135&amp;": ")&amp;Checks!$J$135</f>
        <v>F04-UPL-15
Signature Drinks: Signature drink &amp; garnish (BC) - on board</v>
      </c>
      <c r="B71" s="112" t="str">
        <f aca="false">Checks!$K$135&amp;IF(Checks!$O$135="","",IF(Checks!$K$135="","",CHAR(10))&amp;"Note: "&amp;Checks!$O$135)</f>
        <v>Available (ticked in reference)
Note: Signature drinks &amp; garnish uplifted from KUL (note D79).</v>
      </c>
      <c r="C71" s="112" t="str">
        <f aca="false">Checks!$N$135&amp;CHAR(10)&amp;IF(ISNUMBER(Checks!$R$135),TEXT(Checks!$R$135,"DD-MMM-YY HH:MM"),"")&amp;" "&amp;Checks!$P$135</f>
        <v>Required
10-Oct-26 23:30 KUL</v>
      </c>
      <c r="D71" s="112" t="str">
        <f aca="false">IF(Checks!$U$135="","",Checks!$U$135)&amp;IF(Checks!$AB$135="","",CHAR(10)&amp;"CA: "&amp;Checks!$AB$135)</f>
        <v/>
      </c>
      <c r="E71" s="112" t="str">
        <f aca="false">IF(Checks!$V$135="","",Checks!$V$135)&amp;IF(Checks!$AC$135="","",IF(Checks!$V$135="","",CHAR(10))&amp;"N/A just.: "&amp;Checks!$AC$135)&amp;IF(Checks!$W$135="","",CHAR(10)&amp;"Batch: "&amp;Checks!$W$135)&amp;IF(AND(Checks!$X$135="",Checks!$Y$135=""),"",CHAR(10)&amp;"Exp: "&amp;Checks!$X$135&amp;"  /  Act: "&amp;Checks!$Y$135)</f>
        <v/>
      </c>
      <c r="F71" s="112" t="str">
        <f aca="false">IF(Checks!$Z$135="","","Evidence: "&amp;Checks!$Z$135)&amp;IF(Checks!$AA$135="","",IF(Checks!$Z$135="","",CHAR(10))&amp;"CA: "&amp;Checks!$AA$135)</f>
        <v/>
      </c>
      <c r="G71" s="112" t="str">
        <f aca="false">IF(ISNUMBER(Checks!$AD$135),TEXT(Checks!$AD$135,"DD-MMM-YY HH:MM")&amp;" "&amp;Checks!$P$135,"")&amp;IF(Checks!$AE$135="","",CHAR(10)&amp;"Verifier: "&amp;Checks!$AE$135)&amp;IF(Checks!$T$135="","",CHAR(10)&amp;"PIC: "&amp;Checks!$T$135)</f>
        <v/>
      </c>
      <c r="H71" s="113" t="str">
        <f aca="false">IF(Checks!$AH$135="","",Checks!$AH$135)</f>
        <v>OPEN</v>
      </c>
    </row>
    <row r="72" customFormat="false" ht="114" hidden="false" customHeight="true" outlineLevel="0" collapsed="false">
      <c r="A72" s="112" t="str">
        <f aca="false">Checks!$A$136&amp;CHAR(10)&amp;IF(Checks!$I$136="","",Checks!$I$136&amp;": ")&amp;Checks!$J$136</f>
        <v>F04-UPL-16
Sales Cart: Sales cart (caterer PASB) - on board</v>
      </c>
      <c r="B72" s="112" t="str">
        <f aca="false">Checks!$K$136&amp;IF(Checks!$O$136="","",IF(Checks!$K$136="","",CHAR(10))&amp;"Note: "&amp;Checks!$O$136)</f>
        <v>A359: 5R41A &amp; 5R42A (not applicable for LHR) (full cart); 9M-MAH: G4F13A (half cart) - per tail
Note: Block 7.17 h &gt;= 4 h. Location depends on tail.</v>
      </c>
      <c r="C72" s="112" t="str">
        <f aca="false">Checks!$N$136&amp;CHAR(10)&amp;IF(ISNUMBER(Checks!$R$136),TEXT(Checks!$R$136,"DD-MMM-YY HH:MM"),"")&amp;" "&amp;Checks!$P$136</f>
        <v>Required
10-Oct-26 23:30 KUL</v>
      </c>
      <c r="D72" s="112" t="str">
        <f aca="false">IF(Checks!$U$136="","",Checks!$U$136)&amp;IF(Checks!$AB$136="","",CHAR(10)&amp;"CA: "&amp;Checks!$AB$136)</f>
        <v/>
      </c>
      <c r="E72" s="112" t="str">
        <f aca="false">IF(Checks!$V$136="","",Checks!$V$136)&amp;IF(Checks!$AC$136="","",IF(Checks!$V$136="","",CHAR(10))&amp;"N/A just.: "&amp;Checks!$AC$136)&amp;IF(Checks!$W$136="","",CHAR(10)&amp;"Batch: "&amp;Checks!$W$136)&amp;IF(AND(Checks!$X$136="",Checks!$Y$136=""),"",CHAR(10)&amp;"Exp: "&amp;Checks!$X$136&amp;"  /  Act: "&amp;Checks!$Y$136)</f>
        <v/>
      </c>
      <c r="F72" s="112" t="str">
        <f aca="false">IF(Checks!$Z$136="","","Evidence: "&amp;Checks!$Z$136)&amp;IF(Checks!$AA$136="","",IF(Checks!$Z$136="","",CHAR(10))&amp;"CA: "&amp;Checks!$AA$136)</f>
        <v/>
      </c>
      <c r="G72" s="112" t="str">
        <f aca="false">IF(ISNUMBER(Checks!$AD$136),TEXT(Checks!$AD$136,"DD-MMM-YY HH:MM")&amp;" "&amp;Checks!$P$136,"")&amp;IF(Checks!$AE$136="","",CHAR(10)&amp;"Verifier: "&amp;Checks!$AE$136)&amp;IF(Checks!$T$136="","",CHAR(10)&amp;"PIC: "&amp;Checks!$T$136)</f>
        <v/>
      </c>
      <c r="H72" s="113" t="str">
        <f aca="false">IF(Checks!$AH$136="","",Checks!$AH$136)</f>
        <v>OPEN</v>
      </c>
    </row>
    <row r="74" customFormat="false" ht="24" hidden="false" customHeight="true" outlineLevel="0" collapsed="false">
      <c r="A74" s="114" t="s">
        <v>1647</v>
      </c>
      <c r="B74" s="114"/>
      <c r="C74" s="114"/>
      <c r="D74" s="114"/>
      <c r="E74" s="114" t="s">
        <v>1648</v>
      </c>
      <c r="F74" s="114"/>
      <c r="G74" s="114"/>
      <c r="H74" s="114"/>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row r="83" customFormat="false" ht="21.75" hidden="false" customHeight="true" outlineLevel="0" collapsed="false">
      <c r="A83" s="115"/>
      <c r="B83" s="115"/>
      <c r="C83" s="115"/>
      <c r="D83" s="115"/>
      <c r="E83" s="115"/>
      <c r="F83" s="115"/>
      <c r="G83" s="115"/>
      <c r="H83" s="115"/>
    </row>
    <row r="84" customFormat="false" ht="21.75" hidden="false" customHeight="true" outlineLevel="0" collapsed="false">
      <c r="A84" s="115"/>
      <c r="B84" s="115"/>
      <c r="C84" s="115"/>
      <c r="D84" s="115"/>
      <c r="E84" s="115"/>
      <c r="F84" s="115"/>
      <c r="G84" s="115"/>
      <c r="H84"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F05  "&amp;Flights!$F$9&amp;"  "&amp;TEXT(Flights!$D$9,"DD-MMM-YY")&amp;" ("&amp;Flights!$E$9&amp;")  "&amp;Flights!$G$9&amp;" → "&amp;Flights!$H$9&amp;"  |  Class "&amp;Flights!$K$9</f>
        <v>SKYTRAX 2026 CATERING READINESS CHECKLIST  |  F05  MH0089  15-Oct-26 (THU)  NRT → KUL  |  Class EY</v>
      </c>
      <c r="B1" s="90"/>
      <c r="C1" s="90"/>
      <c r="D1" s="90"/>
      <c r="E1" s="90"/>
      <c r="F1" s="90"/>
      <c r="G1" s="90"/>
      <c r="H1" s="90"/>
    </row>
    <row r="2" customFormat="false" ht="12.75" hidden="false" customHeight="true" outlineLevel="0" collapsed="false">
      <c r="A2" s="91" t="s">
        <v>1602</v>
      </c>
      <c r="B2" s="92" t="str">
        <f aca="false">Flights!$F$9&amp;"   "&amp;TEXT(Flights!$D$9,"DD-MMM-YY")&amp;" ("&amp;Flights!$E$9&amp;")"</f>
        <v>MH0089   15-Oct-26 (THU)</v>
      </c>
      <c r="C2" s="92"/>
      <c r="D2" s="92"/>
      <c r="E2" s="93" t="s">
        <v>1603</v>
      </c>
      <c r="F2" s="94" t="str">
        <f aca="false">Flights!$AT$9</f>
        <v>NOT READY – DOCUMENTS</v>
      </c>
      <c r="G2" s="94"/>
      <c r="H2" s="94"/>
    </row>
    <row r="3" customFormat="false" ht="24" hidden="false" customHeight="true" outlineLevel="0" collapsed="false">
      <c r="A3" s="91" t="s">
        <v>1604</v>
      </c>
      <c r="B3" s="92" t="str">
        <f aca="false">Flights!$G$9&amp;" → "&amp;Flights!$H$9&amp;"   Class "&amp;Flights!$K$9&amp;"   Seat "&amp;Flights!$O$9</f>
        <v>NRT → KUL   Class EY   Seat 9K</v>
      </c>
      <c r="C3" s="92"/>
      <c r="D3" s="92"/>
      <c r="E3" s="93" t="s">
        <v>66</v>
      </c>
      <c r="F3" s="93" t="s">
        <v>1605</v>
      </c>
      <c r="G3" s="93" t="s">
        <v>1606</v>
      </c>
      <c r="H3" s="93"/>
    </row>
    <row r="4" customFormat="false" ht="24" hidden="false" customHeight="true" outlineLevel="0" collapsed="false">
      <c r="A4" s="91" t="s">
        <v>1607</v>
      </c>
      <c r="B4" s="92" t="str">
        <f aca="false">IF(ISNUMBER(Flights!$I$9),TEXT(Flights!$I$9,"DD-MMM-YY HH:MM"),"")&amp;" "&amp;Flights!$G$9&amp;"  →  "&amp;IF(ISNUMBER(Flights!$J$9),TEXT(Flights!$J$9,"DD-MMM-YY HH:MM"),"")&amp;" "&amp;Flights!$H$9</f>
        <v>15-Oct-26 10:05 NRT  →  15-Oct-26 16:45 KUL</v>
      </c>
      <c r="C4" s="92"/>
      <c r="D4" s="92"/>
      <c r="E4" s="91" t="s">
        <v>1608</v>
      </c>
      <c r="F4" s="95" t="str">
        <f aca="false">IF(ISNUMBER(Flights!$AG$9),TEXT(Flights!$AG$9,"DD-MMM-YY HH:MM"),"")&amp;" "&amp;Flights!$V$9</f>
        <v>08-Oct-26 10:05 NRT</v>
      </c>
      <c r="G4" s="96" t="n">
        <f aca="false">Flights!$AJ$9</f>
        <v>0</v>
      </c>
      <c r="H4" s="96"/>
    </row>
    <row r="5" customFormat="false" ht="24" hidden="false" customHeight="true" outlineLevel="0" collapsed="false">
      <c r="A5" s="91" t="s">
        <v>1609</v>
      </c>
      <c r="B5" s="92" t="str">
        <f aca="false">Flights!$L$9&amp;" – "&amp;Flights!$M$9</f>
        <v>A350 – A350-900: A359 (9M-MAB..MAG, row 6) or A350 9M-MAH (row 7) - tail to confirm</v>
      </c>
      <c r="C5" s="92"/>
      <c r="D5" s="92"/>
      <c r="E5" s="91" t="s">
        <v>1610</v>
      </c>
      <c r="F5" s="95" t="str">
        <f aca="false">IF(ISNUMBER(Flights!$AH$9),TEXT(Flights!$AH$9,"DD-MMM-YY HH:MM"),"")&amp;" "&amp;Flights!$V$9</f>
        <v>14-Oct-26 10:05 NRT</v>
      </c>
      <c r="G5" s="96" t="n">
        <f aca="false">Flights!$AK$9</f>
        <v>0</v>
      </c>
      <c r="H5" s="96"/>
    </row>
    <row r="6" customFormat="false" ht="24" hidden="false" customHeight="true" outlineLevel="0" collapsed="false">
      <c r="A6" s="91" t="s">
        <v>1611</v>
      </c>
      <c r="B6" s="92" t="str">
        <f aca="false">IF(TRIM(Flights!$N$9)="","__________________",Flights!$N$9)</f>
        <v>__________________</v>
      </c>
      <c r="C6" s="92"/>
      <c r="D6" s="92"/>
      <c r="E6" s="91" t="s">
        <v>1612</v>
      </c>
      <c r="F6" s="95" t="str">
        <f aca="false">IF(ISNUMBER(Flights!$AI$9),TEXT(Flights!$AI$9,"DD-MMM-YY HH:MM"),"")&amp;" "&amp;Flights!$V$9&amp;IF(Flights!$AI$9=Flights!$AH$9,"  (= T-24H due)","")</f>
        <v>14-Oct-26 22:05 NRT</v>
      </c>
      <c r="G6" s="96" t="n">
        <f aca="false">Flights!$AL$9</f>
        <v>0</v>
      </c>
      <c r="H6" s="96"/>
    </row>
    <row r="7" customFormat="false" ht="24" hidden="false" customHeight="true" outlineLevel="0" collapsed="false">
      <c r="A7" s="91" t="s">
        <v>1613</v>
      </c>
      <c r="B7" s="92" t="str">
        <f aca="false">Flights!$T$9</f>
        <v>1.5 Meal (Meal)</v>
      </c>
      <c r="C7" s="92"/>
      <c r="D7" s="92"/>
      <c r="E7" s="91" t="s">
        <v>1614</v>
      </c>
      <c r="F7" s="95" t="str">
        <f aca="false">"STD "&amp;IF(ISNUMBER(Flights!$I$9),TEXT(Flights!$I$9,"DD-MMM-YY HH:MM"),"")&amp;" "&amp;Flights!$G$9&amp;" (dep stn)"</f>
        <v>STD 15-Oct-26 10:05 NRT (dep stn)</v>
      </c>
      <c r="G7" s="96" t="n">
        <f aca="false">Flights!$AM$9</f>
        <v>0</v>
      </c>
      <c r="H7" s="96"/>
    </row>
    <row r="8" customFormat="false" ht="12.75" hidden="false" customHeight="true" outlineLevel="0" collapsed="false">
      <c r="A8" s="91" t="s">
        <v>148</v>
      </c>
      <c r="B8" s="92" t="str">
        <f aca="false">Flights!$V$9&amp;"   (reference uplift stns: "&amp;Flights!$U$9&amp;")"</f>
        <v>NRT   (reference uplift stns: KUL/NRT)</v>
      </c>
      <c r="C8" s="92"/>
      <c r="D8" s="92"/>
      <c r="E8" s="91" t="s">
        <v>1615</v>
      </c>
      <c r="F8" s="97" t="s">
        <v>1616</v>
      </c>
      <c r="G8" s="96" t="n">
        <f aca="false">Flights!$AN$9</f>
        <v>0</v>
      </c>
      <c r="H8" s="96"/>
    </row>
    <row r="9" customFormat="false" ht="12.75" hidden="false" customHeight="true" outlineLevel="0" collapsed="false">
      <c r="A9" s="91" t="s">
        <v>1617</v>
      </c>
      <c r="B9" s="92" t="str">
        <f aca="false">TRIM(Flights!$P$9&amp;"  "&amp;Flights!$Q$9)</f>
        <v>-</v>
      </c>
      <c r="C9" s="92"/>
      <c r="D9" s="92"/>
      <c r="E9" s="91" t="s">
        <v>1618</v>
      </c>
      <c r="F9" s="98" t="n">
        <f aca="false">Flights!$AP$9</f>
        <v>0</v>
      </c>
      <c r="G9" s="98" t="n">
        <f aca="false">Flights!$AQ$9</f>
        <v>0</v>
      </c>
      <c r="H9" s="98" t="n">
        <f aca="false">Flights!$AU$9</f>
        <v>0</v>
      </c>
    </row>
    <row r="10" customFormat="false" ht="24" hidden="false" customHeight="true" outlineLevel="0" collapsed="false">
      <c r="A10" s="91" t="s">
        <v>1619</v>
      </c>
      <c r="B10" s="92" t="str">
        <f aca="false">IF(TRIM(Flights!$X$9)="","__________________",Flights!$X$9)</f>
        <v>__________________</v>
      </c>
      <c r="C10" s="92"/>
      <c r="D10" s="92"/>
      <c r="E10" s="91" t="s">
        <v>1620</v>
      </c>
      <c r="F10" s="98" t="n">
        <f aca="false">Flights!$AO$9</f>
        <v>28</v>
      </c>
      <c r="G10" s="98" t="n">
        <f aca="false">Flights!$AS$9</f>
        <v>5</v>
      </c>
      <c r="H10" s="98" t="n">
        <f aca="false">Flights!$AR$9</f>
        <v>2</v>
      </c>
    </row>
    <row r="11" customFormat="false" ht="21" hidden="false" customHeight="true" outlineLevel="0" collapsed="false">
      <c r="A11" s="91" t="s">
        <v>1621</v>
      </c>
      <c r="B11" s="92" t="str">
        <f aca="false">IF(TRIM(Flights!$Y$9)="","__________________",Flights!$Y$9)</f>
        <v>__________________</v>
      </c>
      <c r="C11" s="92"/>
      <c r="D11" s="92"/>
      <c r="E11" s="91" t="s">
        <v>1622</v>
      </c>
      <c r="F11" s="98" t="str">
        <f aca="false">Flights!$AV$9&amp;" / "&amp;Flights!$AW$9</f>
        <v>0 / 28</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45.75" hidden="false" customHeight="true" outlineLevel="0" collapsed="false">
      <c r="A13" s="116" t="str">
        <f aca="false">"KUL-SOURCED ITEMS: some items for this flight are uplifted at KUL on an inbound carrying flight (identify it in the clarification check). Their preparation is capped at the KUL loading window."&amp;CHAR(10)&amp;"Prep must be complete by (loading window opens):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 (estimated – enter actual on Flights AX)")</f>
        <v>KUL-SOURCED ITEMS: some items for this flight are uplifted at KUL on an inbound carrying flight (identify it in the clarification check). Their preparation is capped at the KUL loading window.
Prep must be complete by (loading window opens): 10-Oct-26 17:30 KUL   |   Carrying flight KUL departure (loading confirmed by): 10-Oct-26 23:30 KUL (estimated – enter actual on Flights AX)</v>
      </c>
      <c r="B13" s="116"/>
      <c r="C13" s="116"/>
      <c r="D13" s="116"/>
      <c r="E13" s="116"/>
      <c r="F13" s="116"/>
      <c r="G13" s="116"/>
      <c r="H13" s="116"/>
    </row>
    <row r="14" customFormat="false" ht="13.5" hidden="false" customHeight="true" outlineLevel="0" collapsed="false">
      <c r="A14" s="93" t="s">
        <v>1627</v>
      </c>
      <c r="B14" s="93" t="s">
        <v>1628</v>
      </c>
      <c r="C14" s="93" t="s">
        <v>1629</v>
      </c>
      <c r="D14" s="93"/>
      <c r="E14" s="93" t="s">
        <v>1630</v>
      </c>
      <c r="F14" s="93" t="s">
        <v>1631</v>
      </c>
      <c r="G14" s="93"/>
      <c r="H14" s="93"/>
    </row>
    <row r="15" customFormat="false" ht="36" hidden="false" customHeight="true" outlineLevel="0" collapsed="false">
      <c r="A15" s="91" t="s">
        <v>1632</v>
      </c>
      <c r="B15" s="92" t="str">
        <f aca="false">IF(Documents!$F$9="","",Documents!$F$9)</f>
        <v/>
      </c>
      <c r="C15" s="97" t="str">
        <f aca="false">IF(Documents!$G$9="","",Documents!$G$9)&amp;IF(ISNUMBER(Documents!$H$9),"  "&amp;TEXT(Documents!$H$9,"DD-MMM-YY"),"")</f>
        <v/>
      </c>
      <c r="D15" s="97"/>
      <c r="E15" s="105" t="str">
        <f aca="false">IF(Documents!$J$9="OUTSTANDING","OUTSTANDING – attach before T-7D (due "&amp;IF(ISNUMBER(Flights!$AG$9),TEXT(Flights!$AG$9,"DD-MMM-YY HH:MM"),"")&amp;" "&amp;Flights!$V$9&amp;")",IF(Documents!$J$9="","Status not recorded",Documents!$J$9))</f>
        <v>OUTSTANDING – attach before T-7D (due 08-Oct-26 10:05 NRT)</v>
      </c>
      <c r="F15" s="106" t="str">
        <f aca="false">"Staple behind this sheet as page A1."&amp;IF(Documents!$I$9="",""," Location: "&amp;Documents!$I$9)</f>
        <v>Staple behind this sheet as page A1.</v>
      </c>
      <c r="G15" s="106"/>
      <c r="H15" s="106"/>
    </row>
    <row r="16" customFormat="false" ht="36" hidden="false" customHeight="true" outlineLevel="0" collapsed="false">
      <c r="A16" s="91" t="s">
        <v>1633</v>
      </c>
      <c r="B16" s="92" t="str">
        <f aca="false">IF(Documents!$K$9="","",Documents!$K$9)</f>
        <v/>
      </c>
      <c r="C16" s="97" t="str">
        <f aca="false">IF(Documents!$L$9="","",Documents!$L$9)&amp;IF(ISNUMBER(Documents!$M$9),"  "&amp;TEXT(Documents!$M$9,"DD-MMM-YY"),"")</f>
        <v/>
      </c>
      <c r="D16" s="97"/>
      <c r="E16" s="105" t="str">
        <f aca="false">IF(Documents!$O$9="OUTSTANDING","OUTSTANDING – attach before T-7D (due "&amp;IF(ISNUMBER(Flights!$AG$9),TEXT(Flights!$AG$9,"DD-MMM-YY HH:MM"),"")&amp;" "&amp;Flights!$V$9&amp;")",IF(Documents!$O$9="","Status not recorded",Documents!$O$9))</f>
        <v>OUTSTANDING – attach before T-7D (due 08-Oct-26 10:05 NRT)</v>
      </c>
      <c r="F16" s="106" t="str">
        <f aca="false">"Staple behind this sheet as page A2."&amp;IF(Documents!$N$9="",""," Location: "&amp;Documents!$N$9)</f>
        <v>Staple behind this sheet as page A2.</v>
      </c>
      <c r="G16" s="106"/>
      <c r="H16" s="106"/>
    </row>
    <row r="17" customFormat="false" ht="22.5" hidden="false" customHeight="true" outlineLevel="0" collapsed="false">
      <c r="A17" s="91" t="s">
        <v>1634</v>
      </c>
      <c r="B17" s="107" t="str">
        <f aca="false">IF(Documents!$Q$9="","",Documents!$Q$9)</f>
        <v>Not supplied with brief – obtain from caterer / MAGCS.</v>
      </c>
      <c r="C17" s="107"/>
      <c r="D17" s="107"/>
      <c r="E17" s="107"/>
      <c r="F17" s="107"/>
      <c r="G17" s="107"/>
      <c r="H17" s="107"/>
    </row>
    <row r="18" customFormat="false" ht="13.5" hidden="false" customHeight="true" outlineLevel="0" collapsed="false">
      <c r="A18" s="108" t="s">
        <v>1635</v>
      </c>
      <c r="B18" s="108"/>
      <c r="C18" s="108" t="s">
        <v>1636</v>
      </c>
      <c r="D18" s="108"/>
      <c r="E18" s="108"/>
      <c r="F18" s="108" t="s">
        <v>1637</v>
      </c>
      <c r="G18" s="108"/>
      <c r="H18" s="108"/>
    </row>
    <row r="19" customFormat="false" ht="18" hidden="false" customHeight="true" outlineLevel="0" collapsed="false">
      <c r="A19" s="92" t="str">
        <f aca="false">"Name: "&amp;IF(TRIM(Flights!$Y$9)="","__________________",Flights!$Y$9)</f>
        <v>Name: __________________</v>
      </c>
      <c r="B19" s="92"/>
      <c r="C19" s="92" t="str">
        <f aca="false">"Name: __________________"</f>
        <v>Name: __________________</v>
      </c>
      <c r="D19" s="92"/>
      <c r="E19" s="92"/>
      <c r="F19" s="92" t="str">
        <f aca="false">"Name: __________________"&amp;"   Station: "&amp;Flights!$V$9</f>
        <v>Name: __________________   Station: NRT</v>
      </c>
      <c r="G19" s="92"/>
      <c r="H19" s="92"/>
    </row>
    <row r="20" customFormat="false" ht="30" hidden="false" customHeight="true" outlineLevel="0" collapsed="false">
      <c r="A20" s="109" t="s">
        <v>1638</v>
      </c>
      <c r="B20" s="109"/>
      <c r="C20" s="109" t="s">
        <v>1638</v>
      </c>
      <c r="D20" s="109"/>
      <c r="E20" s="109"/>
      <c r="F20" s="109" t="s">
        <v>1638</v>
      </c>
      <c r="G20" s="109"/>
      <c r="H20" s="109"/>
    </row>
    <row r="21" customFormat="false" ht="13.5" hidden="false" customHeight="true" outlineLevel="0" collapsed="false">
      <c r="A21" s="110" t="s">
        <v>1639</v>
      </c>
      <c r="B21" s="110"/>
      <c r="C21" s="110"/>
      <c r="D21" s="110"/>
      <c r="E21" s="110"/>
      <c r="F21" s="110"/>
      <c r="G21" s="110"/>
      <c r="H21" s="110"/>
    </row>
    <row r="22" customFormat="false" ht="24" hidden="false" customHeight="true" outlineLevel="0" collapsed="false">
      <c r="A22" s="93" t="s">
        <v>1640</v>
      </c>
      <c r="B22" s="93" t="s">
        <v>1641</v>
      </c>
      <c r="C22" s="93" t="s">
        <v>1642</v>
      </c>
      <c r="D22" s="93" t="s">
        <v>1643</v>
      </c>
      <c r="E22" s="93" t="s">
        <v>1644</v>
      </c>
      <c r="F22" s="93" t="s">
        <v>1645</v>
      </c>
      <c r="G22" s="93" t="s">
        <v>1646</v>
      </c>
      <c r="H22" s="93" t="s">
        <v>119</v>
      </c>
    </row>
    <row r="23" customFormat="false" ht="25.5" hidden="false" customHeight="true" outlineLevel="0" collapsed="false">
      <c r="A23" s="111"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1"/>
      <c r="C23" s="111"/>
      <c r="D23" s="111"/>
      <c r="E23" s="111"/>
      <c r="F23" s="111"/>
      <c r="G23" s="111"/>
      <c r="H23" s="111"/>
    </row>
    <row r="24" customFormat="false" ht="114" hidden="false" customHeight="true" outlineLevel="0" collapsed="false">
      <c r="A24" s="112" t="str">
        <f aca="false">Checks!$A$137&amp;CHAR(10)&amp;IF(Checks!$I$137="","",Checks!$I$137&amp;": ")&amp;Checks!$J$137</f>
        <v>F05-T7-01
Meal: Meal sensory testing completed for this flight's menu cycle (assessed class)</v>
      </c>
      <c r="B24" s="112" t="str">
        <f aca="false">Checks!$K$137&amp;IF(Checks!$O$137="","",IF(Checks!$K$137="","",CHAR(10))&amp;"Note: "&amp;Checks!$O$137)</f>
        <v>Record panel result / score in Result</v>
      </c>
      <c r="C24" s="112" t="str">
        <f aca="false">Checks!$N$137&amp;CHAR(10)&amp;IF(ISNUMBER(Checks!$R$137),TEXT(Checks!$R$137,"DD-MMM-YY HH:MM"),"")&amp;" "&amp;Checks!$P$137</f>
        <v>Required
08-Oct-26 10:05 NRT</v>
      </c>
      <c r="D24" s="112" t="str">
        <f aca="false">IF(Checks!$U$137="","",Checks!$U$137)&amp;IF(Checks!$AB$137="","",CHAR(10)&amp;"CA: "&amp;Checks!$AB$137)</f>
        <v/>
      </c>
      <c r="E24" s="112" t="str">
        <f aca="false">IF(Checks!$V$137="","",Checks!$V$137)&amp;IF(Checks!$AC$137="","",IF(Checks!$V$137="","",CHAR(10))&amp;"N/A just.: "&amp;Checks!$AC$137)&amp;IF(Checks!$W$137="","",CHAR(10)&amp;"Batch: "&amp;Checks!$W$137)&amp;IF(AND(Checks!$X$137="",Checks!$Y$137=""),"",CHAR(10)&amp;"Exp: "&amp;Checks!$X$137&amp;"  /  Act: "&amp;Checks!$Y$137)</f>
        <v/>
      </c>
      <c r="F24" s="112" t="str">
        <f aca="false">IF(Checks!$Z$137="","","Evidence: "&amp;Checks!$Z$137)&amp;IF(Checks!$AA$137="","",IF(Checks!$Z$137="","",CHAR(10))&amp;"CA: "&amp;Checks!$AA$137)</f>
        <v/>
      </c>
      <c r="G24" s="112" t="str">
        <f aca="false">IF(ISNUMBER(Checks!$AD$137),TEXT(Checks!$AD$137,"DD-MMM-YY HH:MM")&amp;" "&amp;Checks!$P$137,"")&amp;IF(Checks!$AE$137="","",CHAR(10)&amp;"Verifier: "&amp;Checks!$AE$137)&amp;IF(Checks!$T$137="","",CHAR(10)&amp;"PIC: "&amp;Checks!$T$137)</f>
        <v/>
      </c>
      <c r="H24" s="113" t="str">
        <f aca="false">IF(Checks!$AH$137="","",Checks!$AH$137)</f>
        <v>OPEN</v>
      </c>
    </row>
    <row r="25" customFormat="false" ht="114" hidden="false" customHeight="true" outlineLevel="0" collapsed="false">
      <c r="A25" s="112" t="str">
        <f aca="false">Checks!$A$138&amp;CHAR(10)&amp;IF(Checks!$I$138="","",Checks!$I$138&amp;": ")&amp;Checks!$J$138</f>
        <v>F05-T7-02
Menu: Printed menu cards confirmed (content, cycle, language, quantity)</v>
      </c>
      <c r="B25" s="112" t="str">
        <f aca="false">Checks!$K$138&amp;IF(Checks!$O$138="","",IF(Checks!$K$138="","",CHAR(10))&amp;"Note: "&amp;Checks!$O$138)</f>
        <v>Menu card matches approved menu for this flight</v>
      </c>
      <c r="C25" s="112" t="str">
        <f aca="false">Checks!$N$138&amp;CHAR(10)&amp;IF(ISNUMBER(Checks!$R$138),TEXT(Checks!$R$138,"DD-MMM-YY HH:MM"),"")&amp;" "&amp;Checks!$P$138</f>
        <v>Required
08-Oct-26 10:05 NRT</v>
      </c>
      <c r="D25" s="112" t="str">
        <f aca="false">IF(Checks!$U$138="","",Checks!$U$138)&amp;IF(Checks!$AB$138="","",CHAR(10)&amp;"CA: "&amp;Checks!$AB$138)</f>
        <v/>
      </c>
      <c r="E25" s="112" t="str">
        <f aca="false">IF(Checks!$V$138="","",Checks!$V$138)&amp;IF(Checks!$AC$138="","",IF(Checks!$V$138="","",CHAR(10))&amp;"N/A just.: "&amp;Checks!$AC$138)&amp;IF(Checks!$W$138="","",CHAR(10)&amp;"Batch: "&amp;Checks!$W$138)&amp;IF(AND(Checks!$X$138="",Checks!$Y$138=""),"",CHAR(10)&amp;"Exp: "&amp;Checks!$X$138&amp;"  /  Act: "&amp;Checks!$Y$138)</f>
        <v/>
      </c>
      <c r="F25" s="112" t="str">
        <f aca="false">IF(Checks!$Z$138="","","Evidence: "&amp;Checks!$Z$138)&amp;IF(Checks!$AA$138="","",IF(Checks!$Z$138="","",CHAR(10))&amp;"CA: "&amp;Checks!$AA$138)</f>
        <v/>
      </c>
      <c r="G25" s="112" t="str">
        <f aca="false">IF(ISNUMBER(Checks!$AD$138),TEXT(Checks!$AD$138,"DD-MMM-YY HH:MM")&amp;" "&amp;Checks!$P$138,"")&amp;IF(Checks!$AE$138="","",CHAR(10)&amp;"Verifier: "&amp;Checks!$AE$138)&amp;IF(Checks!$T$138="","",CHAR(10)&amp;"PIC: "&amp;Checks!$T$138)</f>
        <v/>
      </c>
      <c r="H25" s="113" t="str">
        <f aca="false">IF(Checks!$AH$138="","",Checks!$AH$138)</f>
        <v>OPEN</v>
      </c>
    </row>
    <row r="26" customFormat="false" ht="114" hidden="false" customHeight="true" outlineLevel="0" collapsed="false">
      <c r="A26" s="112" t="str">
        <f aca="false">Checks!$A$139&amp;CHAR(10)&amp;IF(Checks!$I$139="","",Checks!$I$139&amp;": ")&amp;Checks!$J$139</f>
        <v>F05-T7-03
IFE: Digital menu in IFE confirmed (A339 only)</v>
      </c>
      <c r="B26" s="112" t="str">
        <f aca="false">Checks!$K$139&amp;IF(Checks!$O$139="","",IF(Checks!$K$139="","",CHAR(10))&amp;"Note: "&amp;Checks!$O$139)</f>
        <v>Applies when fleet = A339
Note: Digital IFE menu applies to A339 only (user brief). Applicability follows the Fleet cell on Flights.</v>
      </c>
      <c r="C26" s="112" t="str">
        <f aca="false">Checks!$N$139&amp;CHAR(10)&amp;IF(ISNUMBER(Checks!$R$139),TEXT(Checks!$R$139,"DD-MMM-YY HH:MM"),"")&amp;" "&amp;Checks!$P$139</f>
        <v>N/A – rule
08-Oct-26 10:05 NRT</v>
      </c>
      <c r="D26" s="112" t="str">
        <f aca="false">IF(Checks!$U$139="","",Checks!$U$139)&amp;IF(Checks!$AB$139="","",CHAR(10)&amp;"CA: "&amp;Checks!$AB$139)</f>
        <v/>
      </c>
      <c r="E26" s="112" t="str">
        <f aca="false">IF(Checks!$V$139="","",Checks!$V$139)&amp;IF(Checks!$AC$139="","",IF(Checks!$V$139="","",CHAR(10))&amp;"N/A just.: "&amp;Checks!$AC$139)&amp;IF(Checks!$W$139="","",CHAR(10)&amp;"Batch: "&amp;Checks!$W$139)&amp;IF(AND(Checks!$X$139="",Checks!$Y$139=""),"",CHAR(10)&amp;"Exp: "&amp;Checks!$X$139&amp;"  /  Act: "&amp;Checks!$Y$139)</f>
        <v/>
      </c>
      <c r="F26" s="112" t="str">
        <f aca="false">IF(Checks!$Z$139="","","Evidence: "&amp;Checks!$Z$139)&amp;IF(Checks!$AA$139="","",IF(Checks!$Z$139="","",CHAR(10))&amp;"CA: "&amp;Checks!$AA$139)</f>
        <v/>
      </c>
      <c r="G26" s="112" t="str">
        <f aca="false">IF(ISNUMBER(Checks!$AD$139),TEXT(Checks!$AD$139,"DD-MMM-YY HH:MM")&amp;" "&amp;Checks!$P$139,"")&amp;IF(Checks!$AE$139="","",CHAR(10)&amp;"Verifier: "&amp;Checks!$AE$139)&amp;IF(Checks!$T$139="","",CHAR(10)&amp;"PIC: "&amp;Checks!$T$139)</f>
        <v/>
      </c>
      <c r="H26" s="113" t="str">
        <f aca="false">IF(Checks!$AH$139="","",Checks!$AH$139)</f>
        <v>N/A – RULE</v>
      </c>
    </row>
    <row r="27" customFormat="false" ht="114" hidden="false" customHeight="true" outlineLevel="0" collapsed="false">
      <c r="A27" s="112" t="str">
        <f aca="false">Checks!$A$140&amp;CHAR(10)&amp;IF(Checks!$I$140="","",Checks!$I$140&amp;": ")&amp;Checks!$J$140</f>
        <v>F05-T7-04
Staffing: Experienced catering officer assigned to this flight</v>
      </c>
      <c r="B27" s="112" t="str">
        <f aca="false">Checks!$K$140&amp;IF(Checks!$O$140="","",IF(Checks!$K$140="","",CHAR(10))&amp;"Note: "&amp;Checks!$O$140)</f>
        <v>Record officer name in Result</v>
      </c>
      <c r="C27" s="112" t="str">
        <f aca="false">Checks!$N$140&amp;CHAR(10)&amp;IF(ISNUMBER(Checks!$R$140),TEXT(Checks!$R$140,"DD-MMM-YY HH:MM"),"")&amp;" "&amp;Checks!$P$140</f>
        <v>Required
08-Oct-26 10:05 NRT</v>
      </c>
      <c r="D27" s="112" t="str">
        <f aca="false">IF(Checks!$U$140="","",Checks!$U$140)&amp;IF(Checks!$AB$140="","",CHAR(10)&amp;"CA: "&amp;Checks!$AB$140)</f>
        <v/>
      </c>
      <c r="E27" s="112" t="str">
        <f aca="false">IF(Checks!$V$140="","",Checks!$V$140)&amp;IF(Checks!$AC$140="","",IF(Checks!$V$140="","",CHAR(10))&amp;"N/A just.: "&amp;Checks!$AC$140)&amp;IF(Checks!$W$140="","",CHAR(10)&amp;"Batch: "&amp;Checks!$W$140)&amp;IF(AND(Checks!$X$140="",Checks!$Y$140=""),"",CHAR(10)&amp;"Exp: "&amp;Checks!$X$140&amp;"  /  Act: "&amp;Checks!$Y$140)</f>
        <v/>
      </c>
      <c r="F27" s="112" t="str">
        <f aca="false">IF(Checks!$Z$140="","","Evidence: "&amp;Checks!$Z$140)&amp;IF(Checks!$AA$140="","",IF(Checks!$Z$140="","",CHAR(10))&amp;"CA: "&amp;Checks!$AA$140)</f>
        <v/>
      </c>
      <c r="G27" s="112" t="str">
        <f aca="false">IF(ISNUMBER(Checks!$AD$140),TEXT(Checks!$AD$140,"DD-MMM-YY HH:MM")&amp;" "&amp;Checks!$P$140,"")&amp;IF(Checks!$AE$140="","",CHAR(10)&amp;"Verifier: "&amp;Checks!$AE$140)&amp;IF(Checks!$T$140="","",CHAR(10)&amp;"PIC: "&amp;Checks!$T$140)</f>
        <v/>
      </c>
      <c r="H27" s="113" t="str">
        <f aca="false">IF(Checks!$AH$140="","",Checks!$AH$140)</f>
        <v>OPEN</v>
      </c>
    </row>
    <row r="28" customFormat="false" ht="114" hidden="false" customHeight="true" outlineLevel="0" collapsed="false">
      <c r="A28" s="112" t="str">
        <f aca="false">Checks!$A$141&amp;CHAR(10)&amp;IF(Checks!$I$141="","",Checks!$I$141&amp;": ")&amp;Checks!$J$141</f>
        <v>F05-T7-05
ISOP: All latest applicable ISOP revisions communicated to caterer</v>
      </c>
      <c r="B28" s="112" t="str">
        <f aca="false">Checks!$K$141&amp;IF(Checks!$O$141="","",IF(Checks!$K$141="","",CHAR(10))&amp;"Note: "&amp;Checks!$O$141)</f>
        <v>List revision numbers in Result (see ISOP register)</v>
      </c>
      <c r="C28" s="112" t="str">
        <f aca="false">Checks!$N$141&amp;CHAR(10)&amp;IF(ISNUMBER(Checks!$R$141),TEXT(Checks!$R$141,"DD-MMM-YY HH:MM"),"")&amp;" "&amp;Checks!$P$141</f>
        <v>Required
08-Oct-26 10:05 NRT</v>
      </c>
      <c r="D28" s="112" t="str">
        <f aca="false">IF(Checks!$U$141="","",Checks!$U$141)&amp;IF(Checks!$AB$141="","",CHAR(10)&amp;"CA: "&amp;Checks!$AB$141)</f>
        <v/>
      </c>
      <c r="E28" s="112" t="str">
        <f aca="false">IF(Checks!$V$141="","",Checks!$V$141)&amp;IF(Checks!$AC$141="","",IF(Checks!$V$141="","",CHAR(10))&amp;"N/A just.: "&amp;Checks!$AC$141)&amp;IF(Checks!$W$141="","",CHAR(10)&amp;"Batch: "&amp;Checks!$W$141)&amp;IF(AND(Checks!$X$141="",Checks!$Y$141=""),"",CHAR(10)&amp;"Exp: "&amp;Checks!$X$141&amp;"  /  Act: "&amp;Checks!$Y$141)</f>
        <v/>
      </c>
      <c r="F28" s="112" t="str">
        <f aca="false">IF(Checks!$Z$141="","","Evidence: "&amp;Checks!$Z$141)&amp;IF(Checks!$AA$141="","",IF(Checks!$Z$141="","",CHAR(10))&amp;"CA: "&amp;Checks!$AA$141)</f>
        <v/>
      </c>
      <c r="G28" s="112" t="str">
        <f aca="false">IF(ISNUMBER(Checks!$AD$141),TEXT(Checks!$AD$141,"DD-MMM-YY HH:MM")&amp;" "&amp;Checks!$P$141,"")&amp;IF(Checks!$AE$141="","",CHAR(10)&amp;"Verifier: "&amp;Checks!$AE$141)&amp;IF(Checks!$T$141="","",CHAR(10)&amp;"PIC: "&amp;Checks!$T$141)</f>
        <v/>
      </c>
      <c r="H28" s="113" t="str">
        <f aca="false">IF(Checks!$AH$141="","",Checks!$AH$141)</f>
        <v>OPEN</v>
      </c>
    </row>
    <row r="29" customFormat="false" ht="114" hidden="false" customHeight="true" outlineLevel="0" collapsed="false">
      <c r="A29" s="112" t="str">
        <f aca="false">Checks!$A$142&amp;CHAR(10)&amp;IF(Checks!$I$142="","",Checks!$I$142&amp;": ")&amp;Checks!$J$142</f>
        <v>F05-T7-06
ISOP: Caterer acknowledgement of ISOP revisions recorded</v>
      </c>
      <c r="B29" s="112" t="str">
        <f aca="false">Checks!$K$142&amp;IF(Checks!$O$142="","",IF(Checks!$K$142="","",CHAR(10))&amp;"Note: "&amp;Checks!$O$142)</f>
        <v>Record acknowledgement ref in Evidence</v>
      </c>
      <c r="C29" s="112" t="str">
        <f aca="false">Checks!$N$142&amp;CHAR(10)&amp;IF(ISNUMBER(Checks!$R$142),TEXT(Checks!$R$142,"DD-MMM-YY HH:MM"),"")&amp;" "&amp;Checks!$P$142</f>
        <v>Required
08-Oct-26 10:05 NRT</v>
      </c>
      <c r="D29" s="112" t="str">
        <f aca="false">IF(Checks!$U$142="","",Checks!$U$142)&amp;IF(Checks!$AB$142="","",CHAR(10)&amp;"CA: "&amp;Checks!$AB$142)</f>
        <v/>
      </c>
      <c r="E29" s="112" t="str">
        <f aca="false">IF(Checks!$V$142="","",Checks!$V$142)&amp;IF(Checks!$AC$142="","",IF(Checks!$V$142="","",CHAR(10))&amp;"N/A just.: "&amp;Checks!$AC$142)&amp;IF(Checks!$W$142="","",CHAR(10)&amp;"Batch: "&amp;Checks!$W$142)&amp;IF(AND(Checks!$X$142="",Checks!$Y$142=""),"",CHAR(10)&amp;"Exp: "&amp;Checks!$X$142&amp;"  /  Act: "&amp;Checks!$Y$142)</f>
        <v/>
      </c>
      <c r="F29" s="112" t="str">
        <f aca="false">IF(Checks!$Z$142="","","Evidence: "&amp;Checks!$Z$142)&amp;IF(Checks!$AA$142="","",IF(Checks!$Z$142="","",CHAR(10))&amp;"CA: "&amp;Checks!$AA$142)</f>
        <v/>
      </c>
      <c r="G29" s="112" t="str">
        <f aca="false">IF(ISNUMBER(Checks!$AD$142),TEXT(Checks!$AD$142,"DD-MMM-YY HH:MM")&amp;" "&amp;Checks!$P$142,"")&amp;IF(Checks!$AE$142="","",CHAR(10)&amp;"Verifier: "&amp;Checks!$AE$142)&amp;IF(Checks!$T$142="","",CHAR(10)&amp;"PIC: "&amp;Checks!$T$142)</f>
        <v/>
      </c>
      <c r="H29" s="113" t="str">
        <f aca="false">IF(Checks!$AH$142="","",Checks!$AH$142)</f>
        <v>OPEN</v>
      </c>
    </row>
    <row r="30" customFormat="false" ht="114" hidden="false" customHeight="true" outlineLevel="0" collapsed="false">
      <c r="A30" s="112" t="str">
        <f aca="false">Checks!$A$143&amp;CHAR(10)&amp;IF(Checks!$I$143="","",Checks!$I$143&amp;": ")&amp;Checks!$J$143</f>
        <v>F05-T7-07
Documents: Galley loading diagram (GLD) received, revision recorded &amp; attached</v>
      </c>
      <c r="B30" s="112" t="str">
        <f aca="false">Checks!$K$143&amp;IF(Checks!$O$143="","",IF(Checks!$K$143="","",CHAR(10))&amp;"Note: "&amp;Checks!$O$143)</f>
        <v>Documents sheet row complete</v>
      </c>
      <c r="C30" s="112" t="str">
        <f aca="false">Checks!$N$143&amp;CHAR(10)&amp;IF(ISNUMBER(Checks!$R$143),TEXT(Checks!$R$143,"DD-MMM-YY HH:MM"),"")&amp;" "&amp;Checks!$P$143</f>
        <v>Required
08-Oct-26 10:05 NRT</v>
      </c>
      <c r="D30" s="112" t="str">
        <f aca="false">IF(Checks!$U$143="","",Checks!$U$143)&amp;IF(Checks!$AB$143="","",CHAR(10)&amp;"CA: "&amp;Checks!$AB$143)</f>
        <v/>
      </c>
      <c r="E30" s="112" t="str">
        <f aca="false">IF(Checks!$V$143="","",Checks!$V$143)&amp;IF(Checks!$AC$143="","",IF(Checks!$V$143="","",CHAR(10))&amp;"N/A just.: "&amp;Checks!$AC$143)&amp;IF(Checks!$W$143="","",CHAR(10)&amp;"Batch: "&amp;Checks!$W$143)&amp;IF(AND(Checks!$X$143="",Checks!$Y$143=""),"",CHAR(10)&amp;"Exp: "&amp;Checks!$X$143&amp;"  /  Act: "&amp;Checks!$Y$143)</f>
        <v/>
      </c>
      <c r="F30" s="112" t="str">
        <f aca="false">IF(Checks!$Z$143="","","Evidence: "&amp;Checks!$Z$143)&amp;IF(Checks!$AA$143="","",IF(Checks!$Z$143="","",CHAR(10))&amp;"CA: "&amp;Checks!$AA$143)</f>
        <v/>
      </c>
      <c r="G30" s="112" t="str">
        <f aca="false">IF(ISNUMBER(Checks!$AD$143),TEXT(Checks!$AD$143,"DD-MMM-YY HH:MM")&amp;" "&amp;Checks!$P$143,"")&amp;IF(Checks!$AE$143="","",CHAR(10)&amp;"Verifier: "&amp;Checks!$AE$143)&amp;IF(Checks!$T$143="","",CHAR(10)&amp;"PIC: "&amp;Checks!$T$143)</f>
        <v/>
      </c>
      <c r="H30" s="113" t="str">
        <f aca="false">IF(Checks!$AH$143="","",Checks!$AH$143)</f>
        <v>OPEN</v>
      </c>
    </row>
    <row r="31" customFormat="false" ht="114" hidden="false" customHeight="true" outlineLevel="0" collapsed="false">
      <c r="A31" s="112" t="str">
        <f aca="false">Checks!$A$144&amp;CHAR(10)&amp;IF(Checks!$I$144="","",Checks!$I$144&amp;": ")&amp;Checks!$J$144</f>
        <v>F05-T7-08
Documents: Menu checklist received, revision recorded &amp; attached</v>
      </c>
      <c r="B31" s="112" t="str">
        <f aca="false">Checks!$K$144&amp;IF(Checks!$O$144="","",IF(Checks!$K$144="","",CHAR(10))&amp;"Note: "&amp;Checks!$O$144)</f>
        <v>Documents sheet row complete</v>
      </c>
      <c r="C31" s="112" t="str">
        <f aca="false">Checks!$N$144&amp;CHAR(10)&amp;IF(ISNUMBER(Checks!$R$144),TEXT(Checks!$R$144,"DD-MMM-YY HH:MM"),"")&amp;" "&amp;Checks!$P$144</f>
        <v>Required
08-Oct-26 10:05 NRT</v>
      </c>
      <c r="D31" s="112" t="str">
        <f aca="false">IF(Checks!$U$144="","",Checks!$U$144)&amp;IF(Checks!$AB$144="","",CHAR(10)&amp;"CA: "&amp;Checks!$AB$144)</f>
        <v/>
      </c>
      <c r="E31" s="112" t="str">
        <f aca="false">IF(Checks!$V$144="","",Checks!$V$144)&amp;IF(Checks!$AC$144="","",IF(Checks!$V$144="","",CHAR(10))&amp;"N/A just.: "&amp;Checks!$AC$144)&amp;IF(Checks!$W$144="","",CHAR(10)&amp;"Batch: "&amp;Checks!$W$144)&amp;IF(AND(Checks!$X$144="",Checks!$Y$144=""),"",CHAR(10)&amp;"Exp: "&amp;Checks!$X$144&amp;"  /  Act: "&amp;Checks!$Y$144)</f>
        <v/>
      </c>
      <c r="F31" s="112" t="str">
        <f aca="false">IF(Checks!$Z$144="","","Evidence: "&amp;Checks!$Z$144)&amp;IF(Checks!$AA$144="","",IF(Checks!$Z$144="","",CHAR(10))&amp;"CA: "&amp;Checks!$AA$144)</f>
        <v/>
      </c>
      <c r="G31" s="112" t="str">
        <f aca="false">IF(ISNUMBER(Checks!$AD$144),TEXT(Checks!$AD$144,"DD-MMM-YY HH:MM")&amp;" "&amp;Checks!$P$144,"")&amp;IF(Checks!$AE$144="","",CHAR(10)&amp;"Verifier: "&amp;Checks!$AE$144)&amp;IF(Checks!$T$144="","",CHAR(10)&amp;"PIC: "&amp;Checks!$T$144)</f>
        <v/>
      </c>
      <c r="H31" s="113" t="str">
        <f aca="false">IF(Checks!$AH$144="","",Checks!$AH$144)</f>
        <v>OPEN</v>
      </c>
    </row>
    <row r="32" customFormat="false" ht="114" hidden="false" customHeight="true" outlineLevel="0" collapsed="false">
      <c r="A32" s="112" t="str">
        <f aca="false">Checks!$A$145&amp;CHAR(10)&amp;IF(Checks!$I$145="","",Checks!$I$145&amp;": ")&amp;Checks!$J$145</f>
        <v>F05-T7-09
Uplift plan: Uplift plan confirmed with caterer vs STD Uplift Information</v>
      </c>
      <c r="B32" s="112" t="str">
        <f aca="false">Checks!$K$145&amp;IF(Checks!$O$145="","",IF(Checks!$K$145="","",CHAR(10))&amp;"Note: "&amp;Checks!$O$145)</f>
        <v>Service: 1.5 Meal (Meal); meal uplift stn NRT (ref lists KUL/NRT)</v>
      </c>
      <c r="C32" s="112" t="str">
        <f aca="false">Checks!$N$145&amp;CHAR(10)&amp;IF(ISNUMBER(Checks!$R$145),TEXT(Checks!$R$145,"DD-MMM-YY HH:MM"),"")&amp;" "&amp;Checks!$P$145</f>
        <v>Required
08-Oct-26 10:05 NRT</v>
      </c>
      <c r="D32" s="112" t="str">
        <f aca="false">IF(Checks!$U$145="","",Checks!$U$145)&amp;IF(Checks!$AB$145="","",CHAR(10)&amp;"CA: "&amp;Checks!$AB$145)</f>
        <v/>
      </c>
      <c r="E32" s="112" t="str">
        <f aca="false">IF(Checks!$V$145="","",Checks!$V$145)&amp;IF(Checks!$AC$145="","",IF(Checks!$V$145="","",CHAR(10))&amp;"N/A just.: "&amp;Checks!$AC$145)&amp;IF(Checks!$W$145="","",CHAR(10)&amp;"Batch: "&amp;Checks!$W$145)&amp;IF(AND(Checks!$X$145="",Checks!$Y$145=""),"",CHAR(10)&amp;"Exp: "&amp;Checks!$X$145&amp;"  /  Act: "&amp;Checks!$Y$145)</f>
        <v/>
      </c>
      <c r="F32" s="112" t="str">
        <f aca="false">IF(Checks!$Z$145="","","Evidence: "&amp;Checks!$Z$145)&amp;IF(Checks!$AA$145="","",IF(Checks!$Z$145="","",CHAR(10))&amp;"CA: "&amp;Checks!$AA$145)</f>
        <v/>
      </c>
      <c r="G32" s="112" t="str">
        <f aca="false">IF(ISNUMBER(Checks!$AD$145),TEXT(Checks!$AD$145,"DD-MMM-YY HH:MM")&amp;" "&amp;Checks!$P$145,"")&amp;IF(Checks!$AE$145="","",CHAR(10)&amp;"Verifier: "&amp;Checks!$AE$145)&amp;IF(Checks!$T$145="","",CHAR(10)&amp;"PIC: "&amp;Checks!$T$145)</f>
        <v/>
      </c>
      <c r="H32" s="113" t="str">
        <f aca="false">IF(Checks!$AH$145="","",Checks!$AH$145)</f>
        <v>OPEN</v>
      </c>
    </row>
    <row r="33" customFormat="false" ht="256.5" hidden="false" customHeight="true" outlineLevel="0" collapsed="false">
      <c r="A33" s="112" t="str">
        <f aca="false">Checks!$A$146&amp;CHAR(10)&amp;IF(Checks!$I$146="","",Checks!$I$146&amp;": ")&amp;Checks!$J$146</f>
        <v>F05-T7-10
Uplift plan: Inbound KUL-NRT flight carrying KUL-sourced items identified and its KUL departure (UTC) entered on Flights col AX</v>
      </c>
      <c r="B33" s="112"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2" t="str">
        <f aca="false">Checks!$N$146&amp;CHAR(10)&amp;IF(ISNUMBER(Checks!$R$146),TEXT(Checks!$R$146,"DD-MMM-YY HH:MM"),"")&amp;" "&amp;Checks!$P$146</f>
        <v>Clarification required
08-Oct-26 09:05 KUL</v>
      </c>
      <c r="D33" s="112" t="str">
        <f aca="false">IF(Checks!$U$146="","",Checks!$U$146)&amp;IF(Checks!$AB$146="","",CHAR(10)&amp;"CA: "&amp;Checks!$AB$146)</f>
        <v/>
      </c>
      <c r="E33" s="112" t="str">
        <f aca="false">IF(Checks!$V$146="","",Checks!$V$146)&amp;IF(Checks!$AC$146="","",IF(Checks!$V$146="","",CHAR(10))&amp;"N/A just.: "&amp;Checks!$AC$146)&amp;IF(Checks!$W$146="","",CHAR(10)&amp;"Batch: "&amp;Checks!$W$146)&amp;IF(AND(Checks!$X$146="",Checks!$Y$146=""),"",CHAR(10)&amp;"Exp: "&amp;Checks!$X$146&amp;"  /  Act: "&amp;Checks!$Y$146)</f>
        <v/>
      </c>
      <c r="F33" s="112" t="str">
        <f aca="false">IF(Checks!$Z$146="","","Evidence: "&amp;Checks!$Z$146)&amp;IF(Checks!$AA$146="","",IF(Checks!$Z$146="","",CHAR(10))&amp;"CA: "&amp;Checks!$AA$146)</f>
        <v/>
      </c>
      <c r="G33" s="112" t="str">
        <f aca="false">IF(ISNUMBER(Checks!$AD$146),TEXT(Checks!$AD$146,"DD-MMM-YY HH:MM")&amp;" "&amp;Checks!$P$146,"")&amp;IF(Checks!$AE$146="","",CHAR(10)&amp;"Verifier: "&amp;Checks!$AE$146)&amp;IF(Checks!$T$146="","",CHAR(10)&amp;"PIC: "&amp;Checks!$T$146)</f>
        <v/>
      </c>
      <c r="H33" s="113" t="str">
        <f aca="false">IF(Checks!$AH$146="","",Checks!$AH$146)</f>
        <v>OPEN – CLARIFICATION</v>
      </c>
    </row>
    <row r="34" customFormat="false" ht="25.5" hidden="false" customHeight="true" outlineLevel="0" collapsed="false">
      <c r="A34" s="111"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1"/>
      <c r="C34" s="111"/>
      <c r="D34" s="111"/>
      <c r="E34" s="111"/>
      <c r="F34" s="111"/>
      <c r="G34" s="111"/>
      <c r="H34" s="111"/>
    </row>
    <row r="35" customFormat="false" ht="114" hidden="false" customHeight="true" outlineLevel="0" collapsed="false">
      <c r="A35" s="112" t="str">
        <f aca="false">Checks!$A$147&amp;CHAR(10)&amp;IF(Checks!$I$147="","",Checks!$I$147&amp;": ")&amp;Checks!$J$147</f>
        <v>F05-T24-01
Meal: Sensory test repeated on ACTUAL production batch for this flight</v>
      </c>
      <c r="B35" s="112" t="str">
        <f aca="false">Checks!$K$147&amp;IF(Checks!$O$147="","",IF(Checks!$K$147="","",CHAR(10))&amp;"Note: "&amp;Checks!$O$147)</f>
        <v>Batch ID, result, CA and acceptance mandatory</v>
      </c>
      <c r="C35" s="112" t="str">
        <f aca="false">Checks!$N$147&amp;CHAR(10)&amp;IF(ISNUMBER(Checks!$R$147),TEXT(Checks!$R$147,"DD-MMM-YY HH:MM"),"")&amp;" "&amp;Checks!$P$147</f>
        <v>Required
14-Oct-26 10:05 NRT</v>
      </c>
      <c r="D35" s="112" t="str">
        <f aca="false">IF(Checks!$U$147="","",Checks!$U$147)&amp;IF(Checks!$AB$147="","",CHAR(10)&amp;"CA: "&amp;Checks!$AB$147)</f>
        <v/>
      </c>
      <c r="E35" s="112" t="str">
        <f aca="false">IF(Checks!$V$147="","",Checks!$V$147)&amp;IF(Checks!$AC$147="","",IF(Checks!$V$147="","",CHAR(10))&amp;"N/A just.: "&amp;Checks!$AC$147)&amp;IF(Checks!$W$147="","",CHAR(10)&amp;"Batch: "&amp;Checks!$W$147)&amp;IF(AND(Checks!$X$147="",Checks!$Y$147=""),"",CHAR(10)&amp;"Exp: "&amp;Checks!$X$147&amp;"  /  Act: "&amp;Checks!$Y$147)</f>
        <v/>
      </c>
      <c r="F35" s="112" t="str">
        <f aca="false">IF(Checks!$Z$147="","","Evidence: "&amp;Checks!$Z$147)&amp;IF(Checks!$AA$147="","",IF(Checks!$Z$147="","",CHAR(10))&amp;"CA: "&amp;Checks!$AA$147)</f>
        <v/>
      </c>
      <c r="G35" s="112" t="str">
        <f aca="false">IF(ISNUMBER(Checks!$AD$147),TEXT(Checks!$AD$147,"DD-MMM-YY HH:MM")&amp;" "&amp;Checks!$P$147,"")&amp;IF(Checks!$AE$147="","",CHAR(10)&amp;"Verifier: "&amp;Checks!$AE$147)&amp;IF(Checks!$T$147="","",CHAR(10)&amp;"PIC: "&amp;Checks!$T$147)</f>
        <v/>
      </c>
      <c r="H35" s="113" t="str">
        <f aca="false">IF(Checks!$AH$147="","",Checks!$AH$147)</f>
        <v>OPEN</v>
      </c>
    </row>
    <row r="36" customFormat="false" ht="25.5" hidden="false" customHeight="true" outlineLevel="0" collapsed="false">
      <c r="A36" s="111"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1"/>
      <c r="C36" s="111"/>
      <c r="D36" s="111"/>
      <c r="E36" s="111"/>
      <c r="F36" s="111"/>
      <c r="G36" s="111"/>
      <c r="H36" s="111"/>
    </row>
    <row r="37" customFormat="false" ht="114" hidden="false" customHeight="true" outlineLevel="0" collapsed="false">
      <c r="A37" s="112" t="str">
        <f aca="false">Checks!$A$148&amp;CHAR(10)&amp;IF(Checks!$I$148="","",Checks!$I$148&amp;": ")&amp;Checks!$J$148</f>
        <v>F05-T12-01
Meal: Meal quality vs menu checklist</v>
      </c>
      <c r="B37" s="112" t="str">
        <f aca="false">Checks!$K$148&amp;IF(Checks!$O$148="","",IF(Checks!$K$148="","",CHAR(10))&amp;"Note: "&amp;Checks!$O$148)</f>
        <v>Note: Preparation check at caterer - does NOT confirm loading.</v>
      </c>
      <c r="C37" s="112" t="str">
        <f aca="false">Checks!$N$148&amp;CHAR(10)&amp;IF(ISNUMBER(Checks!$R$148),TEXT(Checks!$R$148,"DD-MMM-YY HH:MM"),"")&amp;" "&amp;Checks!$P$148</f>
        <v>Required
14-Oct-26 22:05 NRT</v>
      </c>
      <c r="D37" s="112" t="str">
        <f aca="false">IF(Checks!$U$148="","",Checks!$U$148)&amp;IF(Checks!$AB$148="","",CHAR(10)&amp;"CA: "&amp;Checks!$AB$148)</f>
        <v/>
      </c>
      <c r="E37" s="112" t="str">
        <f aca="false">IF(Checks!$V$148="","",Checks!$V$148)&amp;IF(Checks!$AC$148="","",IF(Checks!$V$148="","",CHAR(10))&amp;"N/A just.: "&amp;Checks!$AC$148)&amp;IF(Checks!$W$148="","",CHAR(10)&amp;"Batch: "&amp;Checks!$W$148)&amp;IF(AND(Checks!$X$148="",Checks!$Y$148=""),"",CHAR(10)&amp;"Exp: "&amp;Checks!$X$148&amp;"  /  Act: "&amp;Checks!$Y$148)</f>
        <v/>
      </c>
      <c r="F37" s="112" t="str">
        <f aca="false">IF(Checks!$Z$148="","","Evidence: "&amp;Checks!$Z$148)&amp;IF(Checks!$AA$148="","",IF(Checks!$Z$148="","",CHAR(10))&amp;"CA: "&amp;Checks!$AA$148)</f>
        <v/>
      </c>
      <c r="G37" s="112" t="str">
        <f aca="false">IF(ISNUMBER(Checks!$AD$148),TEXT(Checks!$AD$148,"DD-MMM-YY HH:MM")&amp;" "&amp;Checks!$P$148,"")&amp;IF(Checks!$AE$148="","",CHAR(10)&amp;"Verifier: "&amp;Checks!$AE$148)&amp;IF(Checks!$T$148="","",CHAR(10)&amp;"PIC: "&amp;Checks!$T$148)</f>
        <v/>
      </c>
      <c r="H37" s="113" t="str">
        <f aca="false">IF(Checks!$AH$148="","",Checks!$AH$148)</f>
        <v>OPEN</v>
      </c>
    </row>
    <row r="38" customFormat="false" ht="114" hidden="false" customHeight="true" outlineLevel="0" collapsed="false">
      <c r="A38" s="112" t="str">
        <f aca="false">Checks!$A$149&amp;CHAR(10)&amp;IF(Checks!$I$149="","",Checks!$I$149&amp;": ")&amp;Checks!$J$149</f>
        <v>F05-T12-02
Meal: Meal quantities vs menu checklist</v>
      </c>
      <c r="B38" s="112" t="str">
        <f aca="false">Checks!$K$149&amp;IF(Checks!$O$149="","",IF(Checks!$K$149="","",CHAR(10))&amp;"Note: "&amp;Checks!$O$149)</f>
        <v>Enter expected &amp; actual
Note: Preparation check at caterer - does NOT confirm loading.</v>
      </c>
      <c r="C38" s="112" t="str">
        <f aca="false">Checks!$N$149&amp;CHAR(10)&amp;IF(ISNUMBER(Checks!$R$149),TEXT(Checks!$R$149,"DD-MMM-YY HH:MM"),"")&amp;" "&amp;Checks!$P$149</f>
        <v>Required
14-Oct-26 22:05 NRT</v>
      </c>
      <c r="D38" s="112" t="str">
        <f aca="false">IF(Checks!$U$149="","",Checks!$U$149)&amp;IF(Checks!$AB$149="","",CHAR(10)&amp;"CA: "&amp;Checks!$AB$149)</f>
        <v/>
      </c>
      <c r="E38" s="112" t="str">
        <f aca="false">IF(Checks!$V$149="","",Checks!$V$149)&amp;IF(Checks!$AC$149="","",IF(Checks!$V$149="","",CHAR(10))&amp;"N/A just.: "&amp;Checks!$AC$149)&amp;IF(Checks!$W$149="","",CHAR(10)&amp;"Batch: "&amp;Checks!$W$149)&amp;IF(AND(Checks!$X$149="",Checks!$Y$149=""),"",CHAR(10)&amp;"Exp: "&amp;Checks!$X$149&amp;"  /  Act: "&amp;Checks!$Y$149)</f>
        <v/>
      </c>
      <c r="F38" s="112" t="str">
        <f aca="false">IF(Checks!$Z$149="","","Evidence: "&amp;Checks!$Z$149)&amp;IF(Checks!$AA$149="","",IF(Checks!$Z$149="","",CHAR(10))&amp;"CA: "&amp;Checks!$AA$149)</f>
        <v/>
      </c>
      <c r="G38" s="112" t="str">
        <f aca="false">IF(ISNUMBER(Checks!$AD$149),TEXT(Checks!$AD$149,"DD-MMM-YY HH:MM")&amp;" "&amp;Checks!$P$149,"")&amp;IF(Checks!$AE$149="","",CHAR(10)&amp;"Verifier: "&amp;Checks!$AE$149)&amp;IF(Checks!$T$149="","",CHAR(10)&amp;"PIC: "&amp;Checks!$T$149)</f>
        <v/>
      </c>
      <c r="H38" s="113" t="str">
        <f aca="false">IF(Checks!$AH$149="","",Checks!$AH$149)</f>
        <v>OPEN</v>
      </c>
    </row>
    <row r="39" customFormat="false" ht="114" hidden="false" customHeight="true" outlineLevel="0" collapsed="false">
      <c r="A39" s="112" t="str">
        <f aca="false">Checks!$A$150&amp;CHAR(10)&amp;IF(Checks!$I$150="","",Checks!$I$150&amp;": ")&amp;Checks!$J$150</f>
        <v>F05-T12-03
Equipment: Equipment cleanliness vs GLD</v>
      </c>
      <c r="B39" s="112" t="str">
        <f aca="false">Checks!$K$150&amp;IF(Checks!$O$150="","",IF(Checks!$K$150="","",CHAR(10))&amp;"Note: "&amp;Checks!$O$150)</f>
        <v>Note: Preparation check at caterer - does NOT confirm loading.</v>
      </c>
      <c r="C39" s="112" t="str">
        <f aca="false">Checks!$N$150&amp;CHAR(10)&amp;IF(ISNUMBER(Checks!$R$150),TEXT(Checks!$R$150,"DD-MMM-YY HH:MM"),"")&amp;" "&amp;Checks!$P$150</f>
        <v>Required
14-Oct-26 22:05 NRT</v>
      </c>
      <c r="D39" s="112" t="str">
        <f aca="false">IF(Checks!$U$150="","",Checks!$U$150)&amp;IF(Checks!$AB$150="","",CHAR(10)&amp;"CA: "&amp;Checks!$AB$150)</f>
        <v/>
      </c>
      <c r="E39" s="112" t="str">
        <f aca="false">IF(Checks!$V$150="","",Checks!$V$150)&amp;IF(Checks!$AC$150="","",IF(Checks!$V$150="","",CHAR(10))&amp;"N/A just.: "&amp;Checks!$AC$150)&amp;IF(Checks!$W$150="","",CHAR(10)&amp;"Batch: "&amp;Checks!$W$150)&amp;IF(AND(Checks!$X$150="",Checks!$Y$150=""),"",CHAR(10)&amp;"Exp: "&amp;Checks!$X$150&amp;"  /  Act: "&amp;Checks!$Y$150)</f>
        <v/>
      </c>
      <c r="F39" s="112" t="str">
        <f aca="false">IF(Checks!$Z$150="","","Evidence: "&amp;Checks!$Z$150)&amp;IF(Checks!$AA$150="","",IF(Checks!$Z$150="","",CHAR(10))&amp;"CA: "&amp;Checks!$AA$150)</f>
        <v/>
      </c>
      <c r="G39" s="112" t="str">
        <f aca="false">IF(ISNUMBER(Checks!$AD$150),TEXT(Checks!$AD$150,"DD-MMM-YY HH:MM")&amp;" "&amp;Checks!$P$150,"")&amp;IF(Checks!$AE$150="","",CHAR(10)&amp;"Verifier: "&amp;Checks!$AE$150)&amp;IF(Checks!$T$150="","",CHAR(10)&amp;"PIC: "&amp;Checks!$T$150)</f>
        <v/>
      </c>
      <c r="H39" s="113" t="str">
        <f aca="false">IF(Checks!$AH$150="","",Checks!$AH$150)</f>
        <v>OPEN</v>
      </c>
    </row>
    <row r="40" customFormat="false" ht="114" hidden="false" customHeight="true" outlineLevel="0" collapsed="false">
      <c r="A40" s="112" t="str">
        <f aca="false">Checks!$A$151&amp;CHAR(10)&amp;IF(Checks!$I$151="","",Checks!$I$151&amp;": ")&amp;Checks!$J$151</f>
        <v>F05-T12-04
Equipment: Equipment presentation vs GLD</v>
      </c>
      <c r="B40" s="112" t="str">
        <f aca="false">Checks!$K$151&amp;IF(Checks!$O$151="","",IF(Checks!$K$151="","",CHAR(10))&amp;"Note: "&amp;Checks!$O$151)</f>
        <v>Note: Preparation check at caterer - does NOT confirm loading.</v>
      </c>
      <c r="C40" s="112" t="str">
        <f aca="false">Checks!$N$151&amp;CHAR(10)&amp;IF(ISNUMBER(Checks!$R$151),TEXT(Checks!$R$151,"DD-MMM-YY HH:MM"),"")&amp;" "&amp;Checks!$P$151</f>
        <v>Required
14-Oct-26 22:05 NRT</v>
      </c>
      <c r="D40" s="112" t="str">
        <f aca="false">IF(Checks!$U$151="","",Checks!$U$151)&amp;IF(Checks!$AB$151="","",CHAR(10)&amp;"CA: "&amp;Checks!$AB$151)</f>
        <v/>
      </c>
      <c r="E40" s="112" t="str">
        <f aca="false">IF(Checks!$V$151="","",Checks!$V$151)&amp;IF(Checks!$AC$151="","",IF(Checks!$V$151="","",CHAR(10))&amp;"N/A just.: "&amp;Checks!$AC$151)&amp;IF(Checks!$W$151="","",CHAR(10)&amp;"Batch: "&amp;Checks!$W$151)&amp;IF(AND(Checks!$X$151="",Checks!$Y$151=""),"",CHAR(10)&amp;"Exp: "&amp;Checks!$X$151&amp;"  /  Act: "&amp;Checks!$Y$151)</f>
        <v/>
      </c>
      <c r="F40" s="112" t="str">
        <f aca="false">IF(Checks!$Z$151="","","Evidence: "&amp;Checks!$Z$151)&amp;IF(Checks!$AA$151="","",IF(Checks!$Z$151="","",CHAR(10))&amp;"CA: "&amp;Checks!$AA$151)</f>
        <v/>
      </c>
      <c r="G40" s="112" t="str">
        <f aca="false">IF(ISNUMBER(Checks!$AD$151),TEXT(Checks!$AD$151,"DD-MMM-YY HH:MM")&amp;" "&amp;Checks!$P$151,"")&amp;IF(Checks!$AE$151="","",CHAR(10)&amp;"Verifier: "&amp;Checks!$AE$151)&amp;IF(Checks!$T$151="","",CHAR(10)&amp;"PIC: "&amp;Checks!$T$151)</f>
        <v/>
      </c>
      <c r="H40" s="113" t="str">
        <f aca="false">IF(Checks!$AH$151="","",Checks!$AH$151)</f>
        <v>OPEN</v>
      </c>
    </row>
    <row r="41" customFormat="false" ht="114" hidden="false" customHeight="true" outlineLevel="0" collapsed="false">
      <c r="A41" s="112" t="str">
        <f aca="false">Checks!$A$152&amp;CHAR(10)&amp;IF(Checks!$I$152="","",Checks!$I$152&amp;": ")&amp;Checks!$J$152</f>
        <v>F05-T12-05
Equipment: Equipment serviceability vs GLD</v>
      </c>
      <c r="B41" s="112" t="str">
        <f aca="false">Checks!$K$152&amp;IF(Checks!$O$152="","",IF(Checks!$K$152="","",CHAR(10))&amp;"Note: "&amp;Checks!$O$152)</f>
        <v>Note: Preparation check at caterer - does NOT confirm loading.</v>
      </c>
      <c r="C41" s="112" t="str">
        <f aca="false">Checks!$N$152&amp;CHAR(10)&amp;IF(ISNUMBER(Checks!$R$152),TEXT(Checks!$R$152,"DD-MMM-YY HH:MM"),"")&amp;" "&amp;Checks!$P$152</f>
        <v>Required
14-Oct-26 22:05 NRT</v>
      </c>
      <c r="D41" s="112" t="str">
        <f aca="false">IF(Checks!$U$152="","",Checks!$U$152)&amp;IF(Checks!$AB$152="","",CHAR(10)&amp;"CA: "&amp;Checks!$AB$152)</f>
        <v/>
      </c>
      <c r="E41" s="112" t="str">
        <f aca="false">IF(Checks!$V$152="","",Checks!$V$152)&amp;IF(Checks!$AC$152="","",IF(Checks!$V$152="","",CHAR(10))&amp;"N/A just.: "&amp;Checks!$AC$152)&amp;IF(Checks!$W$152="","",CHAR(10)&amp;"Batch: "&amp;Checks!$W$152)&amp;IF(AND(Checks!$X$152="",Checks!$Y$152=""),"",CHAR(10)&amp;"Exp: "&amp;Checks!$X$152&amp;"  /  Act: "&amp;Checks!$Y$152)</f>
        <v/>
      </c>
      <c r="F41" s="112" t="str">
        <f aca="false">IF(Checks!$Z$152="","","Evidence: "&amp;Checks!$Z$152)&amp;IF(Checks!$AA$152="","",IF(Checks!$Z$152="","",CHAR(10))&amp;"CA: "&amp;Checks!$AA$152)</f>
        <v/>
      </c>
      <c r="G41" s="112" t="str">
        <f aca="false">IF(ISNUMBER(Checks!$AD$152),TEXT(Checks!$AD$152,"DD-MMM-YY HH:MM")&amp;" "&amp;Checks!$P$152,"")&amp;IF(Checks!$AE$152="","",CHAR(10)&amp;"Verifier: "&amp;Checks!$AE$152)&amp;IF(Checks!$T$152="","",CHAR(10)&amp;"PIC: "&amp;Checks!$T$152)</f>
        <v/>
      </c>
      <c r="H41" s="113" t="str">
        <f aca="false">IF(Checks!$AH$152="","",Checks!$AH$152)</f>
        <v>OPEN</v>
      </c>
    </row>
    <row r="42" customFormat="false" ht="322.5" hidden="false" customHeight="true" outlineLevel="0" collapsed="false">
      <c r="A42" s="112" t="str">
        <f aca="false">Checks!$A$153&amp;CHAR(10)&amp;IF(Checks!$I$153="","",Checks!$I$153&amp;": ")&amp;Checks!$J$153</f>
        <v>F05-T12-06
Equipment: Equipment quantities vs GLD</v>
      </c>
      <c r="B42" s="112"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2" t="str">
        <f aca="false">Checks!$N$153&amp;CHAR(10)&amp;IF(ISNUMBER(Checks!$R$153),TEXT(Checks!$R$153,"DD-MMM-YY HH:MM"),"")&amp;" "&amp;Checks!$P$153</f>
        <v>Required
14-Oct-26 22:05 NRT</v>
      </c>
      <c r="D42" s="112" t="str">
        <f aca="false">IF(Checks!$U$153="","",Checks!$U$153)&amp;IF(Checks!$AB$153="","",CHAR(10)&amp;"CA: "&amp;Checks!$AB$153)</f>
        <v/>
      </c>
      <c r="E42" s="112" t="str">
        <f aca="false">IF(Checks!$V$153="","",Checks!$V$153)&amp;IF(Checks!$AC$153="","",IF(Checks!$V$153="","",CHAR(10))&amp;"N/A just.: "&amp;Checks!$AC$153)&amp;IF(Checks!$W$153="","",CHAR(10)&amp;"Batch: "&amp;Checks!$W$153)&amp;IF(AND(Checks!$X$153="",Checks!$Y$153=""),"",CHAR(10)&amp;"Exp: "&amp;Checks!$X$153&amp;"  /  Act: "&amp;Checks!$Y$153)</f>
        <v/>
      </c>
      <c r="F42" s="112" t="str">
        <f aca="false">IF(Checks!$Z$153="","","Evidence: "&amp;Checks!$Z$153)&amp;IF(Checks!$AA$153="","",IF(Checks!$Z$153="","",CHAR(10))&amp;"CA: "&amp;Checks!$AA$153)</f>
        <v/>
      </c>
      <c r="G42" s="112" t="str">
        <f aca="false">IF(ISNUMBER(Checks!$AD$153),TEXT(Checks!$AD$153,"DD-MMM-YY HH:MM")&amp;" "&amp;Checks!$P$153,"")&amp;IF(Checks!$AE$153="","",CHAR(10)&amp;"Verifier: "&amp;Checks!$AE$153)&amp;IF(Checks!$T$153="","",CHAR(10)&amp;"PIC: "&amp;Checks!$T$153)</f>
        <v/>
      </c>
      <c r="H42" s="113" t="str">
        <f aca="false">IF(Checks!$AH$153="","",Checks!$AH$153)</f>
        <v>OPEN</v>
      </c>
    </row>
    <row r="43" customFormat="false" ht="114" hidden="false" customHeight="true" outlineLevel="0" collapsed="false">
      <c r="A43" s="112" t="str">
        <f aca="false">Checks!$A$154&amp;CHAR(10)&amp;IF(Checks!$I$154="","",Checks!$I$154&amp;": ")&amp;Checks!$J$154</f>
        <v>F05-T12-07
Equipment: Loading positions planned vs GLD</v>
      </c>
      <c r="B43" s="112" t="str">
        <f aca="false">Checks!$K$154&amp;IF(Checks!$O$154="","",IF(Checks!$K$154="","",CHAR(10))&amp;"Note: "&amp;Checks!$O$154)</f>
        <v>Note: Preparation check at caterer - does NOT confirm loading.</v>
      </c>
      <c r="C43" s="112" t="str">
        <f aca="false">Checks!$N$154&amp;CHAR(10)&amp;IF(ISNUMBER(Checks!$R$154),TEXT(Checks!$R$154,"DD-MMM-YY HH:MM"),"")&amp;" "&amp;Checks!$P$154</f>
        <v>Required
14-Oct-26 22:05 NRT</v>
      </c>
      <c r="D43" s="112" t="str">
        <f aca="false">IF(Checks!$U$154="","",Checks!$U$154)&amp;IF(Checks!$AB$154="","",CHAR(10)&amp;"CA: "&amp;Checks!$AB$154)</f>
        <v/>
      </c>
      <c r="E43" s="112" t="str">
        <f aca="false">IF(Checks!$V$154="","",Checks!$V$154)&amp;IF(Checks!$AC$154="","",IF(Checks!$V$154="","",CHAR(10))&amp;"N/A just.: "&amp;Checks!$AC$154)&amp;IF(Checks!$W$154="","",CHAR(10)&amp;"Batch: "&amp;Checks!$W$154)&amp;IF(AND(Checks!$X$154="",Checks!$Y$154=""),"",CHAR(10)&amp;"Exp: "&amp;Checks!$X$154&amp;"  /  Act: "&amp;Checks!$Y$154)</f>
        <v/>
      </c>
      <c r="F43" s="112" t="str">
        <f aca="false">IF(Checks!$Z$154="","","Evidence: "&amp;Checks!$Z$154)&amp;IF(Checks!$AA$154="","",IF(Checks!$Z$154="","",CHAR(10))&amp;"CA: "&amp;Checks!$AA$154)</f>
        <v/>
      </c>
      <c r="G43" s="112" t="str">
        <f aca="false">IF(ISNUMBER(Checks!$AD$154),TEXT(Checks!$AD$154,"DD-MMM-YY HH:MM")&amp;" "&amp;Checks!$P$154,"")&amp;IF(Checks!$AE$154="","",CHAR(10)&amp;"Verifier: "&amp;Checks!$AE$154)&amp;IF(Checks!$T$154="","",CHAR(10)&amp;"PIC: "&amp;Checks!$T$154)</f>
        <v/>
      </c>
      <c r="H43" s="113" t="str">
        <f aca="false">IF(Checks!$AH$154="","",Checks!$AH$154)</f>
        <v>OPEN</v>
      </c>
    </row>
    <row r="44" customFormat="false" ht="213" hidden="false" customHeight="true" outlineLevel="0" collapsed="false">
      <c r="A44" s="112" t="str">
        <f aca="false">Checks!$A$155&amp;CHAR(10)&amp;IF(Checks!$I$155="","",Checks!$I$155&amp;": ")&amp;Checks!$J$155</f>
        <v>F05-T12-08
Amenities: Toiletry kits - prepared</v>
      </c>
      <c r="B44" s="112"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2" t="str">
        <f aca="false">Checks!$N$155&amp;CHAR(10)&amp;IF(ISNUMBER(Checks!$R$155),TEXT(Checks!$R$155,"DD-MMM-YY HH:MM"),"")&amp;" "&amp;Checks!$P$155</f>
        <v>Clarification required
10-Oct-26 17:30 KUL</v>
      </c>
      <c r="D44" s="112" t="str">
        <f aca="false">IF(Checks!$U$155="","",Checks!$U$155)&amp;IF(Checks!$AB$155="","",CHAR(10)&amp;"CA: "&amp;Checks!$AB$155)</f>
        <v/>
      </c>
      <c r="E44" s="112" t="str">
        <f aca="false">IF(Checks!$V$155="","",Checks!$V$155)&amp;IF(Checks!$AC$155="","",IF(Checks!$V$155="","",CHAR(10))&amp;"N/A just.: "&amp;Checks!$AC$155)&amp;IF(Checks!$W$155="","",CHAR(10)&amp;"Batch: "&amp;Checks!$W$155)&amp;IF(AND(Checks!$X$155="",Checks!$Y$155=""),"",CHAR(10)&amp;"Exp: "&amp;Checks!$X$155&amp;"  /  Act: "&amp;Checks!$Y$155)</f>
        <v/>
      </c>
      <c r="F44" s="112" t="str">
        <f aca="false">IF(Checks!$Z$155="","","Evidence: "&amp;Checks!$Z$155)&amp;IF(Checks!$AA$155="","",IF(Checks!$Z$155="","",CHAR(10))&amp;"CA: "&amp;Checks!$AA$155)</f>
        <v/>
      </c>
      <c r="G44" s="112" t="str">
        <f aca="false">IF(ISNUMBER(Checks!$AD$155),TEXT(Checks!$AD$155,"DD-MMM-YY HH:MM")&amp;" "&amp;Checks!$P$155,"")&amp;IF(Checks!$AE$155="","",CHAR(10)&amp;"Verifier: "&amp;Checks!$AE$155)&amp;IF(Checks!$T$155="","",CHAR(10)&amp;"PIC: "&amp;Checks!$T$155)</f>
        <v/>
      </c>
      <c r="H44" s="113" t="str">
        <f aca="false">IF(Checks!$AH$155="","",Checks!$AH$155)</f>
        <v>OPEN – CLARIFICATION</v>
      </c>
    </row>
    <row r="45" customFormat="false" ht="114" hidden="false" customHeight="true" outlineLevel="0" collapsed="false">
      <c r="A45" s="112" t="str">
        <f aca="false">Checks!$A$156&amp;CHAR(10)&amp;IF(Checks!$I$156="","",Checks!$I$156&amp;": ")&amp;Checks!$J$156</f>
        <v>F05-T12-09
Seat Linen: Seat pillow (EY) - prepared</v>
      </c>
      <c r="B45" s="112" t="str">
        <f aca="false">Checks!$K$156&amp;IF(Checks!$O$156="","",IF(Checks!$K$156="","",CHAR(10))&amp;"Note: "&amp;Checks!$O$156)</f>
        <v>Available 100% (ticked in reference)
Note: Reference gives no uplift stn for this item: preparation checked at the meal uplift stn (NRT) - confirm with caterer.</v>
      </c>
      <c r="C45" s="112" t="str">
        <f aca="false">Checks!$N$156&amp;CHAR(10)&amp;IF(ISNUMBER(Checks!$R$156),TEXT(Checks!$R$156,"DD-MMM-YY HH:MM"),"")&amp;" "&amp;Checks!$P$156</f>
        <v>Required
14-Oct-26 22:05 NRT</v>
      </c>
      <c r="D45" s="112" t="str">
        <f aca="false">IF(Checks!$U$156="","",Checks!$U$156)&amp;IF(Checks!$AB$156="","",CHAR(10)&amp;"CA: "&amp;Checks!$AB$156)</f>
        <v/>
      </c>
      <c r="E45" s="112" t="str">
        <f aca="false">IF(Checks!$V$156="","",Checks!$V$156)&amp;IF(Checks!$AC$156="","",IF(Checks!$V$156="","",CHAR(10))&amp;"N/A just.: "&amp;Checks!$AC$156)&amp;IF(Checks!$W$156="","",CHAR(10)&amp;"Batch: "&amp;Checks!$W$156)&amp;IF(AND(Checks!$X$156="",Checks!$Y$156=""),"",CHAR(10)&amp;"Exp: "&amp;Checks!$X$156&amp;"  /  Act: "&amp;Checks!$Y$156)</f>
        <v/>
      </c>
      <c r="F45" s="112" t="str">
        <f aca="false">IF(Checks!$Z$156="","","Evidence: "&amp;Checks!$Z$156)&amp;IF(Checks!$AA$156="","",IF(Checks!$Z$156="","",CHAR(10))&amp;"CA: "&amp;Checks!$AA$156)</f>
        <v/>
      </c>
      <c r="G45" s="112" t="str">
        <f aca="false">IF(ISNUMBER(Checks!$AD$156),TEXT(Checks!$AD$156,"DD-MMM-YY HH:MM")&amp;" "&amp;Checks!$P$156,"")&amp;IF(Checks!$AE$156="","",CHAR(10)&amp;"Verifier: "&amp;Checks!$AE$156)&amp;IF(Checks!$T$156="","",CHAR(10)&amp;"PIC: "&amp;Checks!$T$156)</f>
        <v/>
      </c>
      <c r="H45" s="113" t="str">
        <f aca="false">IF(Checks!$AH$156="","",Checks!$AH$156)</f>
        <v>OPEN</v>
      </c>
    </row>
    <row r="46" customFormat="false" ht="246" hidden="false" customHeight="true" outlineLevel="0" collapsed="false">
      <c r="A46" s="112" t="str">
        <f aca="false">Checks!$A$157&amp;CHAR(10)&amp;IF(Checks!$I$157="","",Checks!$I$157&amp;": ")&amp;Checks!$J$157</f>
        <v>F05-T12-10
Seat Linen: Blanket (EY) - prepared</v>
      </c>
      <c r="B46" s="112"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2" t="str">
        <f aca="false">Checks!$N$157&amp;CHAR(10)&amp;IF(ISNUMBER(Checks!$R$157),TEXT(Checks!$R$157,"DD-MMM-YY HH:MM"),"")&amp;" "&amp;Checks!$P$157</f>
        <v>Required
14-Oct-26 22:05 NRT</v>
      </c>
      <c r="D46" s="112" t="str">
        <f aca="false">IF(Checks!$U$157="","",Checks!$U$157)&amp;IF(Checks!$AB$157="","",CHAR(10)&amp;"CA: "&amp;Checks!$AB$157)</f>
        <v/>
      </c>
      <c r="E46" s="112" t="str">
        <f aca="false">IF(Checks!$V$157="","",Checks!$V$157)&amp;IF(Checks!$AC$157="","",IF(Checks!$V$157="","",CHAR(10))&amp;"N/A just.: "&amp;Checks!$AC$157)&amp;IF(Checks!$W$157="","",CHAR(10)&amp;"Batch: "&amp;Checks!$W$157)&amp;IF(AND(Checks!$X$157="",Checks!$Y$157=""),"",CHAR(10)&amp;"Exp: "&amp;Checks!$X$157&amp;"  /  Act: "&amp;Checks!$Y$157)</f>
        <v/>
      </c>
      <c r="F46" s="112" t="str">
        <f aca="false">IF(Checks!$Z$157="","","Evidence: "&amp;Checks!$Z$157)&amp;IF(Checks!$AA$157="","",IF(Checks!$Z$157="","",CHAR(10))&amp;"CA: "&amp;Checks!$AA$157)</f>
        <v/>
      </c>
      <c r="G46" s="112" t="str">
        <f aca="false">IF(ISNUMBER(Checks!$AD$157),TEXT(Checks!$AD$157,"DD-MMM-YY HH:MM")&amp;" "&amp;Checks!$P$157,"")&amp;IF(Checks!$AE$157="","",CHAR(10)&amp;"Verifier: "&amp;Checks!$AE$157)&amp;IF(Checks!$T$157="","",CHAR(10)&amp;"PIC: "&amp;Checks!$T$157)</f>
        <v/>
      </c>
      <c r="H46" s="113" t="str">
        <f aca="false">IF(Checks!$AH$157="","",Checks!$AH$157)</f>
        <v>OPEN</v>
      </c>
    </row>
    <row r="47" customFormat="false" ht="256.5" hidden="false" customHeight="true" outlineLevel="0" collapsed="false">
      <c r="A47" s="112" t="str">
        <f aca="false">Checks!$A$158&amp;CHAR(10)&amp;IF(Checks!$I$158="","",Checks!$I$158&amp;": ")&amp;Checks!$J$158</f>
        <v>F05-T12-11
Sales Cart: Sales cart (caterer PASB) - prepared</v>
      </c>
      <c r="B47" s="112"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2" t="str">
        <f aca="false">Checks!$N$158&amp;CHAR(10)&amp;IF(ISNUMBER(Checks!$R$158),TEXT(Checks!$R$158,"DD-MMM-YY HH:MM"),"")&amp;" "&amp;Checks!$P$158</f>
        <v>Clarification required
14-Oct-26 22:05 NRT</v>
      </c>
      <c r="D47" s="112" t="str">
        <f aca="false">IF(Checks!$U$158="","",Checks!$U$158)&amp;IF(Checks!$AB$158="","",CHAR(10)&amp;"CA: "&amp;Checks!$AB$158)</f>
        <v/>
      </c>
      <c r="E47" s="112" t="str">
        <f aca="false">IF(Checks!$V$158="","",Checks!$V$158)&amp;IF(Checks!$AC$158="","",IF(Checks!$V$158="","",CHAR(10))&amp;"N/A just.: "&amp;Checks!$AC$158)&amp;IF(Checks!$W$158="","",CHAR(10)&amp;"Batch: "&amp;Checks!$W$158)&amp;IF(AND(Checks!$X$158="",Checks!$Y$158=""),"",CHAR(10)&amp;"Exp: "&amp;Checks!$X$158&amp;"  /  Act: "&amp;Checks!$Y$158)</f>
        <v/>
      </c>
      <c r="F47" s="112" t="str">
        <f aca="false">IF(Checks!$Z$158="","","Evidence: "&amp;Checks!$Z$158)&amp;IF(Checks!$AA$158="","",IF(Checks!$Z$158="","",CHAR(10))&amp;"CA: "&amp;Checks!$AA$158)</f>
        <v/>
      </c>
      <c r="G47" s="112" t="str">
        <f aca="false">IF(ISNUMBER(Checks!$AD$158),TEXT(Checks!$AD$158,"DD-MMM-YY HH:MM")&amp;" "&amp;Checks!$P$158,"")&amp;IF(Checks!$AE$158="","",CHAR(10)&amp;"Verifier: "&amp;Checks!$AE$158)&amp;IF(Checks!$T$158="","",CHAR(10)&amp;"PIC: "&amp;Checks!$T$158)</f>
        <v/>
      </c>
      <c r="H47" s="113" t="str">
        <f aca="false">IF(Checks!$AH$158="","",Checks!$AH$158)</f>
        <v>OPEN – CLARIFICATION</v>
      </c>
    </row>
    <row r="48" customFormat="false" ht="25.5" hidden="false" customHeight="true" outlineLevel="0" collapsed="false">
      <c r="A48" s="111"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1"/>
      <c r="C48" s="111"/>
      <c r="D48" s="111"/>
      <c r="E48" s="111"/>
      <c r="F48" s="111"/>
      <c r="G48" s="111"/>
      <c r="H48" s="111"/>
    </row>
    <row r="49" customFormat="false" ht="114" hidden="false" customHeight="true" outlineLevel="0" collapsed="false">
      <c r="A49" s="112" t="str">
        <f aca="false">Checks!$A$159&amp;CHAR(10)&amp;IF(Checks!$I$159="","",Checks!$I$159&amp;": ")&amp;Checks!$J$159</f>
        <v>F05-UPL-01
Meal: Meals physically uplifted on board - quantity vs menu checklist</v>
      </c>
      <c r="B49" s="112" t="str">
        <f aca="false">Checks!$K$159&amp;IF(Checks!$O$159="","",IF(Checks!$K$159="","",CHAR(10))&amp;"Note: "&amp;Checks!$O$159)</f>
        <v>Enter expected &amp; actual
Note: Confirm on board before departure; completion time must fall inside the uplift window.</v>
      </c>
      <c r="C49" s="112" t="str">
        <f aca="false">Checks!$N$159&amp;CHAR(10)&amp;IF(ISNUMBER(Checks!$R$159),TEXT(Checks!$R$159,"DD-MMM-YY HH:MM"),"")&amp;" "&amp;Checks!$P$159</f>
        <v>Required
15-Oct-26 10:05 NRT</v>
      </c>
      <c r="D49" s="112" t="str">
        <f aca="false">IF(Checks!$U$159="","",Checks!$U$159)&amp;IF(Checks!$AB$159="","",CHAR(10)&amp;"CA: "&amp;Checks!$AB$159)</f>
        <v/>
      </c>
      <c r="E49" s="112" t="str">
        <f aca="false">IF(Checks!$V$159="","",Checks!$V$159)&amp;IF(Checks!$AC$159="","",IF(Checks!$V$159="","",CHAR(10))&amp;"N/A just.: "&amp;Checks!$AC$159)&amp;IF(Checks!$W$159="","",CHAR(10)&amp;"Batch: "&amp;Checks!$W$159)&amp;IF(AND(Checks!$X$159="",Checks!$Y$159=""),"",CHAR(10)&amp;"Exp: "&amp;Checks!$X$159&amp;"  /  Act: "&amp;Checks!$Y$159)</f>
        <v/>
      </c>
      <c r="F49" s="112" t="str">
        <f aca="false">IF(Checks!$Z$159="","","Evidence: "&amp;Checks!$Z$159)&amp;IF(Checks!$AA$159="","",IF(Checks!$Z$159="","",CHAR(10))&amp;"CA: "&amp;Checks!$AA$159)</f>
        <v/>
      </c>
      <c r="G49" s="112" t="str">
        <f aca="false">IF(ISNUMBER(Checks!$AD$159),TEXT(Checks!$AD$159,"DD-MMM-YY HH:MM")&amp;" "&amp;Checks!$P$159,"")&amp;IF(Checks!$AE$159="","",CHAR(10)&amp;"Verifier: "&amp;Checks!$AE$159)&amp;IF(Checks!$T$159="","",CHAR(10)&amp;"PIC: "&amp;Checks!$T$159)</f>
        <v/>
      </c>
      <c r="H49" s="113" t="str">
        <f aca="false">IF(Checks!$AH$159="","",Checks!$AH$159)</f>
        <v>OPEN</v>
      </c>
    </row>
    <row r="50" customFormat="false" ht="114" hidden="false" customHeight="true" outlineLevel="0" collapsed="false">
      <c r="A50" s="112" t="str">
        <f aca="false">Checks!$A$160&amp;CHAR(10)&amp;IF(Checks!$I$160="","",Checks!$I$160&amp;": ")&amp;Checks!$J$160</f>
        <v>F05-UPL-02
Equipment: Equipment physically loaded at GLD positions - quantity &amp; positions</v>
      </c>
      <c r="B50" s="112" t="str">
        <f aca="false">Checks!$K$160&amp;IF(Checks!$O$160="","",IF(Checks!$K$160="","",CHAR(10))&amp;"Note: "&amp;Checks!$O$160)</f>
        <v>Enter expected &amp; actual
Note: Confirm on board before departure; completion time must fall inside the uplift window.</v>
      </c>
      <c r="C50" s="112" t="str">
        <f aca="false">Checks!$N$160&amp;CHAR(10)&amp;IF(ISNUMBER(Checks!$R$160),TEXT(Checks!$R$160,"DD-MMM-YY HH:MM"),"")&amp;" "&amp;Checks!$P$160</f>
        <v>Required
15-Oct-26 10:05 NRT</v>
      </c>
      <c r="D50" s="112" t="str">
        <f aca="false">IF(Checks!$U$160="","",Checks!$U$160)&amp;IF(Checks!$AB$160="","",CHAR(10)&amp;"CA: "&amp;Checks!$AB$160)</f>
        <v/>
      </c>
      <c r="E50" s="112" t="str">
        <f aca="false">IF(Checks!$V$160="","",Checks!$V$160)&amp;IF(Checks!$AC$160="","",IF(Checks!$V$160="","",CHAR(10))&amp;"N/A just.: "&amp;Checks!$AC$160)&amp;IF(Checks!$W$160="","",CHAR(10)&amp;"Batch: "&amp;Checks!$W$160)&amp;IF(AND(Checks!$X$160="",Checks!$Y$160=""),"",CHAR(10)&amp;"Exp: "&amp;Checks!$X$160&amp;"  /  Act: "&amp;Checks!$Y$160)</f>
        <v/>
      </c>
      <c r="F50" s="112" t="str">
        <f aca="false">IF(Checks!$Z$160="","","Evidence: "&amp;Checks!$Z$160)&amp;IF(Checks!$AA$160="","",IF(Checks!$Z$160="","",CHAR(10))&amp;"CA: "&amp;Checks!$AA$160)</f>
        <v/>
      </c>
      <c r="G50" s="112" t="str">
        <f aca="false">IF(ISNUMBER(Checks!$AD$160),TEXT(Checks!$AD$160,"DD-MMM-YY HH:MM")&amp;" "&amp;Checks!$P$160,"")&amp;IF(Checks!$AE$160="","",CHAR(10)&amp;"Verifier: "&amp;Checks!$AE$160)&amp;IF(Checks!$T$160="","",CHAR(10)&amp;"PIC: "&amp;Checks!$T$160)</f>
        <v/>
      </c>
      <c r="H50" s="113" t="str">
        <f aca="false">IF(Checks!$AH$160="","",Checks!$AH$160)</f>
        <v>OPEN</v>
      </c>
    </row>
    <row r="51" customFormat="false" ht="114" hidden="false" customHeight="true" outlineLevel="0" collapsed="false">
      <c r="A51" s="112" t="str">
        <f aca="false">Checks!$A$161&amp;CHAR(10)&amp;IF(Checks!$I$161="","",Checks!$I$161&amp;": ")&amp;Checks!$J$161</f>
        <v>F05-UPL-03
Uplift plan: KUL-sourced items physically loaded at KUL on the inbound KUL-NRT flight</v>
      </c>
      <c r="B51" s="112" t="str">
        <f aca="false">Checks!$K$161&amp;IF(Checks!$O$161="","",IF(Checks!$K$161="","",CHAR(10))&amp;"Note: "&amp;Checks!$O$161)</f>
        <v>Items: Toiletry kits. Quantities as per Requirements
Note: Confirmed at KUL inside the uplift window before the carrying flight's KUL departure (Flights AX).</v>
      </c>
      <c r="C51" s="112" t="str">
        <f aca="false">Checks!$N$161&amp;CHAR(10)&amp;IF(ISNUMBER(Checks!$R$161),TEXT(Checks!$R$161,"DD-MMM-YY HH:MM"),"")&amp;" "&amp;Checks!$P$161</f>
        <v>Required
10-Oct-26 23:30 KUL</v>
      </c>
      <c r="D51" s="112" t="str">
        <f aca="false">IF(Checks!$U$161="","",Checks!$U$161)&amp;IF(Checks!$AB$161="","",CHAR(10)&amp;"CA: "&amp;Checks!$AB$161)</f>
        <v/>
      </c>
      <c r="E51" s="112" t="str">
        <f aca="false">IF(Checks!$V$161="","",Checks!$V$161)&amp;IF(Checks!$AC$161="","",IF(Checks!$V$161="","",CHAR(10))&amp;"N/A just.: "&amp;Checks!$AC$161)&amp;IF(Checks!$W$161="","",CHAR(10)&amp;"Batch: "&amp;Checks!$W$161)&amp;IF(AND(Checks!$X$161="",Checks!$Y$161=""),"",CHAR(10)&amp;"Exp: "&amp;Checks!$X$161&amp;"  /  Act: "&amp;Checks!$Y$161)</f>
        <v/>
      </c>
      <c r="F51" s="112" t="str">
        <f aca="false">IF(Checks!$Z$161="","","Evidence: "&amp;Checks!$Z$161)&amp;IF(Checks!$AA$161="","",IF(Checks!$Z$161="","",CHAR(10))&amp;"CA: "&amp;Checks!$AA$161)</f>
        <v/>
      </c>
      <c r="G51" s="112" t="str">
        <f aca="false">IF(ISNUMBER(Checks!$AD$161),TEXT(Checks!$AD$161,"DD-MMM-YY HH:MM")&amp;" "&amp;Checks!$P$161,"")&amp;IF(Checks!$AE$161="","",CHAR(10)&amp;"Verifier: "&amp;Checks!$AE$161)&amp;IF(Checks!$T$161="","",CHAR(10)&amp;"PIC: "&amp;Checks!$T$161)</f>
        <v/>
      </c>
      <c r="H51" s="113" t="str">
        <f aca="false">IF(Checks!$AH$161="","",Checks!$AH$161)</f>
        <v>OPEN</v>
      </c>
    </row>
    <row r="52" customFormat="false" ht="135.75" hidden="false" customHeight="true" outlineLevel="0" collapsed="false">
      <c r="A52" s="112" t="str">
        <f aca="false">Checks!$A$162&amp;CHAR(10)&amp;IF(Checks!$I$162="","",Checks!$I$162&amp;": ")&amp;Checks!$J$162</f>
        <v>F05-UPL-04
Amenities: Toiletry kits - on board</v>
      </c>
      <c r="B52" s="112"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2" t="str">
        <f aca="false">Checks!$N$162&amp;CHAR(10)&amp;IF(ISNUMBER(Checks!$R$162),TEXT(Checks!$R$162,"DD-MMM-YY HH:MM"),"")&amp;" "&amp;Checks!$P$162</f>
        <v>Clarification required
15-Oct-26 10:05 NRT</v>
      </c>
      <c r="D52" s="112" t="str">
        <f aca="false">IF(Checks!$U$162="","",Checks!$U$162)&amp;IF(Checks!$AB$162="","",CHAR(10)&amp;"CA: "&amp;Checks!$AB$162)</f>
        <v/>
      </c>
      <c r="E52" s="112" t="str">
        <f aca="false">IF(Checks!$V$162="","",Checks!$V$162)&amp;IF(Checks!$AC$162="","",IF(Checks!$V$162="","",CHAR(10))&amp;"N/A just.: "&amp;Checks!$AC$162)&amp;IF(Checks!$W$162="","",CHAR(10)&amp;"Batch: "&amp;Checks!$W$162)&amp;IF(AND(Checks!$X$162="",Checks!$Y$162=""),"",CHAR(10)&amp;"Exp: "&amp;Checks!$X$162&amp;"  /  Act: "&amp;Checks!$Y$162)</f>
        <v/>
      </c>
      <c r="F52" s="112" t="str">
        <f aca="false">IF(Checks!$Z$162="","","Evidence: "&amp;Checks!$Z$162)&amp;IF(Checks!$AA$162="","",IF(Checks!$Z$162="","",CHAR(10))&amp;"CA: "&amp;Checks!$AA$162)</f>
        <v/>
      </c>
      <c r="G52" s="112" t="str">
        <f aca="false">IF(ISNUMBER(Checks!$AD$162),TEXT(Checks!$AD$162,"DD-MMM-YY HH:MM")&amp;" "&amp;Checks!$P$162,"")&amp;IF(Checks!$AE$162="","",CHAR(10)&amp;"Verifier: "&amp;Checks!$AE$162)&amp;IF(Checks!$T$162="","",CHAR(10)&amp;"PIC: "&amp;Checks!$T$162)</f>
        <v/>
      </c>
      <c r="H52" s="113" t="str">
        <f aca="false">IF(Checks!$AH$162="","",Checks!$AH$162)</f>
        <v>OPEN – CLARIFICATION</v>
      </c>
    </row>
    <row r="53" customFormat="false" ht="114" hidden="false" customHeight="true" outlineLevel="0" collapsed="false">
      <c r="A53" s="112" t="str">
        <f aca="false">Checks!$A$163&amp;CHAR(10)&amp;IF(Checks!$I$163="","",Checks!$I$163&amp;": ")&amp;Checks!$J$163</f>
        <v>F05-UPL-05
Seat Linen: Seat pillow (EY) - on board</v>
      </c>
      <c r="B53" s="112" t="str">
        <f aca="false">Checks!$K$163&amp;IF(Checks!$O$163="","",IF(Checks!$K$163="","",CHAR(10))&amp;"Note: "&amp;Checks!$O$163)</f>
        <v>Available 100% (ticked in reference)</v>
      </c>
      <c r="C53" s="112" t="str">
        <f aca="false">Checks!$N$163&amp;CHAR(10)&amp;IF(ISNUMBER(Checks!$R$163),TEXT(Checks!$R$163,"DD-MMM-YY HH:MM"),"")&amp;" "&amp;Checks!$P$163</f>
        <v>Required
15-Oct-26 10:05 NRT</v>
      </c>
      <c r="D53" s="112" t="str">
        <f aca="false">IF(Checks!$U$163="","",Checks!$U$163)&amp;IF(Checks!$AB$163="","",CHAR(10)&amp;"CA: "&amp;Checks!$AB$163)</f>
        <v/>
      </c>
      <c r="E53" s="112" t="str">
        <f aca="false">IF(Checks!$V$163="","",Checks!$V$163)&amp;IF(Checks!$AC$163="","",IF(Checks!$V$163="","",CHAR(10))&amp;"N/A just.: "&amp;Checks!$AC$163)&amp;IF(Checks!$W$163="","",CHAR(10)&amp;"Batch: "&amp;Checks!$W$163)&amp;IF(AND(Checks!$X$163="",Checks!$Y$163=""),"",CHAR(10)&amp;"Exp: "&amp;Checks!$X$163&amp;"  /  Act: "&amp;Checks!$Y$163)</f>
        <v/>
      </c>
      <c r="F53" s="112" t="str">
        <f aca="false">IF(Checks!$Z$163="","","Evidence: "&amp;Checks!$Z$163)&amp;IF(Checks!$AA$163="","",IF(Checks!$Z$163="","",CHAR(10))&amp;"CA: "&amp;Checks!$AA$163)</f>
        <v/>
      </c>
      <c r="G53" s="112" t="str">
        <f aca="false">IF(ISNUMBER(Checks!$AD$163),TEXT(Checks!$AD$163,"DD-MMM-YY HH:MM")&amp;" "&amp;Checks!$P$163,"")&amp;IF(Checks!$AE$163="","",CHAR(10)&amp;"Verifier: "&amp;Checks!$AE$163)&amp;IF(Checks!$T$163="","",CHAR(10)&amp;"PIC: "&amp;Checks!$T$163)</f>
        <v/>
      </c>
      <c r="H53" s="113" t="str">
        <f aca="false">IF(Checks!$AH$163="","",Checks!$AH$163)</f>
        <v>OPEN</v>
      </c>
    </row>
    <row r="54" customFormat="false" ht="168.75" hidden="false" customHeight="true" outlineLevel="0" collapsed="false">
      <c r="A54" s="112" t="str">
        <f aca="false">Checks!$A$164&amp;CHAR(10)&amp;IF(Checks!$I$164="","",Checks!$I$164&amp;": ")&amp;Checks!$J$164</f>
        <v>F05-UPL-06
Seat Linen: Blanket (EY) - on board</v>
      </c>
      <c r="B54" s="112"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2" t="str">
        <f aca="false">Checks!$N$164&amp;CHAR(10)&amp;IF(ISNUMBER(Checks!$R$164),TEXT(Checks!$R$164,"DD-MMM-YY HH:MM"),"")&amp;" "&amp;Checks!$P$164</f>
        <v>Required
15-Oct-26 10:05 NRT</v>
      </c>
      <c r="D54" s="112" t="str">
        <f aca="false">IF(Checks!$U$164="","",Checks!$U$164)&amp;IF(Checks!$AB$164="","",CHAR(10)&amp;"CA: "&amp;Checks!$AB$164)</f>
        <v/>
      </c>
      <c r="E54" s="112" t="str">
        <f aca="false">IF(Checks!$V$164="","",Checks!$V$164)&amp;IF(Checks!$AC$164="","",IF(Checks!$V$164="","",CHAR(10))&amp;"N/A just.: "&amp;Checks!$AC$164)&amp;IF(Checks!$W$164="","",CHAR(10)&amp;"Batch: "&amp;Checks!$W$164)&amp;IF(AND(Checks!$X$164="",Checks!$Y$164=""),"",CHAR(10)&amp;"Exp: "&amp;Checks!$X$164&amp;"  /  Act: "&amp;Checks!$Y$164)</f>
        <v/>
      </c>
      <c r="F54" s="112" t="str">
        <f aca="false">IF(Checks!$Z$164="","","Evidence: "&amp;Checks!$Z$164)&amp;IF(Checks!$AA$164="","",IF(Checks!$Z$164="","",CHAR(10))&amp;"CA: "&amp;Checks!$AA$164)</f>
        <v/>
      </c>
      <c r="G54" s="112" t="str">
        <f aca="false">IF(ISNUMBER(Checks!$AD$164),TEXT(Checks!$AD$164,"DD-MMM-YY HH:MM")&amp;" "&amp;Checks!$P$164,"")&amp;IF(Checks!$AE$164="","",CHAR(10)&amp;"Verifier: "&amp;Checks!$AE$164)&amp;IF(Checks!$T$164="","",CHAR(10)&amp;"PIC: "&amp;Checks!$T$164)</f>
        <v/>
      </c>
      <c r="H54" s="113" t="str">
        <f aca="false">IF(Checks!$AH$164="","",Checks!$AH$164)</f>
        <v>OPEN</v>
      </c>
    </row>
    <row r="55" customFormat="false" ht="190.5" hidden="false" customHeight="true" outlineLevel="0" collapsed="false">
      <c r="A55" s="112" t="str">
        <f aca="false">Checks!$A$165&amp;CHAR(10)&amp;IF(Checks!$I$165="","",Checks!$I$165&amp;": ")&amp;Checks!$J$165</f>
        <v>F05-UPL-07
Sales Cart: Sales cart (caterer PASB) - on board</v>
      </c>
      <c r="B55" s="112"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2" t="str">
        <f aca="false">Checks!$N$165&amp;CHAR(10)&amp;IF(ISNUMBER(Checks!$R$165),TEXT(Checks!$R$165,"DD-MMM-YY HH:MM"),"")&amp;" "&amp;Checks!$P$165</f>
        <v>Clarification required
15-Oct-26 10:05 NRT</v>
      </c>
      <c r="D55" s="112" t="str">
        <f aca="false">IF(Checks!$U$165="","",Checks!$U$165)&amp;IF(Checks!$AB$165="","",CHAR(10)&amp;"CA: "&amp;Checks!$AB$165)</f>
        <v/>
      </c>
      <c r="E55" s="112" t="str">
        <f aca="false">IF(Checks!$V$165="","",Checks!$V$165)&amp;IF(Checks!$AC$165="","",IF(Checks!$V$165="","",CHAR(10))&amp;"N/A just.: "&amp;Checks!$AC$165)&amp;IF(Checks!$W$165="","",CHAR(10)&amp;"Batch: "&amp;Checks!$W$165)&amp;IF(AND(Checks!$X$165="",Checks!$Y$165=""),"",CHAR(10)&amp;"Exp: "&amp;Checks!$X$165&amp;"  /  Act: "&amp;Checks!$Y$165)</f>
        <v/>
      </c>
      <c r="F55" s="112" t="str">
        <f aca="false">IF(Checks!$Z$165="","","Evidence: "&amp;Checks!$Z$165)&amp;IF(Checks!$AA$165="","",IF(Checks!$Z$165="","",CHAR(10))&amp;"CA: "&amp;Checks!$AA$165)</f>
        <v/>
      </c>
      <c r="G55" s="112" t="str">
        <f aca="false">IF(ISNUMBER(Checks!$AD$165),TEXT(Checks!$AD$165,"DD-MMM-YY HH:MM")&amp;" "&amp;Checks!$P$165,"")&amp;IF(Checks!$AE$165="","",CHAR(10)&amp;"Verifier: "&amp;Checks!$AE$165)&amp;IF(Checks!$T$165="","",CHAR(10)&amp;"PIC: "&amp;Checks!$T$165)</f>
        <v/>
      </c>
      <c r="H55" s="113" t="str">
        <f aca="false">IF(Checks!$AH$165="","",Checks!$AH$165)</f>
        <v>OPEN – CLARIFICATION</v>
      </c>
    </row>
    <row r="57" customFormat="false" ht="24" hidden="false" customHeight="true" outlineLevel="0" collapsed="false">
      <c r="A57" s="114" t="s">
        <v>1647</v>
      </c>
      <c r="B57" s="114"/>
      <c r="C57" s="114"/>
      <c r="D57" s="114"/>
      <c r="E57" s="114" t="s">
        <v>1648</v>
      </c>
      <c r="F57" s="114"/>
      <c r="G57" s="114"/>
      <c r="H57" s="114"/>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row r="63" customFormat="false" ht="21.75" hidden="false" customHeight="true" outlineLevel="0" collapsed="false">
      <c r="A63" s="115"/>
      <c r="B63" s="115"/>
      <c r="C63" s="115"/>
      <c r="D63" s="115"/>
      <c r="E63" s="115"/>
      <c r="F63" s="115"/>
      <c r="G63" s="115"/>
      <c r="H63" s="115"/>
    </row>
    <row r="64" customFormat="false" ht="21.75" hidden="false" customHeight="true" outlineLevel="0" collapsed="false">
      <c r="A64" s="115"/>
      <c r="B64" s="115"/>
      <c r="C64" s="115"/>
      <c r="D64" s="115"/>
      <c r="E64" s="115"/>
      <c r="F64" s="115"/>
      <c r="G64" s="115"/>
      <c r="H64" s="115"/>
    </row>
    <row r="65" customFormat="false" ht="21.75" hidden="false" customHeight="true" outlineLevel="0" collapsed="false">
      <c r="A65" s="115"/>
      <c r="B65" s="115"/>
      <c r="C65" s="115"/>
      <c r="D65" s="115"/>
      <c r="E65" s="115"/>
      <c r="F65" s="115"/>
      <c r="G65" s="115"/>
      <c r="H65" s="115"/>
    </row>
    <row r="66" customFormat="false" ht="21.75" hidden="false" customHeight="true" outlineLevel="0" collapsed="false">
      <c r="A66" s="115"/>
      <c r="B66" s="115"/>
      <c r="C66" s="115"/>
      <c r="D66" s="115"/>
      <c r="E66" s="115"/>
      <c r="F66" s="115"/>
      <c r="G66" s="115"/>
      <c r="H66" s="115"/>
    </row>
    <row r="67" customFormat="false" ht="21.75" hidden="false" customHeight="true" outlineLevel="0" collapsed="false">
      <c r="A67" s="115"/>
      <c r="B67" s="115"/>
      <c r="C67" s="115"/>
      <c r="D67" s="115"/>
      <c r="E67" s="115"/>
      <c r="F67" s="115"/>
      <c r="G67" s="115"/>
      <c r="H67" s="115"/>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F06  "&amp;Flights!$F$10&amp;"  "&amp;TEXT(Flights!$D$10,"DD-MMM-YY")&amp;" ("&amp;Flights!$E$10&amp;")  "&amp;Flights!$G$10&amp;" → "&amp;Flights!$H$10&amp;"  |  Class "&amp;Flights!$K$10</f>
        <v>SKYTRAX 2026 CATERING READINESS CHECKLIST  |  F06  MH0002  15-Oct-26 (THU)  KUL → LHR  |  Class BC</v>
      </c>
      <c r="B1" s="90"/>
      <c r="C1" s="90"/>
      <c r="D1" s="90"/>
      <c r="E1" s="90"/>
      <c r="F1" s="90"/>
      <c r="G1" s="90"/>
      <c r="H1" s="90"/>
    </row>
    <row r="2" customFormat="false" ht="12.75" hidden="false" customHeight="true" outlineLevel="0" collapsed="false">
      <c r="A2" s="91" t="s">
        <v>1602</v>
      </c>
      <c r="B2" s="92" t="str">
        <f aca="false">Flights!$F$10&amp;"   "&amp;TEXT(Flights!$D$10,"DD-MMM-YY")&amp;" ("&amp;Flights!$E$10&amp;")"</f>
        <v>MH0002   15-Oct-26 (THU)</v>
      </c>
      <c r="C2" s="92"/>
      <c r="D2" s="92"/>
      <c r="E2" s="93" t="s">
        <v>1603</v>
      </c>
      <c r="F2" s="94" t="str">
        <f aca="false">Flights!$AT$10</f>
        <v>NOT READY – DOCUMENTS</v>
      </c>
      <c r="G2" s="94"/>
      <c r="H2" s="94"/>
    </row>
    <row r="3" customFormat="false" ht="24" hidden="false" customHeight="true" outlineLevel="0" collapsed="false">
      <c r="A3" s="91" t="s">
        <v>1604</v>
      </c>
      <c r="B3" s="92" t="str">
        <f aca="false">Flights!$G$10&amp;" → "&amp;Flights!$H$10&amp;"   Class "&amp;Flights!$K$10&amp;"   Seat "&amp;Flights!$O$10</f>
        <v>KUL → LHR   Class BC   Seat 2K</v>
      </c>
      <c r="C3" s="92"/>
      <c r="D3" s="92"/>
      <c r="E3" s="93" t="s">
        <v>66</v>
      </c>
      <c r="F3" s="93" t="s">
        <v>1605</v>
      </c>
      <c r="G3" s="93" t="s">
        <v>1606</v>
      </c>
      <c r="H3" s="93"/>
    </row>
    <row r="4" customFormat="false" ht="24" hidden="false" customHeight="true" outlineLevel="0" collapsed="false">
      <c r="A4" s="91" t="s">
        <v>1607</v>
      </c>
      <c r="B4" s="92" t="str">
        <f aca="false">IF(ISNUMBER(Flights!$I$10),TEXT(Flights!$I$10,"DD-MMM-YY HH:MM"),"")&amp;" "&amp;Flights!$G$10&amp;"  →  "&amp;IF(ISNUMBER(Flights!$J$10),TEXT(Flights!$J$10,"DD-MMM-YY HH:MM"),"")&amp;" "&amp;Flights!$H$10</f>
        <v>15-Oct-26 23:20 KUL  →  16-Oct-26 05:55 LHR</v>
      </c>
      <c r="C4" s="92"/>
      <c r="D4" s="92"/>
      <c r="E4" s="91" t="s">
        <v>1608</v>
      </c>
      <c r="F4" s="95" t="str">
        <f aca="false">IF(ISNUMBER(Flights!$AG$10),TEXT(Flights!$AG$10,"DD-MMM-YY HH:MM"),"")&amp;" "&amp;Flights!$V$10</f>
        <v>08-Oct-26 23:20 KUL</v>
      </c>
      <c r="G4" s="96" t="n">
        <f aca="false">Flights!$AJ$10</f>
        <v>0</v>
      </c>
      <c r="H4" s="96"/>
    </row>
    <row r="5" customFormat="false" ht="24" hidden="false" customHeight="true" outlineLevel="0" collapsed="false">
      <c r="A5" s="91" t="s">
        <v>1609</v>
      </c>
      <c r="B5" s="92" t="str">
        <f aca="false">Flights!$L$10&amp;" – "&amp;Flights!$M$10</f>
        <v>A350 – A350-900: A359 (9M-MAB..MAG, row 6) or A350 9M-MAH (row 7) - tail to confirm</v>
      </c>
      <c r="C5" s="92"/>
      <c r="D5" s="92"/>
      <c r="E5" s="91" t="s">
        <v>1610</v>
      </c>
      <c r="F5" s="95" t="str">
        <f aca="false">IF(ISNUMBER(Flights!$AH$10),TEXT(Flights!$AH$10,"DD-MMM-YY HH:MM"),"")&amp;" "&amp;Flights!$V$10</f>
        <v>14-Oct-26 23:20 KUL</v>
      </c>
      <c r="G5" s="96" t="n">
        <f aca="false">Flights!$AK$10</f>
        <v>0</v>
      </c>
      <c r="H5" s="96"/>
    </row>
    <row r="6" customFormat="false" ht="24" hidden="false" customHeight="true" outlineLevel="0" collapsed="false">
      <c r="A6" s="91" t="s">
        <v>1611</v>
      </c>
      <c r="B6" s="92" t="str">
        <f aca="false">IF(TRIM(Flights!$N$10)="","__________________",Flights!$N$10)</f>
        <v>__________________</v>
      </c>
      <c r="C6" s="92"/>
      <c r="D6" s="92"/>
      <c r="E6" s="91" t="s">
        <v>1612</v>
      </c>
      <c r="F6" s="95" t="str">
        <f aca="false">IF(ISNUMBER(Flights!$AI$10),TEXT(Flights!$AI$10,"DD-MMM-YY HH:MM"),"")&amp;" "&amp;Flights!$V$10&amp;IF(Flights!$AI$10=Flights!$AH$10,"  (= T-24H due)","")</f>
        <v>15-Oct-26 11:20 KUL</v>
      </c>
      <c r="G6" s="96" t="n">
        <f aca="false">Flights!$AL$10</f>
        <v>0</v>
      </c>
      <c r="H6" s="96"/>
    </row>
    <row r="7" customFormat="false" ht="24" hidden="false" customHeight="true" outlineLevel="0" collapsed="false">
      <c r="A7" s="91" t="s">
        <v>1613</v>
      </c>
      <c r="B7" s="92" t="str">
        <f aca="false">Flights!$T$10</f>
        <v>2.5 Meal (Meal)</v>
      </c>
      <c r="C7" s="92"/>
      <c r="D7" s="92"/>
      <c r="E7" s="91" t="s">
        <v>1614</v>
      </c>
      <c r="F7" s="95" t="str">
        <f aca="false">"STD "&amp;IF(ISNUMBER(Flights!$I$10),TEXT(Flights!$I$10,"DD-MMM-YY HH:MM"),"")&amp;" "&amp;Flights!$G$10&amp;" (dep stn)"</f>
        <v>STD 15-Oct-26 23:20 KUL (dep stn)</v>
      </c>
      <c r="G7" s="96" t="n">
        <f aca="false">Flights!$AM$10</f>
        <v>0</v>
      </c>
      <c r="H7" s="96"/>
    </row>
    <row r="8" customFormat="false" ht="12.75" hidden="false" customHeight="true" outlineLevel="0" collapsed="false">
      <c r="A8" s="91" t="s">
        <v>148</v>
      </c>
      <c r="B8" s="92" t="str">
        <f aca="false">Flights!$V$10&amp;"   (reference uplift stns: "&amp;Flights!$U$10&amp;")"</f>
        <v>KUL   (reference uplift stns: KUL/LHR)</v>
      </c>
      <c r="C8" s="92"/>
      <c r="D8" s="92"/>
      <c r="E8" s="91" t="s">
        <v>1615</v>
      </c>
      <c r="F8" s="97" t="s">
        <v>1616</v>
      </c>
      <c r="G8" s="96" t="n">
        <f aca="false">Flights!$AN$10</f>
        <v>0</v>
      </c>
      <c r="H8" s="96"/>
    </row>
    <row r="9" customFormat="false" ht="12.75" hidden="false" customHeight="true" outlineLevel="0" collapsed="false">
      <c r="A9" s="91" t="s">
        <v>1617</v>
      </c>
      <c r="B9" s="92" t="str">
        <f aca="false">TRIM(Flights!$P$10&amp;"  "&amp;Flights!$Q$10)</f>
        <v>6H 35M</v>
      </c>
      <c r="C9" s="92"/>
      <c r="D9" s="92"/>
      <c r="E9" s="91" t="s">
        <v>1618</v>
      </c>
      <c r="F9" s="98" t="n">
        <f aca="false">Flights!$AP$10</f>
        <v>0</v>
      </c>
      <c r="G9" s="98" t="n">
        <f aca="false">Flights!$AQ$10</f>
        <v>0</v>
      </c>
      <c r="H9" s="98" t="n">
        <f aca="false">Flights!$AU$10</f>
        <v>0</v>
      </c>
    </row>
    <row r="10" customFormat="false" ht="24" hidden="false" customHeight="true" outlineLevel="0" collapsed="false">
      <c r="A10" s="91" t="s">
        <v>1619</v>
      </c>
      <c r="B10" s="92" t="str">
        <f aca="false">IF(TRIM(Flights!$X$10)="","__________________",Flights!$X$10)</f>
        <v>__________________</v>
      </c>
      <c r="C10" s="92"/>
      <c r="D10" s="92"/>
      <c r="E10" s="91" t="s">
        <v>1620</v>
      </c>
      <c r="F10" s="98" t="n">
        <f aca="false">Flights!$AO$10</f>
        <v>46</v>
      </c>
      <c r="G10" s="98" t="n">
        <f aca="false">Flights!$AS$10</f>
        <v>2</v>
      </c>
      <c r="H10" s="98" t="n">
        <f aca="false">Flights!$AR$10</f>
        <v>2</v>
      </c>
    </row>
    <row r="11" customFormat="false" ht="21" hidden="false" customHeight="true" outlineLevel="0" collapsed="false">
      <c r="A11" s="91" t="s">
        <v>1621</v>
      </c>
      <c r="B11" s="92" t="str">
        <f aca="false">IF(TRIM(Flights!$Y$10)="","__________________",Flights!$Y$10)</f>
        <v>__________________</v>
      </c>
      <c r="C11" s="92"/>
      <c r="D11" s="92"/>
      <c r="E11" s="91" t="s">
        <v>1622</v>
      </c>
      <c r="F11" s="98" t="str">
        <f aca="false">Flights!$AV$10&amp;" / "&amp;Flights!$AW$10</f>
        <v>0 / 46</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IF(Documents!$F$10="","",Documents!$F$10)</f>
        <v/>
      </c>
      <c r="C14" s="97" t="str">
        <f aca="false">IF(Documents!$G$10="","",Documents!$G$10)&amp;IF(ISNUMBER(Documents!$H$10),"  "&amp;TEXT(Documents!$H$10,"DD-MMM-YY"),"")</f>
        <v/>
      </c>
      <c r="D14" s="97"/>
      <c r="E14" s="105" t="str">
        <f aca="false">IF(Documents!$J$10="OUTSTANDING","OUTSTANDING – attach before T-7D (due "&amp;IF(ISNUMBER(Flights!$AG$10),TEXT(Flights!$AG$10,"DD-MMM-YY HH:MM"),"")&amp;" "&amp;Flights!$V$10&amp;")",IF(Documents!$J$10="","Status not recorded",Documents!$J$10))</f>
        <v>OUTSTANDING – attach before T-7D (due 08-Oct-26 23:20 KUL)</v>
      </c>
      <c r="F14" s="106" t="str">
        <f aca="false">"Staple behind this sheet as page A1."&amp;IF(Documents!$I$10="",""," Location: "&amp;Documents!$I$10)</f>
        <v>Staple behind this sheet as page A1.</v>
      </c>
      <c r="G14" s="106"/>
      <c r="H14" s="106"/>
    </row>
    <row r="15" customFormat="false" ht="36" hidden="false" customHeight="true" outlineLevel="0" collapsed="false">
      <c r="A15" s="91" t="s">
        <v>1633</v>
      </c>
      <c r="B15" s="92" t="str">
        <f aca="false">IF(Documents!$K$10="","",Documents!$K$10)</f>
        <v/>
      </c>
      <c r="C15" s="97" t="str">
        <f aca="false">IF(Documents!$L$10="","",Documents!$L$10)&amp;IF(ISNUMBER(Documents!$M$10),"  "&amp;TEXT(Documents!$M$10,"DD-MMM-YY"),"")</f>
        <v/>
      </c>
      <c r="D15" s="97"/>
      <c r="E15" s="105" t="str">
        <f aca="false">IF(Documents!$O$10="OUTSTANDING","OUTSTANDING – attach before T-7D (due "&amp;IF(ISNUMBER(Flights!$AG$10),TEXT(Flights!$AG$10,"DD-MMM-YY HH:MM"),"")&amp;" "&amp;Flights!$V$10&amp;")",IF(Documents!$O$10="","Status not recorded",Documents!$O$10))</f>
        <v>OUTSTANDING – attach before T-7D (due 08-Oct-26 23:20 KUL)</v>
      </c>
      <c r="F15" s="106" t="str">
        <f aca="false">"Staple behind this sheet as page A2."&amp;IF(Documents!$N$10="",""," Location: "&amp;Documents!$N$10)</f>
        <v>Staple behind this sheet as page A2.</v>
      </c>
      <c r="G15" s="106"/>
      <c r="H15" s="106"/>
    </row>
    <row r="16" customFormat="false" ht="22.5" hidden="false" customHeight="true" outlineLevel="0" collapsed="false">
      <c r="A16" s="91" t="s">
        <v>1634</v>
      </c>
      <c r="B16" s="107" t="str">
        <f aca="false">IF(Documents!$Q$10="","",Documents!$Q$10)</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"&amp;IF(TRIM(Flights!$Y$10)="","__________________",Flights!$Y$10)</f>
        <v>Name: __________________</v>
      </c>
      <c r="B18" s="92"/>
      <c r="C18" s="92" t="str">
        <f aca="false">"Name: __________________"</f>
        <v>Name: __________________</v>
      </c>
      <c r="D18" s="92"/>
      <c r="E18" s="92"/>
      <c r="F18" s="92" t="str">
        <f aca="false">"Name: __________________"&amp;"   Station: "&amp;Flights!$V$10</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Checks!$A$166&amp;CHAR(10)&amp;IF(Checks!$I$166="","",Checks!$I$166&amp;": ")&amp;Checks!$J$166</f>
        <v>F06-T7-01
Meal: Meal sensory testing completed for this flight's menu cycle (assessed class)</v>
      </c>
      <c r="B23" s="112" t="str">
        <f aca="false">Checks!$K$166&amp;IF(Checks!$O$166="","",IF(Checks!$K$166="","",CHAR(10))&amp;"Note: "&amp;Checks!$O$166)</f>
        <v>Record panel result / score in Result</v>
      </c>
      <c r="C23" s="112" t="str">
        <f aca="false">Checks!$N$166&amp;CHAR(10)&amp;IF(ISNUMBER(Checks!$R$166),TEXT(Checks!$R$166,"DD-MMM-YY HH:MM"),"")&amp;" "&amp;Checks!$P$166</f>
        <v>Required
08-Oct-26 23:20 KUL</v>
      </c>
      <c r="D23" s="112" t="str">
        <f aca="false">IF(Checks!$U$166="","",Checks!$U$166)&amp;IF(Checks!$AB$166="","",CHAR(10)&amp;"CA: "&amp;Checks!$AB$166)</f>
        <v/>
      </c>
      <c r="E23" s="112" t="str">
        <f aca="false">IF(Checks!$V$166="","",Checks!$V$166)&amp;IF(Checks!$AC$166="","",IF(Checks!$V$166="","",CHAR(10))&amp;"N/A just.: "&amp;Checks!$AC$166)&amp;IF(Checks!$W$166="","",CHAR(10)&amp;"Batch: "&amp;Checks!$W$166)&amp;IF(AND(Checks!$X$166="",Checks!$Y$166=""),"",CHAR(10)&amp;"Exp: "&amp;Checks!$X$166&amp;"  /  Act: "&amp;Checks!$Y$166)</f>
        <v/>
      </c>
      <c r="F23" s="112" t="str">
        <f aca="false">IF(Checks!$Z$166="","","Evidence: "&amp;Checks!$Z$166)&amp;IF(Checks!$AA$166="","",IF(Checks!$Z$166="","",CHAR(10))&amp;"CA: "&amp;Checks!$AA$166)</f>
        <v/>
      </c>
      <c r="G23" s="112" t="str">
        <f aca="false">IF(ISNUMBER(Checks!$AD$166),TEXT(Checks!$AD$166,"DD-MMM-YY HH:MM")&amp;" "&amp;Checks!$P$166,"")&amp;IF(Checks!$AE$166="","",CHAR(10)&amp;"Verifier: "&amp;Checks!$AE$166)&amp;IF(Checks!$T$166="","",CHAR(10)&amp;"PIC: "&amp;Checks!$T$166)</f>
        <v/>
      </c>
      <c r="H23" s="113" t="str">
        <f aca="false">IF(Checks!$AH$166="","",Checks!$AH$166)</f>
        <v>OPEN</v>
      </c>
    </row>
    <row r="24" customFormat="false" ht="114" hidden="false" customHeight="true" outlineLevel="0" collapsed="false">
      <c r="A24" s="112" t="str">
        <f aca="false">Checks!$A$167&amp;CHAR(10)&amp;IF(Checks!$I$167="","",Checks!$I$167&amp;": ")&amp;Checks!$J$167</f>
        <v>F06-T7-02
Menu: Printed menu cards confirmed (content, cycle, language, quantity)</v>
      </c>
      <c r="B24" s="112" t="str">
        <f aca="false">Checks!$K$167&amp;IF(Checks!$O$167="","",IF(Checks!$K$167="","",CHAR(10))&amp;"Note: "&amp;Checks!$O$167)</f>
        <v>Menu card matches approved menu for this flight</v>
      </c>
      <c r="C24" s="112" t="str">
        <f aca="false">Checks!$N$167&amp;CHAR(10)&amp;IF(ISNUMBER(Checks!$R$167),TEXT(Checks!$R$167,"DD-MMM-YY HH:MM"),"")&amp;" "&amp;Checks!$P$167</f>
        <v>Required
08-Oct-26 23:20 KUL</v>
      </c>
      <c r="D24" s="112" t="str">
        <f aca="false">IF(Checks!$U$167="","",Checks!$U$167)&amp;IF(Checks!$AB$167="","",CHAR(10)&amp;"CA: "&amp;Checks!$AB$167)</f>
        <v/>
      </c>
      <c r="E24" s="112" t="str">
        <f aca="false">IF(Checks!$V$167="","",Checks!$V$167)&amp;IF(Checks!$AC$167="","",IF(Checks!$V$167="","",CHAR(10))&amp;"N/A just.: "&amp;Checks!$AC$167)&amp;IF(Checks!$W$167="","",CHAR(10)&amp;"Batch: "&amp;Checks!$W$167)&amp;IF(AND(Checks!$X$167="",Checks!$Y$167=""),"",CHAR(10)&amp;"Exp: "&amp;Checks!$X$167&amp;"  /  Act: "&amp;Checks!$Y$167)</f>
        <v/>
      </c>
      <c r="F24" s="112" t="str">
        <f aca="false">IF(Checks!$Z$167="","","Evidence: "&amp;Checks!$Z$167)&amp;IF(Checks!$AA$167="","",IF(Checks!$Z$167="","",CHAR(10))&amp;"CA: "&amp;Checks!$AA$167)</f>
        <v/>
      </c>
      <c r="G24" s="112" t="str">
        <f aca="false">IF(ISNUMBER(Checks!$AD$167),TEXT(Checks!$AD$167,"DD-MMM-YY HH:MM")&amp;" "&amp;Checks!$P$167,"")&amp;IF(Checks!$AE$167="","",CHAR(10)&amp;"Verifier: "&amp;Checks!$AE$167)&amp;IF(Checks!$T$167="","",CHAR(10)&amp;"PIC: "&amp;Checks!$T$167)</f>
        <v/>
      </c>
      <c r="H24" s="113" t="str">
        <f aca="false">IF(Checks!$AH$167="","",Checks!$AH$167)</f>
        <v>OPEN</v>
      </c>
    </row>
    <row r="25" customFormat="false" ht="114" hidden="false" customHeight="true" outlineLevel="0" collapsed="false">
      <c r="A25" s="112" t="str">
        <f aca="false">Checks!$A$168&amp;CHAR(10)&amp;IF(Checks!$I$168="","",Checks!$I$168&amp;": ")&amp;Checks!$J$168</f>
        <v>F06-T7-03
IFE: Digital menu in IFE confirmed (A339 only)</v>
      </c>
      <c r="B25" s="112" t="str">
        <f aca="false">Checks!$K$168&amp;IF(Checks!$O$168="","",IF(Checks!$K$168="","",CHAR(10))&amp;"Note: "&amp;Checks!$O$168)</f>
        <v>Applies when fleet = A339
Note: Digital IFE menu applies to A339 only (user brief). Applicability follows the Fleet cell on Flights.</v>
      </c>
      <c r="C25" s="112" t="str">
        <f aca="false">Checks!$N$168&amp;CHAR(10)&amp;IF(ISNUMBER(Checks!$R$168),TEXT(Checks!$R$168,"DD-MMM-YY HH:MM"),"")&amp;" "&amp;Checks!$P$168</f>
        <v>N/A – rule
08-Oct-26 23:20 KUL</v>
      </c>
      <c r="D25" s="112" t="str">
        <f aca="false">IF(Checks!$U$168="","",Checks!$U$168)&amp;IF(Checks!$AB$168="","",CHAR(10)&amp;"CA: "&amp;Checks!$AB$168)</f>
        <v/>
      </c>
      <c r="E25" s="112" t="str">
        <f aca="false">IF(Checks!$V$168="","",Checks!$V$168)&amp;IF(Checks!$AC$168="","",IF(Checks!$V$168="","",CHAR(10))&amp;"N/A just.: "&amp;Checks!$AC$168)&amp;IF(Checks!$W$168="","",CHAR(10)&amp;"Batch: "&amp;Checks!$W$168)&amp;IF(AND(Checks!$X$168="",Checks!$Y$168=""),"",CHAR(10)&amp;"Exp: "&amp;Checks!$X$168&amp;"  /  Act: "&amp;Checks!$Y$168)</f>
        <v/>
      </c>
      <c r="F25" s="112" t="str">
        <f aca="false">IF(Checks!$Z$168="","","Evidence: "&amp;Checks!$Z$168)&amp;IF(Checks!$AA$168="","",IF(Checks!$Z$168="","",CHAR(10))&amp;"CA: "&amp;Checks!$AA$168)</f>
        <v/>
      </c>
      <c r="G25" s="112" t="str">
        <f aca="false">IF(ISNUMBER(Checks!$AD$168),TEXT(Checks!$AD$168,"DD-MMM-YY HH:MM")&amp;" "&amp;Checks!$P$168,"")&amp;IF(Checks!$AE$168="","",CHAR(10)&amp;"Verifier: "&amp;Checks!$AE$168)&amp;IF(Checks!$T$168="","",CHAR(10)&amp;"PIC: "&amp;Checks!$T$168)</f>
        <v/>
      </c>
      <c r="H25" s="113" t="str">
        <f aca="false">IF(Checks!$AH$168="","",Checks!$AH$168)</f>
        <v>N/A – RULE</v>
      </c>
    </row>
    <row r="26" customFormat="false" ht="114" hidden="false" customHeight="true" outlineLevel="0" collapsed="false">
      <c r="A26" s="112" t="str">
        <f aca="false">Checks!$A$169&amp;CHAR(10)&amp;IF(Checks!$I$169="","",Checks!$I$169&amp;": ")&amp;Checks!$J$169</f>
        <v>F06-T7-04
Staffing: Experienced catering officer assigned to this flight</v>
      </c>
      <c r="B26" s="112" t="str">
        <f aca="false">Checks!$K$169&amp;IF(Checks!$O$169="","",IF(Checks!$K$169="","",CHAR(10))&amp;"Note: "&amp;Checks!$O$169)</f>
        <v>Record officer name in Result</v>
      </c>
      <c r="C26" s="112" t="str">
        <f aca="false">Checks!$N$169&amp;CHAR(10)&amp;IF(ISNUMBER(Checks!$R$169),TEXT(Checks!$R$169,"DD-MMM-YY HH:MM"),"")&amp;" "&amp;Checks!$P$169</f>
        <v>Required
08-Oct-26 23:20 KUL</v>
      </c>
      <c r="D26" s="112" t="str">
        <f aca="false">IF(Checks!$U$169="","",Checks!$U$169)&amp;IF(Checks!$AB$169="","",CHAR(10)&amp;"CA: "&amp;Checks!$AB$169)</f>
        <v/>
      </c>
      <c r="E26" s="112" t="str">
        <f aca="false">IF(Checks!$V$169="","",Checks!$V$169)&amp;IF(Checks!$AC$169="","",IF(Checks!$V$169="","",CHAR(10))&amp;"N/A just.: "&amp;Checks!$AC$169)&amp;IF(Checks!$W$169="","",CHAR(10)&amp;"Batch: "&amp;Checks!$W$169)&amp;IF(AND(Checks!$X$169="",Checks!$Y$169=""),"",CHAR(10)&amp;"Exp: "&amp;Checks!$X$169&amp;"  /  Act: "&amp;Checks!$Y$169)</f>
        <v/>
      </c>
      <c r="F26" s="112" t="str">
        <f aca="false">IF(Checks!$Z$169="","","Evidence: "&amp;Checks!$Z$169)&amp;IF(Checks!$AA$169="","",IF(Checks!$Z$169="","",CHAR(10))&amp;"CA: "&amp;Checks!$AA$169)</f>
        <v/>
      </c>
      <c r="G26" s="112" t="str">
        <f aca="false">IF(ISNUMBER(Checks!$AD$169),TEXT(Checks!$AD$169,"DD-MMM-YY HH:MM")&amp;" "&amp;Checks!$P$169,"")&amp;IF(Checks!$AE$169="","",CHAR(10)&amp;"Verifier: "&amp;Checks!$AE$169)&amp;IF(Checks!$T$169="","",CHAR(10)&amp;"PIC: "&amp;Checks!$T$169)</f>
        <v/>
      </c>
      <c r="H26" s="113" t="str">
        <f aca="false">IF(Checks!$AH$169="","",Checks!$AH$169)</f>
        <v>OPEN</v>
      </c>
    </row>
    <row r="27" customFormat="false" ht="114" hidden="false" customHeight="true" outlineLevel="0" collapsed="false">
      <c r="A27" s="112" t="str">
        <f aca="false">Checks!$A$170&amp;CHAR(10)&amp;IF(Checks!$I$170="","",Checks!$I$170&amp;": ")&amp;Checks!$J$170</f>
        <v>F06-T7-05
ISOP: All latest applicable ISOP revisions communicated to caterer</v>
      </c>
      <c r="B27" s="112" t="str">
        <f aca="false">Checks!$K$170&amp;IF(Checks!$O$170="","",IF(Checks!$K$170="","",CHAR(10))&amp;"Note: "&amp;Checks!$O$170)</f>
        <v>List revision numbers in Result (see ISOP register)</v>
      </c>
      <c r="C27" s="112" t="str">
        <f aca="false">Checks!$N$170&amp;CHAR(10)&amp;IF(ISNUMBER(Checks!$R$170),TEXT(Checks!$R$170,"DD-MMM-YY HH:MM"),"")&amp;" "&amp;Checks!$P$170</f>
        <v>Required
08-Oct-26 23:20 KUL</v>
      </c>
      <c r="D27" s="112" t="str">
        <f aca="false">IF(Checks!$U$170="","",Checks!$U$170)&amp;IF(Checks!$AB$170="","",CHAR(10)&amp;"CA: "&amp;Checks!$AB$170)</f>
        <v/>
      </c>
      <c r="E27" s="112" t="str">
        <f aca="false">IF(Checks!$V$170="","",Checks!$V$170)&amp;IF(Checks!$AC$170="","",IF(Checks!$V$170="","",CHAR(10))&amp;"N/A just.: "&amp;Checks!$AC$170)&amp;IF(Checks!$W$170="","",CHAR(10)&amp;"Batch: "&amp;Checks!$W$170)&amp;IF(AND(Checks!$X$170="",Checks!$Y$170=""),"",CHAR(10)&amp;"Exp: "&amp;Checks!$X$170&amp;"  /  Act: "&amp;Checks!$Y$170)</f>
        <v/>
      </c>
      <c r="F27" s="112" t="str">
        <f aca="false">IF(Checks!$Z$170="","","Evidence: "&amp;Checks!$Z$170)&amp;IF(Checks!$AA$170="","",IF(Checks!$Z$170="","",CHAR(10))&amp;"CA: "&amp;Checks!$AA$170)</f>
        <v/>
      </c>
      <c r="G27" s="112" t="str">
        <f aca="false">IF(ISNUMBER(Checks!$AD$170),TEXT(Checks!$AD$170,"DD-MMM-YY HH:MM")&amp;" "&amp;Checks!$P$170,"")&amp;IF(Checks!$AE$170="","",CHAR(10)&amp;"Verifier: "&amp;Checks!$AE$170)&amp;IF(Checks!$T$170="","",CHAR(10)&amp;"PIC: "&amp;Checks!$T$170)</f>
        <v/>
      </c>
      <c r="H27" s="113" t="str">
        <f aca="false">IF(Checks!$AH$170="","",Checks!$AH$170)</f>
        <v>OPEN</v>
      </c>
    </row>
    <row r="28" customFormat="false" ht="114" hidden="false" customHeight="true" outlineLevel="0" collapsed="false">
      <c r="A28" s="112" t="str">
        <f aca="false">Checks!$A$171&amp;CHAR(10)&amp;IF(Checks!$I$171="","",Checks!$I$171&amp;": ")&amp;Checks!$J$171</f>
        <v>F06-T7-06
ISOP: Caterer acknowledgement of ISOP revisions recorded</v>
      </c>
      <c r="B28" s="112" t="str">
        <f aca="false">Checks!$K$171&amp;IF(Checks!$O$171="","",IF(Checks!$K$171="","",CHAR(10))&amp;"Note: "&amp;Checks!$O$171)</f>
        <v>Record acknowledgement ref in Evidence</v>
      </c>
      <c r="C28" s="112" t="str">
        <f aca="false">Checks!$N$171&amp;CHAR(10)&amp;IF(ISNUMBER(Checks!$R$171),TEXT(Checks!$R$171,"DD-MMM-YY HH:MM"),"")&amp;" "&amp;Checks!$P$171</f>
        <v>Required
08-Oct-26 23:20 KUL</v>
      </c>
      <c r="D28" s="112" t="str">
        <f aca="false">IF(Checks!$U$171="","",Checks!$U$171)&amp;IF(Checks!$AB$171="","",CHAR(10)&amp;"CA: "&amp;Checks!$AB$171)</f>
        <v/>
      </c>
      <c r="E28" s="112" t="str">
        <f aca="false">IF(Checks!$V$171="","",Checks!$V$171)&amp;IF(Checks!$AC$171="","",IF(Checks!$V$171="","",CHAR(10))&amp;"N/A just.: "&amp;Checks!$AC$171)&amp;IF(Checks!$W$171="","",CHAR(10)&amp;"Batch: "&amp;Checks!$W$171)&amp;IF(AND(Checks!$X$171="",Checks!$Y$171=""),"",CHAR(10)&amp;"Exp: "&amp;Checks!$X$171&amp;"  /  Act: "&amp;Checks!$Y$171)</f>
        <v/>
      </c>
      <c r="F28" s="112" t="str">
        <f aca="false">IF(Checks!$Z$171="","","Evidence: "&amp;Checks!$Z$171)&amp;IF(Checks!$AA$171="","",IF(Checks!$Z$171="","",CHAR(10))&amp;"CA: "&amp;Checks!$AA$171)</f>
        <v/>
      </c>
      <c r="G28" s="112" t="str">
        <f aca="false">IF(ISNUMBER(Checks!$AD$171),TEXT(Checks!$AD$171,"DD-MMM-YY HH:MM")&amp;" "&amp;Checks!$P$171,"")&amp;IF(Checks!$AE$171="","",CHAR(10)&amp;"Verifier: "&amp;Checks!$AE$171)&amp;IF(Checks!$T$171="","",CHAR(10)&amp;"PIC: "&amp;Checks!$T$171)</f>
        <v/>
      </c>
      <c r="H28" s="113" t="str">
        <f aca="false">IF(Checks!$AH$171="","",Checks!$AH$171)</f>
        <v>OPEN</v>
      </c>
    </row>
    <row r="29" customFormat="false" ht="114" hidden="false" customHeight="true" outlineLevel="0" collapsed="false">
      <c r="A29" s="112" t="str">
        <f aca="false">Checks!$A$172&amp;CHAR(10)&amp;IF(Checks!$I$172="","",Checks!$I$172&amp;": ")&amp;Checks!$J$172</f>
        <v>F06-T7-07
Documents: Galley loading diagram (GLD) received, revision recorded &amp; attached</v>
      </c>
      <c r="B29" s="112" t="str">
        <f aca="false">Checks!$K$172&amp;IF(Checks!$O$172="","",IF(Checks!$K$172="","",CHAR(10))&amp;"Note: "&amp;Checks!$O$172)</f>
        <v>Documents sheet row complete</v>
      </c>
      <c r="C29" s="112" t="str">
        <f aca="false">Checks!$N$172&amp;CHAR(10)&amp;IF(ISNUMBER(Checks!$R$172),TEXT(Checks!$R$172,"DD-MMM-YY HH:MM"),"")&amp;" "&amp;Checks!$P$172</f>
        <v>Required
08-Oct-26 23:20 KUL</v>
      </c>
      <c r="D29" s="112" t="str">
        <f aca="false">IF(Checks!$U$172="","",Checks!$U$172)&amp;IF(Checks!$AB$172="","",CHAR(10)&amp;"CA: "&amp;Checks!$AB$172)</f>
        <v/>
      </c>
      <c r="E29" s="112" t="str">
        <f aca="false">IF(Checks!$V$172="","",Checks!$V$172)&amp;IF(Checks!$AC$172="","",IF(Checks!$V$172="","",CHAR(10))&amp;"N/A just.: "&amp;Checks!$AC$172)&amp;IF(Checks!$W$172="","",CHAR(10)&amp;"Batch: "&amp;Checks!$W$172)&amp;IF(AND(Checks!$X$172="",Checks!$Y$172=""),"",CHAR(10)&amp;"Exp: "&amp;Checks!$X$172&amp;"  /  Act: "&amp;Checks!$Y$172)</f>
        <v/>
      </c>
      <c r="F29" s="112" t="str">
        <f aca="false">IF(Checks!$Z$172="","","Evidence: "&amp;Checks!$Z$172)&amp;IF(Checks!$AA$172="","",IF(Checks!$Z$172="","",CHAR(10))&amp;"CA: "&amp;Checks!$AA$172)</f>
        <v/>
      </c>
      <c r="G29" s="112" t="str">
        <f aca="false">IF(ISNUMBER(Checks!$AD$172),TEXT(Checks!$AD$172,"DD-MMM-YY HH:MM")&amp;" "&amp;Checks!$P$172,"")&amp;IF(Checks!$AE$172="","",CHAR(10)&amp;"Verifier: "&amp;Checks!$AE$172)&amp;IF(Checks!$T$172="","",CHAR(10)&amp;"PIC: "&amp;Checks!$T$172)</f>
        <v/>
      </c>
      <c r="H29" s="113" t="str">
        <f aca="false">IF(Checks!$AH$172="","",Checks!$AH$172)</f>
        <v>OPEN</v>
      </c>
    </row>
    <row r="30" customFormat="false" ht="114" hidden="false" customHeight="true" outlineLevel="0" collapsed="false">
      <c r="A30" s="112" t="str">
        <f aca="false">Checks!$A$173&amp;CHAR(10)&amp;IF(Checks!$I$173="","",Checks!$I$173&amp;": ")&amp;Checks!$J$173</f>
        <v>F06-T7-08
Documents: Menu checklist received, revision recorded &amp; attached</v>
      </c>
      <c r="B30" s="112" t="str">
        <f aca="false">Checks!$K$173&amp;IF(Checks!$O$173="","",IF(Checks!$K$173="","",CHAR(10))&amp;"Note: "&amp;Checks!$O$173)</f>
        <v>Documents sheet row complete</v>
      </c>
      <c r="C30" s="112" t="str">
        <f aca="false">Checks!$N$173&amp;CHAR(10)&amp;IF(ISNUMBER(Checks!$R$173),TEXT(Checks!$R$173,"DD-MMM-YY HH:MM"),"")&amp;" "&amp;Checks!$P$173</f>
        <v>Required
08-Oct-26 23:20 KUL</v>
      </c>
      <c r="D30" s="112" t="str">
        <f aca="false">IF(Checks!$U$173="","",Checks!$U$173)&amp;IF(Checks!$AB$173="","",CHAR(10)&amp;"CA: "&amp;Checks!$AB$173)</f>
        <v/>
      </c>
      <c r="E30" s="112" t="str">
        <f aca="false">IF(Checks!$V$173="","",Checks!$V$173)&amp;IF(Checks!$AC$173="","",IF(Checks!$V$173="","",CHAR(10))&amp;"N/A just.: "&amp;Checks!$AC$173)&amp;IF(Checks!$W$173="","",CHAR(10)&amp;"Batch: "&amp;Checks!$W$173)&amp;IF(AND(Checks!$X$173="",Checks!$Y$173=""),"",CHAR(10)&amp;"Exp: "&amp;Checks!$X$173&amp;"  /  Act: "&amp;Checks!$Y$173)</f>
        <v/>
      </c>
      <c r="F30" s="112" t="str">
        <f aca="false">IF(Checks!$Z$173="","","Evidence: "&amp;Checks!$Z$173)&amp;IF(Checks!$AA$173="","",IF(Checks!$Z$173="","",CHAR(10))&amp;"CA: "&amp;Checks!$AA$173)</f>
        <v/>
      </c>
      <c r="G30" s="112" t="str">
        <f aca="false">IF(ISNUMBER(Checks!$AD$173),TEXT(Checks!$AD$173,"DD-MMM-YY HH:MM")&amp;" "&amp;Checks!$P$173,"")&amp;IF(Checks!$AE$173="","",CHAR(10)&amp;"Verifier: "&amp;Checks!$AE$173)&amp;IF(Checks!$T$173="","",CHAR(10)&amp;"PIC: "&amp;Checks!$T$173)</f>
        <v/>
      </c>
      <c r="H30" s="113" t="str">
        <f aca="false">IF(Checks!$AH$173="","",Checks!$AH$173)</f>
        <v>OPEN</v>
      </c>
    </row>
    <row r="31" customFormat="false" ht="114" hidden="false" customHeight="true" outlineLevel="0" collapsed="false">
      <c r="A31" s="112" t="str">
        <f aca="false">Checks!$A$174&amp;CHAR(10)&amp;IF(Checks!$I$174="","",Checks!$I$174&amp;": ")&amp;Checks!$J$174</f>
        <v>F06-T7-09
Uplift plan: Uplift plan confirmed with caterer vs STD Uplift Information</v>
      </c>
      <c r="B31" s="112" t="str">
        <f aca="false">Checks!$K$174&amp;IF(Checks!$O$174="","",IF(Checks!$K$174="","",CHAR(10))&amp;"Note: "&amp;Checks!$O$174)</f>
        <v>Service: 2.5 Meal (Meal); meal uplift stn KUL (ref lists KUL/LHR)</v>
      </c>
      <c r="C31" s="112" t="str">
        <f aca="false">Checks!$N$174&amp;CHAR(10)&amp;IF(ISNUMBER(Checks!$R$174),TEXT(Checks!$R$174,"DD-MMM-YY HH:MM"),"")&amp;" "&amp;Checks!$P$174</f>
        <v>Required
08-Oct-26 23:20 KUL</v>
      </c>
      <c r="D31" s="112" t="str">
        <f aca="false">IF(Checks!$U$174="","",Checks!$U$174)&amp;IF(Checks!$AB$174="","",CHAR(10)&amp;"CA: "&amp;Checks!$AB$174)</f>
        <v/>
      </c>
      <c r="E31" s="112" t="str">
        <f aca="false">IF(Checks!$V$174="","",Checks!$V$174)&amp;IF(Checks!$AC$174="","",IF(Checks!$V$174="","",CHAR(10))&amp;"N/A just.: "&amp;Checks!$AC$174)&amp;IF(Checks!$W$174="","",CHAR(10)&amp;"Batch: "&amp;Checks!$W$174)&amp;IF(AND(Checks!$X$174="",Checks!$Y$174=""),"",CHAR(10)&amp;"Exp: "&amp;Checks!$X$174&amp;"  /  Act: "&amp;Checks!$Y$174)</f>
        <v/>
      </c>
      <c r="F31" s="112" t="str">
        <f aca="false">IF(Checks!$Z$174="","","Evidence: "&amp;Checks!$Z$174)&amp;IF(Checks!$AA$174="","",IF(Checks!$Z$174="","",CHAR(10))&amp;"CA: "&amp;Checks!$AA$174)</f>
        <v/>
      </c>
      <c r="G31" s="112" t="str">
        <f aca="false">IF(ISNUMBER(Checks!$AD$174),TEXT(Checks!$AD$174,"DD-MMM-YY HH:MM")&amp;" "&amp;Checks!$P$174,"")&amp;IF(Checks!$AE$174="","",CHAR(10)&amp;"Verifier: "&amp;Checks!$AE$174)&amp;IF(Checks!$T$174="","",CHAR(10)&amp;"PIC: "&amp;Checks!$T$174)</f>
        <v/>
      </c>
      <c r="H31" s="113" t="str">
        <f aca="false">IF(Checks!$AH$174="","",Checks!$AH$174)</f>
        <v>OPEN</v>
      </c>
    </row>
    <row r="32" customFormat="false" ht="25.5" hidden="false" customHeight="true" outlineLevel="0" collapsed="false">
      <c r="A32" s="111"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Checks!$A$175&amp;CHAR(10)&amp;IF(Checks!$I$175="","",Checks!$I$175&amp;": ")&amp;Checks!$J$175</f>
        <v>F06-T24-01
Meal: Sensory test repeated on ACTUAL production batch for this flight</v>
      </c>
      <c r="B33" s="112" t="str">
        <f aca="false">Checks!$K$175&amp;IF(Checks!$O$175="","",IF(Checks!$K$175="","",CHAR(10))&amp;"Note: "&amp;Checks!$O$175)</f>
        <v>Batch ID, result, CA and acceptance mandatory</v>
      </c>
      <c r="C33" s="112" t="str">
        <f aca="false">Checks!$N$175&amp;CHAR(10)&amp;IF(ISNUMBER(Checks!$R$175),TEXT(Checks!$R$175,"DD-MMM-YY HH:MM"),"")&amp;" "&amp;Checks!$P$175</f>
        <v>Required
14-Oct-26 23:20 KUL</v>
      </c>
      <c r="D33" s="112" t="str">
        <f aca="false">IF(Checks!$U$175="","",Checks!$U$175)&amp;IF(Checks!$AB$175="","",CHAR(10)&amp;"CA: "&amp;Checks!$AB$175)</f>
        <v/>
      </c>
      <c r="E33" s="112" t="str">
        <f aca="false">IF(Checks!$V$175="","",Checks!$V$175)&amp;IF(Checks!$AC$175="","",IF(Checks!$V$175="","",CHAR(10))&amp;"N/A just.: "&amp;Checks!$AC$175)&amp;IF(Checks!$W$175="","",CHAR(10)&amp;"Batch: "&amp;Checks!$W$175)&amp;IF(AND(Checks!$X$175="",Checks!$Y$175=""),"",CHAR(10)&amp;"Exp: "&amp;Checks!$X$175&amp;"  /  Act: "&amp;Checks!$Y$175)</f>
        <v/>
      </c>
      <c r="F33" s="112" t="str">
        <f aca="false">IF(Checks!$Z$175="","","Evidence: "&amp;Checks!$Z$175)&amp;IF(Checks!$AA$175="","",IF(Checks!$Z$175="","",CHAR(10))&amp;"CA: "&amp;Checks!$AA$175)</f>
        <v/>
      </c>
      <c r="G33" s="112" t="str">
        <f aca="false">IF(ISNUMBER(Checks!$AD$175),TEXT(Checks!$AD$175,"DD-MMM-YY HH:MM")&amp;" "&amp;Checks!$P$175,"")&amp;IF(Checks!$AE$175="","",CHAR(10)&amp;"Verifier: "&amp;Checks!$AE$175)&amp;IF(Checks!$T$175="","",CHAR(10)&amp;"PIC: "&amp;Checks!$T$175)</f>
        <v/>
      </c>
      <c r="H33" s="113" t="str">
        <f aca="false">IF(Checks!$AH$175="","",Checks!$AH$175)</f>
        <v>OPEN</v>
      </c>
    </row>
    <row r="34" customFormat="false" ht="25.5" hidden="false" customHeight="true" outlineLevel="0" collapsed="false">
      <c r="A34" s="111"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1"/>
      <c r="C34" s="111"/>
      <c r="D34" s="111"/>
      <c r="E34" s="111"/>
      <c r="F34" s="111"/>
      <c r="G34" s="111"/>
      <c r="H34" s="111"/>
    </row>
    <row r="35" customFormat="false" ht="114" hidden="false" customHeight="true" outlineLevel="0" collapsed="false">
      <c r="A35" s="112" t="str">
        <f aca="false">Checks!$A$176&amp;CHAR(10)&amp;IF(Checks!$I$176="","",Checks!$I$176&amp;": ")&amp;Checks!$J$176</f>
        <v>F06-T12-01
Meal: Meal quality vs menu checklist</v>
      </c>
      <c r="B35" s="112" t="str">
        <f aca="false">Checks!$K$176&amp;IF(Checks!$O$176="","",IF(Checks!$K$176="","",CHAR(10))&amp;"Note: "&amp;Checks!$O$176)</f>
        <v>Note: Preparation check at caterer - does NOT confirm loading.</v>
      </c>
      <c r="C35" s="112" t="str">
        <f aca="false">Checks!$N$176&amp;CHAR(10)&amp;IF(ISNUMBER(Checks!$R$176),TEXT(Checks!$R$176,"DD-MMM-YY HH:MM"),"")&amp;" "&amp;Checks!$P$176</f>
        <v>Required
15-Oct-26 11:20 KUL</v>
      </c>
      <c r="D35" s="112" t="str">
        <f aca="false">IF(Checks!$U$176="","",Checks!$U$176)&amp;IF(Checks!$AB$176="","",CHAR(10)&amp;"CA: "&amp;Checks!$AB$176)</f>
        <v/>
      </c>
      <c r="E35" s="112" t="str">
        <f aca="false">IF(Checks!$V$176="","",Checks!$V$176)&amp;IF(Checks!$AC$176="","",IF(Checks!$V$176="","",CHAR(10))&amp;"N/A just.: "&amp;Checks!$AC$176)&amp;IF(Checks!$W$176="","",CHAR(10)&amp;"Batch: "&amp;Checks!$W$176)&amp;IF(AND(Checks!$X$176="",Checks!$Y$176=""),"",CHAR(10)&amp;"Exp: "&amp;Checks!$X$176&amp;"  /  Act: "&amp;Checks!$Y$176)</f>
        <v/>
      </c>
      <c r="F35" s="112" t="str">
        <f aca="false">IF(Checks!$Z$176="","","Evidence: "&amp;Checks!$Z$176)&amp;IF(Checks!$AA$176="","",IF(Checks!$Z$176="","",CHAR(10))&amp;"CA: "&amp;Checks!$AA$176)</f>
        <v/>
      </c>
      <c r="G35" s="112" t="str">
        <f aca="false">IF(ISNUMBER(Checks!$AD$176),TEXT(Checks!$AD$176,"DD-MMM-YY HH:MM")&amp;" "&amp;Checks!$P$176,"")&amp;IF(Checks!$AE$176="","",CHAR(10)&amp;"Verifier: "&amp;Checks!$AE$176)&amp;IF(Checks!$T$176="","",CHAR(10)&amp;"PIC: "&amp;Checks!$T$176)</f>
        <v/>
      </c>
      <c r="H35" s="113" t="str">
        <f aca="false">IF(Checks!$AH$176="","",Checks!$AH$176)</f>
        <v>OPEN</v>
      </c>
    </row>
    <row r="36" customFormat="false" ht="114" hidden="false" customHeight="true" outlineLevel="0" collapsed="false">
      <c r="A36" s="112" t="str">
        <f aca="false">Checks!$A$177&amp;CHAR(10)&amp;IF(Checks!$I$177="","",Checks!$I$177&amp;": ")&amp;Checks!$J$177</f>
        <v>F06-T12-02
Meal: Meal quantities vs menu checklist</v>
      </c>
      <c r="B36" s="112" t="str">
        <f aca="false">Checks!$K$177&amp;IF(Checks!$O$177="","",IF(Checks!$K$177="","",CHAR(10))&amp;"Note: "&amp;Checks!$O$177)</f>
        <v>Enter expected &amp; actual
Note: Preparation check at caterer - does NOT confirm loading.</v>
      </c>
      <c r="C36" s="112" t="str">
        <f aca="false">Checks!$N$177&amp;CHAR(10)&amp;IF(ISNUMBER(Checks!$R$177),TEXT(Checks!$R$177,"DD-MMM-YY HH:MM"),"")&amp;" "&amp;Checks!$P$177</f>
        <v>Required
15-Oct-26 11:20 KUL</v>
      </c>
      <c r="D36" s="112" t="str">
        <f aca="false">IF(Checks!$U$177="","",Checks!$U$177)&amp;IF(Checks!$AB$177="","",CHAR(10)&amp;"CA: "&amp;Checks!$AB$177)</f>
        <v/>
      </c>
      <c r="E36" s="112" t="str">
        <f aca="false">IF(Checks!$V$177="","",Checks!$V$177)&amp;IF(Checks!$AC$177="","",IF(Checks!$V$177="","",CHAR(10))&amp;"N/A just.: "&amp;Checks!$AC$177)&amp;IF(Checks!$W$177="","",CHAR(10)&amp;"Batch: "&amp;Checks!$W$177)&amp;IF(AND(Checks!$X$177="",Checks!$Y$177=""),"",CHAR(10)&amp;"Exp: "&amp;Checks!$X$177&amp;"  /  Act: "&amp;Checks!$Y$177)</f>
        <v/>
      </c>
      <c r="F36" s="112" t="str">
        <f aca="false">IF(Checks!$Z$177="","","Evidence: "&amp;Checks!$Z$177)&amp;IF(Checks!$AA$177="","",IF(Checks!$Z$177="","",CHAR(10))&amp;"CA: "&amp;Checks!$AA$177)</f>
        <v/>
      </c>
      <c r="G36" s="112" t="str">
        <f aca="false">IF(ISNUMBER(Checks!$AD$177),TEXT(Checks!$AD$177,"DD-MMM-YY HH:MM")&amp;" "&amp;Checks!$P$177,"")&amp;IF(Checks!$AE$177="","",CHAR(10)&amp;"Verifier: "&amp;Checks!$AE$177)&amp;IF(Checks!$T$177="","",CHAR(10)&amp;"PIC: "&amp;Checks!$T$177)</f>
        <v/>
      </c>
      <c r="H36" s="113" t="str">
        <f aca="false">IF(Checks!$AH$177="","",Checks!$AH$177)</f>
        <v>OPEN</v>
      </c>
    </row>
    <row r="37" customFormat="false" ht="114" hidden="false" customHeight="true" outlineLevel="0" collapsed="false">
      <c r="A37" s="112" t="str">
        <f aca="false">Checks!$A$178&amp;CHAR(10)&amp;IF(Checks!$I$178="","",Checks!$I$178&amp;": ")&amp;Checks!$J$178</f>
        <v>F06-T12-03
Equipment: Equipment cleanliness vs GLD</v>
      </c>
      <c r="B37" s="112" t="str">
        <f aca="false">Checks!$K$178&amp;IF(Checks!$O$178="","",IF(Checks!$K$178="","",CHAR(10))&amp;"Note: "&amp;Checks!$O$178)</f>
        <v>Note: Preparation check at caterer - does NOT confirm loading.</v>
      </c>
      <c r="C37" s="112" t="str">
        <f aca="false">Checks!$N$178&amp;CHAR(10)&amp;IF(ISNUMBER(Checks!$R$178),TEXT(Checks!$R$178,"DD-MMM-YY HH:MM"),"")&amp;" "&amp;Checks!$P$178</f>
        <v>Required
15-Oct-26 11:20 KUL</v>
      </c>
      <c r="D37" s="112" t="str">
        <f aca="false">IF(Checks!$U$178="","",Checks!$U$178)&amp;IF(Checks!$AB$178="","",CHAR(10)&amp;"CA: "&amp;Checks!$AB$178)</f>
        <v/>
      </c>
      <c r="E37" s="112" t="str">
        <f aca="false">IF(Checks!$V$178="","",Checks!$V$178)&amp;IF(Checks!$AC$178="","",IF(Checks!$V$178="","",CHAR(10))&amp;"N/A just.: "&amp;Checks!$AC$178)&amp;IF(Checks!$W$178="","",CHAR(10)&amp;"Batch: "&amp;Checks!$W$178)&amp;IF(AND(Checks!$X$178="",Checks!$Y$178=""),"",CHAR(10)&amp;"Exp: "&amp;Checks!$X$178&amp;"  /  Act: "&amp;Checks!$Y$178)</f>
        <v/>
      </c>
      <c r="F37" s="112" t="str">
        <f aca="false">IF(Checks!$Z$178="","","Evidence: "&amp;Checks!$Z$178)&amp;IF(Checks!$AA$178="","",IF(Checks!$Z$178="","",CHAR(10))&amp;"CA: "&amp;Checks!$AA$178)</f>
        <v/>
      </c>
      <c r="G37" s="112" t="str">
        <f aca="false">IF(ISNUMBER(Checks!$AD$178),TEXT(Checks!$AD$178,"DD-MMM-YY HH:MM")&amp;" "&amp;Checks!$P$178,"")&amp;IF(Checks!$AE$178="","",CHAR(10)&amp;"Verifier: "&amp;Checks!$AE$178)&amp;IF(Checks!$T$178="","",CHAR(10)&amp;"PIC: "&amp;Checks!$T$178)</f>
        <v/>
      </c>
      <c r="H37" s="113" t="str">
        <f aca="false">IF(Checks!$AH$178="","",Checks!$AH$178)</f>
        <v>OPEN</v>
      </c>
    </row>
    <row r="38" customFormat="false" ht="114" hidden="false" customHeight="true" outlineLevel="0" collapsed="false">
      <c r="A38" s="112" t="str">
        <f aca="false">Checks!$A$179&amp;CHAR(10)&amp;IF(Checks!$I$179="","",Checks!$I$179&amp;": ")&amp;Checks!$J$179</f>
        <v>F06-T12-04
Equipment: Equipment presentation vs GLD</v>
      </c>
      <c r="B38" s="112" t="str">
        <f aca="false">Checks!$K$179&amp;IF(Checks!$O$179="","",IF(Checks!$K$179="","",CHAR(10))&amp;"Note: "&amp;Checks!$O$179)</f>
        <v>Note: Preparation check at caterer - does NOT confirm loading.</v>
      </c>
      <c r="C38" s="112" t="str">
        <f aca="false">Checks!$N$179&amp;CHAR(10)&amp;IF(ISNUMBER(Checks!$R$179),TEXT(Checks!$R$179,"DD-MMM-YY HH:MM"),"")&amp;" "&amp;Checks!$P$179</f>
        <v>Required
15-Oct-26 11:20 KUL</v>
      </c>
      <c r="D38" s="112" t="str">
        <f aca="false">IF(Checks!$U$179="","",Checks!$U$179)&amp;IF(Checks!$AB$179="","",CHAR(10)&amp;"CA: "&amp;Checks!$AB$179)</f>
        <v/>
      </c>
      <c r="E38" s="112" t="str">
        <f aca="false">IF(Checks!$V$179="","",Checks!$V$179)&amp;IF(Checks!$AC$179="","",IF(Checks!$V$179="","",CHAR(10))&amp;"N/A just.: "&amp;Checks!$AC$179)&amp;IF(Checks!$W$179="","",CHAR(10)&amp;"Batch: "&amp;Checks!$W$179)&amp;IF(AND(Checks!$X$179="",Checks!$Y$179=""),"",CHAR(10)&amp;"Exp: "&amp;Checks!$X$179&amp;"  /  Act: "&amp;Checks!$Y$179)</f>
        <v/>
      </c>
      <c r="F38" s="112" t="str">
        <f aca="false">IF(Checks!$Z$179="","","Evidence: "&amp;Checks!$Z$179)&amp;IF(Checks!$AA$179="","",IF(Checks!$Z$179="","",CHAR(10))&amp;"CA: "&amp;Checks!$AA$179)</f>
        <v/>
      </c>
      <c r="G38" s="112" t="str">
        <f aca="false">IF(ISNUMBER(Checks!$AD$179),TEXT(Checks!$AD$179,"DD-MMM-YY HH:MM")&amp;" "&amp;Checks!$P$179,"")&amp;IF(Checks!$AE$179="","",CHAR(10)&amp;"Verifier: "&amp;Checks!$AE$179)&amp;IF(Checks!$T$179="","",CHAR(10)&amp;"PIC: "&amp;Checks!$T$179)</f>
        <v/>
      </c>
      <c r="H38" s="113" t="str">
        <f aca="false">IF(Checks!$AH$179="","",Checks!$AH$179)</f>
        <v>OPEN</v>
      </c>
    </row>
    <row r="39" customFormat="false" ht="114" hidden="false" customHeight="true" outlineLevel="0" collapsed="false">
      <c r="A39" s="112" t="str">
        <f aca="false">Checks!$A$180&amp;CHAR(10)&amp;IF(Checks!$I$180="","",Checks!$I$180&amp;": ")&amp;Checks!$J$180</f>
        <v>F06-T12-05
Equipment: Equipment serviceability vs GLD</v>
      </c>
      <c r="B39" s="112" t="str">
        <f aca="false">Checks!$K$180&amp;IF(Checks!$O$180="","",IF(Checks!$K$180="","",CHAR(10))&amp;"Note: "&amp;Checks!$O$180)</f>
        <v>Note: Preparation check at caterer - does NOT confirm loading.</v>
      </c>
      <c r="C39" s="112" t="str">
        <f aca="false">Checks!$N$180&amp;CHAR(10)&amp;IF(ISNUMBER(Checks!$R$180),TEXT(Checks!$R$180,"DD-MMM-YY HH:MM"),"")&amp;" "&amp;Checks!$P$180</f>
        <v>Required
15-Oct-26 11:20 KUL</v>
      </c>
      <c r="D39" s="112" t="str">
        <f aca="false">IF(Checks!$U$180="","",Checks!$U$180)&amp;IF(Checks!$AB$180="","",CHAR(10)&amp;"CA: "&amp;Checks!$AB$180)</f>
        <v/>
      </c>
      <c r="E39" s="112" t="str">
        <f aca="false">IF(Checks!$V$180="","",Checks!$V$180)&amp;IF(Checks!$AC$180="","",IF(Checks!$V$180="","",CHAR(10))&amp;"N/A just.: "&amp;Checks!$AC$180)&amp;IF(Checks!$W$180="","",CHAR(10)&amp;"Batch: "&amp;Checks!$W$180)&amp;IF(AND(Checks!$X$180="",Checks!$Y$180=""),"",CHAR(10)&amp;"Exp: "&amp;Checks!$X$180&amp;"  /  Act: "&amp;Checks!$Y$180)</f>
        <v/>
      </c>
      <c r="F39" s="112" t="str">
        <f aca="false">IF(Checks!$Z$180="","","Evidence: "&amp;Checks!$Z$180)&amp;IF(Checks!$AA$180="","",IF(Checks!$Z$180="","",CHAR(10))&amp;"CA: "&amp;Checks!$AA$180)</f>
        <v/>
      </c>
      <c r="G39" s="112" t="str">
        <f aca="false">IF(ISNUMBER(Checks!$AD$180),TEXT(Checks!$AD$180,"DD-MMM-YY HH:MM")&amp;" "&amp;Checks!$P$180,"")&amp;IF(Checks!$AE$180="","",CHAR(10)&amp;"Verifier: "&amp;Checks!$AE$180)&amp;IF(Checks!$T$180="","",CHAR(10)&amp;"PIC: "&amp;Checks!$T$180)</f>
        <v/>
      </c>
      <c r="H39" s="113" t="str">
        <f aca="false">IF(Checks!$AH$180="","",Checks!$AH$180)</f>
        <v>OPEN</v>
      </c>
    </row>
    <row r="40" customFormat="false" ht="322.5" hidden="false" customHeight="true" outlineLevel="0" collapsed="false">
      <c r="A40" s="112" t="str">
        <f aca="false">Checks!$A$181&amp;CHAR(10)&amp;IF(Checks!$I$181="","",Checks!$I$181&amp;": ")&amp;Checks!$J$181</f>
        <v>F06-T12-06
Equipment: Equipment quantities vs GLD</v>
      </c>
      <c r="B40" s="112"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2" t="str">
        <f aca="false">Checks!$N$181&amp;CHAR(10)&amp;IF(ISNUMBER(Checks!$R$181),TEXT(Checks!$R$181,"DD-MMM-YY HH:MM"),"")&amp;" "&amp;Checks!$P$181</f>
        <v>Required
15-Oct-26 11:20 KUL</v>
      </c>
      <c r="D40" s="112" t="str">
        <f aca="false">IF(Checks!$U$181="","",Checks!$U$181)&amp;IF(Checks!$AB$181="","",CHAR(10)&amp;"CA: "&amp;Checks!$AB$181)</f>
        <v/>
      </c>
      <c r="E40" s="112" t="str">
        <f aca="false">IF(Checks!$V$181="","",Checks!$V$181)&amp;IF(Checks!$AC$181="","",IF(Checks!$V$181="","",CHAR(10))&amp;"N/A just.: "&amp;Checks!$AC$181)&amp;IF(Checks!$W$181="","",CHAR(10)&amp;"Batch: "&amp;Checks!$W$181)&amp;IF(AND(Checks!$X$181="",Checks!$Y$181=""),"",CHAR(10)&amp;"Exp: "&amp;Checks!$X$181&amp;"  /  Act: "&amp;Checks!$Y$181)</f>
        <v/>
      </c>
      <c r="F40" s="112" t="str">
        <f aca="false">IF(Checks!$Z$181="","","Evidence: "&amp;Checks!$Z$181)&amp;IF(Checks!$AA$181="","",IF(Checks!$Z$181="","",CHAR(10))&amp;"CA: "&amp;Checks!$AA$181)</f>
        <v/>
      </c>
      <c r="G40" s="112" t="str">
        <f aca="false">IF(ISNUMBER(Checks!$AD$181),TEXT(Checks!$AD$181,"DD-MMM-YY HH:MM")&amp;" "&amp;Checks!$P$181,"")&amp;IF(Checks!$AE$181="","",CHAR(10)&amp;"Verifier: "&amp;Checks!$AE$181)&amp;IF(Checks!$T$181="","",CHAR(10)&amp;"PIC: "&amp;Checks!$T$181)</f>
        <v/>
      </c>
      <c r="H40" s="113" t="str">
        <f aca="false">IF(Checks!$AH$181="","",Checks!$AH$181)</f>
        <v>OPEN</v>
      </c>
    </row>
    <row r="41" customFormat="false" ht="114" hidden="false" customHeight="true" outlineLevel="0" collapsed="false">
      <c r="A41" s="112" t="str">
        <f aca="false">Checks!$A$182&amp;CHAR(10)&amp;IF(Checks!$I$182="","",Checks!$I$182&amp;": ")&amp;Checks!$J$182</f>
        <v>F06-T12-07
Equipment: Loading positions planned vs GLD</v>
      </c>
      <c r="B41" s="112" t="str">
        <f aca="false">Checks!$K$182&amp;IF(Checks!$O$182="","",IF(Checks!$K$182="","",CHAR(10))&amp;"Note: "&amp;Checks!$O$182)</f>
        <v>Note: Preparation check at caterer - does NOT confirm loading.</v>
      </c>
      <c r="C41" s="112" t="str">
        <f aca="false">Checks!$N$182&amp;CHAR(10)&amp;IF(ISNUMBER(Checks!$R$182),TEXT(Checks!$R$182,"DD-MMM-YY HH:MM"),"")&amp;" "&amp;Checks!$P$182</f>
        <v>Required
15-Oct-26 11:20 KUL</v>
      </c>
      <c r="D41" s="112" t="str">
        <f aca="false">IF(Checks!$U$182="","",Checks!$U$182)&amp;IF(Checks!$AB$182="","",CHAR(10)&amp;"CA: "&amp;Checks!$AB$182)</f>
        <v/>
      </c>
      <c r="E41" s="112" t="str">
        <f aca="false">IF(Checks!$V$182="","",Checks!$V$182)&amp;IF(Checks!$AC$182="","",IF(Checks!$V$182="","",CHAR(10))&amp;"N/A just.: "&amp;Checks!$AC$182)&amp;IF(Checks!$W$182="","",CHAR(10)&amp;"Batch: "&amp;Checks!$W$182)&amp;IF(AND(Checks!$X$182="",Checks!$Y$182=""),"",CHAR(10)&amp;"Exp: "&amp;Checks!$X$182&amp;"  /  Act: "&amp;Checks!$Y$182)</f>
        <v/>
      </c>
      <c r="F41" s="112" t="str">
        <f aca="false">IF(Checks!$Z$182="","","Evidence: "&amp;Checks!$Z$182)&amp;IF(Checks!$AA$182="","",IF(Checks!$Z$182="","",CHAR(10))&amp;"CA: "&amp;Checks!$AA$182)</f>
        <v/>
      </c>
      <c r="G41" s="112" t="str">
        <f aca="false">IF(ISNUMBER(Checks!$AD$182),TEXT(Checks!$AD$182,"DD-MMM-YY HH:MM")&amp;" "&amp;Checks!$P$182,"")&amp;IF(Checks!$AE$182="","",CHAR(10)&amp;"Verifier: "&amp;Checks!$AE$182)&amp;IF(Checks!$T$182="","",CHAR(10)&amp;"PIC: "&amp;Checks!$T$182)</f>
        <v/>
      </c>
      <c r="H41" s="113" t="str">
        <f aca="false">IF(Checks!$AH$182="","",Checks!$AH$182)</f>
        <v>OPEN</v>
      </c>
    </row>
    <row r="42" customFormat="false" ht="213" hidden="false" customHeight="true" outlineLevel="0" collapsed="false">
      <c r="A42" s="112" t="str">
        <f aca="false">Checks!$A$183&amp;CHAR(10)&amp;IF(Checks!$I$183="","",Checks!$I$183&amp;": ")&amp;Checks!$J$183</f>
        <v>F06-T12-08
Amenities: Toiletry kits - prepared</v>
      </c>
      <c r="B42" s="112"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2" t="str">
        <f aca="false">Checks!$N$183&amp;CHAR(10)&amp;IF(ISNUMBER(Checks!$R$183),TEXT(Checks!$R$183,"DD-MMM-YY HH:MM"),"")&amp;" "&amp;Checks!$P$183</f>
        <v>Clarification required
15-Oct-26 11:20 KUL</v>
      </c>
      <c r="D42" s="112" t="str">
        <f aca="false">IF(Checks!$U$183="","",Checks!$U$183)&amp;IF(Checks!$AB$183="","",CHAR(10)&amp;"CA: "&amp;Checks!$AB$183)</f>
        <v/>
      </c>
      <c r="E42" s="112" t="str">
        <f aca="false">IF(Checks!$V$183="","",Checks!$V$183)&amp;IF(Checks!$AC$183="","",IF(Checks!$V$183="","",CHAR(10))&amp;"N/A just.: "&amp;Checks!$AC$183)&amp;IF(Checks!$W$183="","",CHAR(10)&amp;"Batch: "&amp;Checks!$W$183)&amp;IF(AND(Checks!$X$183="",Checks!$Y$183=""),"",CHAR(10)&amp;"Exp: "&amp;Checks!$X$183&amp;"  /  Act: "&amp;Checks!$Y$183)</f>
        <v/>
      </c>
      <c r="F42" s="112" t="str">
        <f aca="false">IF(Checks!$Z$183="","","Evidence: "&amp;Checks!$Z$183)&amp;IF(Checks!$AA$183="","",IF(Checks!$Z$183="","",CHAR(10))&amp;"CA: "&amp;Checks!$AA$183)</f>
        <v/>
      </c>
      <c r="G42" s="112" t="str">
        <f aca="false">IF(ISNUMBER(Checks!$AD$183),TEXT(Checks!$AD$183,"DD-MMM-YY HH:MM")&amp;" "&amp;Checks!$P$183,"")&amp;IF(Checks!$AE$183="","",CHAR(10)&amp;"Verifier: "&amp;Checks!$AE$183)&amp;IF(Checks!$T$183="","",CHAR(10)&amp;"PIC: "&amp;Checks!$T$183)</f>
        <v/>
      </c>
      <c r="H42" s="113" t="str">
        <f aca="false">IF(Checks!$AH$183="","",Checks!$AH$183)</f>
        <v>OPEN – CLARIFICATION</v>
      </c>
    </row>
    <row r="43" customFormat="false" ht="114" hidden="false" customHeight="true" outlineLevel="0" collapsed="false">
      <c r="A43" s="112" t="str">
        <f aca="false">Checks!$A$184&amp;CHAR(10)&amp;IF(Checks!$I$184="","",Checks!$I$184&amp;": ")&amp;Checks!$J$184</f>
        <v>F06-T12-09
Amenities: Pajamas (BC) - prepared</v>
      </c>
      <c r="B43" s="112" t="str">
        <f aca="false">Checks!$K$184&amp;IF(Checks!$O$184="","",IF(Checks!$K$184="","",CHAR(10))&amp;"Note: "&amp;Checks!$O$184)</f>
        <v>Available - BC red-eye only
Note: Red-eye departure 2320 local.</v>
      </c>
      <c r="C43" s="112" t="str">
        <f aca="false">Checks!$N$184&amp;CHAR(10)&amp;IF(ISNUMBER(Checks!$R$184),TEXT(Checks!$R$184,"DD-MMM-YY HH:MM"),"")&amp;" "&amp;Checks!$P$184</f>
        <v>Required
15-Oct-26 11:20 KUL</v>
      </c>
      <c r="D43" s="112" t="str">
        <f aca="false">IF(Checks!$U$184="","",Checks!$U$184)&amp;IF(Checks!$AB$184="","",CHAR(10)&amp;"CA: "&amp;Checks!$AB$184)</f>
        <v/>
      </c>
      <c r="E43" s="112" t="str">
        <f aca="false">IF(Checks!$V$184="","",Checks!$V$184)&amp;IF(Checks!$AC$184="","",IF(Checks!$V$184="","",CHAR(10))&amp;"N/A just.: "&amp;Checks!$AC$184)&amp;IF(Checks!$W$184="","",CHAR(10)&amp;"Batch: "&amp;Checks!$W$184)&amp;IF(AND(Checks!$X$184="",Checks!$Y$184=""),"",CHAR(10)&amp;"Exp: "&amp;Checks!$X$184&amp;"  /  Act: "&amp;Checks!$Y$184)</f>
        <v/>
      </c>
      <c r="F43" s="112" t="str">
        <f aca="false">IF(Checks!$Z$184="","","Evidence: "&amp;Checks!$Z$184)&amp;IF(Checks!$AA$184="","",IF(Checks!$Z$184="","",CHAR(10))&amp;"CA: "&amp;Checks!$AA$184)</f>
        <v/>
      </c>
      <c r="G43" s="112" t="str">
        <f aca="false">IF(ISNUMBER(Checks!$AD$184),TEXT(Checks!$AD$184,"DD-MMM-YY HH:MM")&amp;" "&amp;Checks!$P$184,"")&amp;IF(Checks!$AE$184="","",CHAR(10)&amp;"Verifier: "&amp;Checks!$AE$184)&amp;IF(Checks!$T$184="","",CHAR(10)&amp;"PIC: "&amp;Checks!$T$184)</f>
        <v/>
      </c>
      <c r="H43" s="113" t="str">
        <f aca="false">IF(Checks!$AH$184="","",Checks!$AH$184)</f>
        <v>OPEN</v>
      </c>
    </row>
    <row r="44" customFormat="false" ht="114" hidden="false" customHeight="true" outlineLevel="0" collapsed="false">
      <c r="A44" s="112" t="str">
        <f aca="false">Checks!$A$185&amp;CHAR(10)&amp;IF(Checks!$I$185="","",Checks!$I$185&amp;": ")&amp;Checks!$J$185</f>
        <v>F06-T12-10
Amenities: Slippers (BS/BC) - prepared</v>
      </c>
      <c r="B44" s="112" t="str">
        <f aca="false">Checks!$K$185&amp;IF(Checks!$O$185="","",IF(Checks!$K$185="","",CHAR(10))&amp;"Note: "&amp;Checks!$O$185)</f>
        <v>Available (ticked in reference)</v>
      </c>
      <c r="C44" s="112" t="str">
        <f aca="false">Checks!$N$185&amp;CHAR(10)&amp;IF(ISNUMBER(Checks!$R$185),TEXT(Checks!$R$185,"DD-MMM-YY HH:MM"),"")&amp;" "&amp;Checks!$P$185</f>
        <v>Required
15-Oct-26 11:20 KUL</v>
      </c>
      <c r="D44" s="112" t="str">
        <f aca="false">IF(Checks!$U$185="","",Checks!$U$185)&amp;IF(Checks!$AB$185="","",CHAR(10)&amp;"CA: "&amp;Checks!$AB$185)</f>
        <v/>
      </c>
      <c r="E44" s="112" t="str">
        <f aca="false">IF(Checks!$V$185="","",Checks!$V$185)&amp;IF(Checks!$AC$185="","",IF(Checks!$V$185="","",CHAR(10))&amp;"N/A just.: "&amp;Checks!$AC$185)&amp;IF(Checks!$W$185="","",CHAR(10)&amp;"Batch: "&amp;Checks!$W$185)&amp;IF(AND(Checks!$X$185="",Checks!$Y$185=""),"",CHAR(10)&amp;"Exp: "&amp;Checks!$X$185&amp;"  /  Act: "&amp;Checks!$Y$185)</f>
        <v/>
      </c>
      <c r="F44" s="112" t="str">
        <f aca="false">IF(Checks!$Z$185="","","Evidence: "&amp;Checks!$Z$185)&amp;IF(Checks!$AA$185="","",IF(Checks!$Z$185="","",CHAR(10))&amp;"CA: "&amp;Checks!$AA$185)</f>
        <v/>
      </c>
      <c r="G44" s="112" t="str">
        <f aca="false">IF(ISNUMBER(Checks!$AD$185),TEXT(Checks!$AD$185,"DD-MMM-YY HH:MM")&amp;" "&amp;Checks!$P$185,"")&amp;IF(Checks!$AE$185="","",CHAR(10)&amp;"Verifier: "&amp;Checks!$AE$185)&amp;IF(Checks!$T$185="","",CHAR(10)&amp;"PIC: "&amp;Checks!$T$185)</f>
        <v/>
      </c>
      <c r="H44" s="113" t="str">
        <f aca="false">IF(Checks!$AH$185="","",Checks!$AH$185)</f>
        <v>OPEN</v>
      </c>
    </row>
    <row r="45" customFormat="false" ht="114" hidden="false" customHeight="true" outlineLevel="0" collapsed="false">
      <c r="A45" s="112" t="str">
        <f aca="false">Checks!$A$186&amp;CHAR(10)&amp;IF(Checks!$I$186="","",Checks!$I$186&amp;": ")&amp;Checks!$J$186</f>
        <v>F06-T12-11
F&amp;B Linen: Towel - prepared</v>
      </c>
      <c r="B45" s="112" t="str">
        <f aca="false">Checks!$K$186&amp;IF(Checks!$O$186="","",IF(Checks!$K$186="","",CHAR(10))&amp;"Note: "&amp;Checks!$O$186)</f>
        <v>Available (ticked in reference)
Note: Reference gives no uplift stn for this item: preparation checked at the meal uplift stn (KUL) - confirm with caterer.</v>
      </c>
      <c r="C45" s="112" t="str">
        <f aca="false">Checks!$N$186&amp;CHAR(10)&amp;IF(ISNUMBER(Checks!$R$186),TEXT(Checks!$R$186,"DD-MMM-YY HH:MM"),"")&amp;" "&amp;Checks!$P$186</f>
        <v>Required
15-Oct-26 11:20 KUL</v>
      </c>
      <c r="D45" s="112" t="str">
        <f aca="false">IF(Checks!$U$186="","",Checks!$U$186)&amp;IF(Checks!$AB$186="","",CHAR(10)&amp;"CA: "&amp;Checks!$AB$186)</f>
        <v/>
      </c>
      <c r="E45" s="112" t="str">
        <f aca="false">IF(Checks!$V$186="","",Checks!$V$186)&amp;IF(Checks!$AC$186="","",IF(Checks!$V$186="","",CHAR(10))&amp;"N/A just.: "&amp;Checks!$AC$186)&amp;IF(Checks!$W$186="","",CHAR(10)&amp;"Batch: "&amp;Checks!$W$186)&amp;IF(AND(Checks!$X$186="",Checks!$Y$186=""),"",CHAR(10)&amp;"Exp: "&amp;Checks!$X$186&amp;"  /  Act: "&amp;Checks!$Y$186)</f>
        <v/>
      </c>
      <c r="F45" s="112" t="str">
        <f aca="false">IF(Checks!$Z$186="","","Evidence: "&amp;Checks!$Z$186)&amp;IF(Checks!$AA$186="","",IF(Checks!$Z$186="","",CHAR(10))&amp;"CA: "&amp;Checks!$AA$186)</f>
        <v/>
      </c>
      <c r="G45" s="112" t="str">
        <f aca="false">IF(ISNUMBER(Checks!$AD$186),TEXT(Checks!$AD$186,"DD-MMM-YY HH:MM")&amp;" "&amp;Checks!$P$186,"")&amp;IF(Checks!$AE$186="","",CHAR(10)&amp;"Verifier: "&amp;Checks!$AE$186)&amp;IF(Checks!$T$186="","",CHAR(10)&amp;"PIC: "&amp;Checks!$T$186)</f>
        <v/>
      </c>
      <c r="H45" s="113" t="str">
        <f aca="false">IF(Checks!$AH$186="","",Checks!$AH$186)</f>
        <v>OPEN</v>
      </c>
    </row>
    <row r="46" customFormat="false" ht="114" hidden="false" customHeight="true" outlineLevel="0" collapsed="false">
      <c r="A46" s="112" t="str">
        <f aca="false">Checks!$A$187&amp;CHAR(10)&amp;IF(Checks!$I$187="","",Checks!$I$187&amp;": ")&amp;Checks!$J$187</f>
        <v>F06-T12-12
F&amp;B Linen: Tray cloth - prepared</v>
      </c>
      <c r="B46" s="112" t="str">
        <f aca="false">Checks!$K$187&amp;IF(Checks!$O$187="","",IF(Checks!$K$187="","",CHAR(10))&amp;"Note: "&amp;Checks!$O$187)</f>
        <v>Available (ticked in reference)
Note: Reference gives no uplift stn for this item: preparation checked at the meal uplift stn (KUL) - confirm with caterer.</v>
      </c>
      <c r="C46" s="112" t="str">
        <f aca="false">Checks!$N$187&amp;CHAR(10)&amp;IF(ISNUMBER(Checks!$R$187),TEXT(Checks!$R$187,"DD-MMM-YY HH:MM"),"")&amp;" "&amp;Checks!$P$187</f>
        <v>Required
15-Oct-26 11:20 KUL</v>
      </c>
      <c r="D46" s="112" t="str">
        <f aca="false">IF(Checks!$U$187="","",Checks!$U$187)&amp;IF(Checks!$AB$187="","",CHAR(10)&amp;"CA: "&amp;Checks!$AB$187)</f>
        <v/>
      </c>
      <c r="E46" s="112" t="str">
        <f aca="false">IF(Checks!$V$187="","",Checks!$V$187)&amp;IF(Checks!$AC$187="","",IF(Checks!$V$187="","",CHAR(10))&amp;"N/A just.: "&amp;Checks!$AC$187)&amp;IF(Checks!$W$187="","",CHAR(10)&amp;"Batch: "&amp;Checks!$W$187)&amp;IF(AND(Checks!$X$187="",Checks!$Y$187=""),"",CHAR(10)&amp;"Exp: "&amp;Checks!$X$187&amp;"  /  Act: "&amp;Checks!$Y$187)</f>
        <v/>
      </c>
      <c r="F46" s="112" t="str">
        <f aca="false">IF(Checks!$Z$187="","","Evidence: "&amp;Checks!$Z$187)&amp;IF(Checks!$AA$187="","",IF(Checks!$Z$187="","",CHAR(10))&amp;"CA: "&amp;Checks!$AA$187)</f>
        <v/>
      </c>
      <c r="G46" s="112" t="str">
        <f aca="false">IF(ISNUMBER(Checks!$AD$187),TEXT(Checks!$AD$187,"DD-MMM-YY HH:MM")&amp;" "&amp;Checks!$P$187,"")&amp;IF(Checks!$AE$187="","",CHAR(10)&amp;"Verifier: "&amp;Checks!$AE$187)&amp;IF(Checks!$T$187="","",CHAR(10)&amp;"PIC: "&amp;Checks!$T$187)</f>
        <v/>
      </c>
      <c r="H46" s="113" t="str">
        <f aca="false">IF(Checks!$AH$187="","",Checks!$AH$187)</f>
        <v>OPEN</v>
      </c>
    </row>
    <row r="47" customFormat="false" ht="114" hidden="false" customHeight="true" outlineLevel="0" collapsed="false">
      <c r="A47" s="112" t="str">
        <f aca="false">Checks!$A$188&amp;CHAR(10)&amp;IF(Checks!$I$188="","",Checks!$I$188&amp;": ")&amp;Checks!$J$188</f>
        <v>F06-T12-13
F&amp;B Linen: Napkin - prepared</v>
      </c>
      <c r="B47" s="112" t="str">
        <f aca="false">Checks!$K$188&amp;IF(Checks!$O$188="","",IF(Checks!$K$188="","",CHAR(10))&amp;"Note: "&amp;Checks!$O$188)</f>
        <v>Available (ticked in reference)
Note: Reference gives no uplift stn for this item: preparation checked at the meal uplift stn (KUL) - confirm with caterer.</v>
      </c>
      <c r="C47" s="112" t="str">
        <f aca="false">Checks!$N$188&amp;CHAR(10)&amp;IF(ISNUMBER(Checks!$R$188),TEXT(Checks!$R$188,"DD-MMM-YY HH:MM"),"")&amp;" "&amp;Checks!$P$188</f>
        <v>Required
15-Oct-26 11:20 KUL</v>
      </c>
      <c r="D47" s="112" t="str">
        <f aca="false">IF(Checks!$U$188="","",Checks!$U$188)&amp;IF(Checks!$AB$188="","",CHAR(10)&amp;"CA: "&amp;Checks!$AB$188)</f>
        <v/>
      </c>
      <c r="E47" s="112" t="str">
        <f aca="false">IF(Checks!$V$188="","",Checks!$V$188)&amp;IF(Checks!$AC$188="","",IF(Checks!$V$188="","",CHAR(10))&amp;"N/A just.: "&amp;Checks!$AC$188)&amp;IF(Checks!$W$188="","",CHAR(10)&amp;"Batch: "&amp;Checks!$W$188)&amp;IF(AND(Checks!$X$188="",Checks!$Y$188=""),"",CHAR(10)&amp;"Exp: "&amp;Checks!$X$188&amp;"  /  Act: "&amp;Checks!$Y$188)</f>
        <v/>
      </c>
      <c r="F47" s="112" t="str">
        <f aca="false">IF(Checks!$Z$188="","","Evidence: "&amp;Checks!$Z$188)&amp;IF(Checks!$AA$188="","",IF(Checks!$Z$188="","",CHAR(10))&amp;"CA: "&amp;Checks!$AA$188)</f>
        <v/>
      </c>
      <c r="G47" s="112" t="str">
        <f aca="false">IF(ISNUMBER(Checks!$AD$188),TEXT(Checks!$AD$188,"DD-MMM-YY HH:MM")&amp;" "&amp;Checks!$P$188,"")&amp;IF(Checks!$AE$188="","",CHAR(10)&amp;"Verifier: "&amp;Checks!$AE$188)&amp;IF(Checks!$T$188="","",CHAR(10)&amp;"PIC: "&amp;Checks!$T$188)</f>
        <v/>
      </c>
      <c r="H47" s="113" t="str">
        <f aca="false">IF(Checks!$AH$188="","",Checks!$AH$188)</f>
        <v>OPEN</v>
      </c>
    </row>
    <row r="48" customFormat="false" ht="114" hidden="false" customHeight="true" outlineLevel="0" collapsed="false">
      <c r="A48" s="112" t="str">
        <f aca="false">Checks!$A$189&amp;CHAR(10)&amp;IF(Checks!$I$189="","",Checks!$I$189&amp;": ")&amp;Checks!$J$189</f>
        <v>F06-T12-14
F&amp;B Linen: Table cloth - prepared</v>
      </c>
      <c r="B48" s="112" t="str">
        <f aca="false">Checks!$K$189&amp;IF(Checks!$O$189="","",IF(Checks!$K$189="","",CHAR(10))&amp;"Note: "&amp;Checks!$O$189)</f>
        <v>Available (ticked in reference)
Note: Reference gives no uplift stn for this item: preparation checked at the meal uplift stn (KUL) - confirm with caterer.</v>
      </c>
      <c r="C48" s="112" t="str">
        <f aca="false">Checks!$N$189&amp;CHAR(10)&amp;IF(ISNUMBER(Checks!$R$189),TEXT(Checks!$R$189,"DD-MMM-YY HH:MM"),"")&amp;" "&amp;Checks!$P$189</f>
        <v>Required
15-Oct-26 11:20 KUL</v>
      </c>
      <c r="D48" s="112" t="str">
        <f aca="false">IF(Checks!$U$189="","",Checks!$U$189)&amp;IF(Checks!$AB$189="","",CHAR(10)&amp;"CA: "&amp;Checks!$AB$189)</f>
        <v/>
      </c>
      <c r="E48" s="112" t="str">
        <f aca="false">IF(Checks!$V$189="","",Checks!$V$189)&amp;IF(Checks!$AC$189="","",IF(Checks!$V$189="","",CHAR(10))&amp;"N/A just.: "&amp;Checks!$AC$189)&amp;IF(Checks!$W$189="","",CHAR(10)&amp;"Batch: "&amp;Checks!$W$189)&amp;IF(AND(Checks!$X$189="",Checks!$Y$189=""),"",CHAR(10)&amp;"Exp: "&amp;Checks!$X$189&amp;"  /  Act: "&amp;Checks!$Y$189)</f>
        <v/>
      </c>
      <c r="F48" s="112" t="str">
        <f aca="false">IF(Checks!$Z$189="","","Evidence: "&amp;Checks!$Z$189)&amp;IF(Checks!$AA$189="","",IF(Checks!$Z$189="","",CHAR(10))&amp;"CA: "&amp;Checks!$AA$189)</f>
        <v/>
      </c>
      <c r="G48" s="112" t="str">
        <f aca="false">IF(ISNUMBER(Checks!$AD$189),TEXT(Checks!$AD$189,"DD-MMM-YY HH:MM")&amp;" "&amp;Checks!$P$189,"")&amp;IF(Checks!$AE$189="","",CHAR(10)&amp;"Verifier: "&amp;Checks!$AE$189)&amp;IF(Checks!$T$189="","",CHAR(10)&amp;"PIC: "&amp;Checks!$T$189)</f>
        <v/>
      </c>
      <c r="H48" s="113" t="str">
        <f aca="false">IF(Checks!$AH$189="","",Checks!$AH$189)</f>
        <v>OPEN</v>
      </c>
    </row>
    <row r="49" customFormat="false" ht="114" hidden="false" customHeight="true" outlineLevel="0" collapsed="false">
      <c r="A49" s="112" t="str">
        <f aca="false">Checks!$A$190&amp;CHAR(10)&amp;IF(Checks!$I$190="","",Checks!$I$190&amp;": ")&amp;Checks!$J$190</f>
        <v>F06-T12-15
F&amp;B Linen: Bread linen (using table cloth) - prepared</v>
      </c>
      <c r="B49" s="112" t="str">
        <f aca="false">Checks!$K$190&amp;IF(Checks!$O$190="","",IF(Checks!$K$190="","",CHAR(10))&amp;"Note: "&amp;Checks!$O$190)</f>
        <v>Available (ticked in reference)
Note: Reference gives no uplift stn for this item: preparation checked at the meal uplift stn (KUL) - confirm with caterer.</v>
      </c>
      <c r="C49" s="112" t="str">
        <f aca="false">Checks!$N$190&amp;CHAR(10)&amp;IF(ISNUMBER(Checks!$R$190),TEXT(Checks!$R$190,"DD-MMM-YY HH:MM"),"")&amp;" "&amp;Checks!$P$190</f>
        <v>Required
15-Oct-26 11:20 KUL</v>
      </c>
      <c r="D49" s="112" t="str">
        <f aca="false">IF(Checks!$U$190="","",Checks!$U$190)&amp;IF(Checks!$AB$190="","",CHAR(10)&amp;"CA: "&amp;Checks!$AB$190)</f>
        <v/>
      </c>
      <c r="E49" s="112" t="str">
        <f aca="false">IF(Checks!$V$190="","",Checks!$V$190)&amp;IF(Checks!$AC$190="","",IF(Checks!$V$190="","",CHAR(10))&amp;"N/A just.: "&amp;Checks!$AC$190)&amp;IF(Checks!$W$190="","",CHAR(10)&amp;"Batch: "&amp;Checks!$W$190)&amp;IF(AND(Checks!$X$190="",Checks!$Y$190=""),"",CHAR(10)&amp;"Exp: "&amp;Checks!$X$190&amp;"  /  Act: "&amp;Checks!$Y$190)</f>
        <v/>
      </c>
      <c r="F49" s="112" t="str">
        <f aca="false">IF(Checks!$Z$190="","","Evidence: "&amp;Checks!$Z$190)&amp;IF(Checks!$AA$190="","",IF(Checks!$Z$190="","",CHAR(10))&amp;"CA: "&amp;Checks!$AA$190)</f>
        <v/>
      </c>
      <c r="G49" s="112" t="str">
        <f aca="false">IF(ISNUMBER(Checks!$AD$190),TEXT(Checks!$AD$190,"DD-MMM-YY HH:MM")&amp;" "&amp;Checks!$P$190,"")&amp;IF(Checks!$AE$190="","",CHAR(10)&amp;"Verifier: "&amp;Checks!$AE$190)&amp;IF(Checks!$T$190="","",CHAR(10)&amp;"PIC: "&amp;Checks!$T$190)</f>
        <v/>
      </c>
      <c r="H49" s="113" t="str">
        <f aca="false">IF(Checks!$AH$190="","",Checks!$AH$190)</f>
        <v>OPEN</v>
      </c>
    </row>
    <row r="50" customFormat="false" ht="124.5" hidden="false" customHeight="true" outlineLevel="0" collapsed="false">
      <c r="A50" s="112" t="str">
        <f aca="false">Checks!$A$191&amp;CHAR(10)&amp;IF(Checks!$I$191="","",Checks!$I$191&amp;": ")&amp;Checks!$J$191</f>
        <v>F06-T12-16
F&amp;B Linen: Trolley cloth - prepared</v>
      </c>
      <c r="B50" s="112"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2" t="str">
        <f aca="false">Checks!$N$191&amp;CHAR(10)&amp;IF(ISNUMBER(Checks!$R$191),TEXT(Checks!$R$191,"DD-MMM-YY HH:MM"),"")&amp;" "&amp;Checks!$P$191</f>
        <v>Required
15-Oct-26 11:20 KUL</v>
      </c>
      <c r="D50" s="112" t="str">
        <f aca="false">IF(Checks!$U$191="","",Checks!$U$191)&amp;IF(Checks!$AB$191="","",CHAR(10)&amp;"CA: "&amp;Checks!$AB$191)</f>
        <v/>
      </c>
      <c r="E50" s="112" t="str">
        <f aca="false">IF(Checks!$V$191="","",Checks!$V$191)&amp;IF(Checks!$AC$191="","",IF(Checks!$V$191="","",CHAR(10))&amp;"N/A just.: "&amp;Checks!$AC$191)&amp;IF(Checks!$W$191="","",CHAR(10)&amp;"Batch: "&amp;Checks!$W$191)&amp;IF(AND(Checks!$X$191="",Checks!$Y$191=""),"",CHAR(10)&amp;"Exp: "&amp;Checks!$X$191&amp;"  /  Act: "&amp;Checks!$Y$191)</f>
        <v/>
      </c>
      <c r="F50" s="112" t="str">
        <f aca="false">IF(Checks!$Z$191="","","Evidence: "&amp;Checks!$Z$191)&amp;IF(Checks!$AA$191="","",IF(Checks!$Z$191="","",CHAR(10))&amp;"CA: "&amp;Checks!$AA$191)</f>
        <v/>
      </c>
      <c r="G50" s="112" t="str">
        <f aca="false">IF(ISNUMBER(Checks!$AD$191),TEXT(Checks!$AD$191,"DD-MMM-YY HH:MM")&amp;" "&amp;Checks!$P$191,"")&amp;IF(Checks!$AE$191="","",CHAR(10)&amp;"Verifier: "&amp;Checks!$AE$191)&amp;IF(Checks!$T$191="","",CHAR(10)&amp;"PIC: "&amp;Checks!$T$191)</f>
        <v/>
      </c>
      <c r="H50" s="113" t="str">
        <f aca="false">IF(Checks!$AH$191="","",Checks!$AH$191)</f>
        <v>OPEN</v>
      </c>
    </row>
    <row r="51" customFormat="false" ht="114" hidden="false" customHeight="true" outlineLevel="0" collapsed="false">
      <c r="A51" s="112" t="str">
        <f aca="false">Checks!$A$192&amp;CHAR(10)&amp;IF(Checks!$I$192="","",Checks!$I$192&amp;": ")&amp;Checks!$J$192</f>
        <v>F06-T12-17
F&amp;B Linen: Linen bag - prepared</v>
      </c>
      <c r="B51" s="112" t="str">
        <f aca="false">Checks!$K$192&amp;IF(Checks!$O$192="","",IF(Checks!$K$192="","",CHAR(10))&amp;"Note: "&amp;Checks!$O$192)</f>
        <v>Available (ticked in reference)
Note: Reference gives no uplift stn for this item: preparation checked at the meal uplift stn (KUL) - confirm with caterer.</v>
      </c>
      <c r="C51" s="112" t="str">
        <f aca="false">Checks!$N$192&amp;CHAR(10)&amp;IF(ISNUMBER(Checks!$R$192),TEXT(Checks!$R$192,"DD-MMM-YY HH:MM"),"")&amp;" "&amp;Checks!$P$192</f>
        <v>Required
15-Oct-26 11:20 KUL</v>
      </c>
      <c r="D51" s="112" t="str">
        <f aca="false">IF(Checks!$U$192="","",Checks!$U$192)&amp;IF(Checks!$AB$192="","",CHAR(10)&amp;"CA: "&amp;Checks!$AB$192)</f>
        <v/>
      </c>
      <c r="E51" s="112" t="str">
        <f aca="false">IF(Checks!$V$192="","",Checks!$V$192)&amp;IF(Checks!$AC$192="","",IF(Checks!$V$192="","",CHAR(10))&amp;"N/A just.: "&amp;Checks!$AC$192)&amp;IF(Checks!$W$192="","",CHAR(10)&amp;"Batch: "&amp;Checks!$W$192)&amp;IF(AND(Checks!$X$192="",Checks!$Y$192=""),"",CHAR(10)&amp;"Exp: "&amp;Checks!$X$192&amp;"  /  Act: "&amp;Checks!$Y$192)</f>
        <v/>
      </c>
      <c r="F51" s="112" t="str">
        <f aca="false">IF(Checks!$Z$192="","","Evidence: "&amp;Checks!$Z$192)&amp;IF(Checks!$AA$192="","",IF(Checks!$Z$192="","",CHAR(10))&amp;"CA: "&amp;Checks!$AA$192)</f>
        <v/>
      </c>
      <c r="G51" s="112" t="str">
        <f aca="false">IF(ISNUMBER(Checks!$AD$192),TEXT(Checks!$AD$192,"DD-MMM-YY HH:MM")&amp;" "&amp;Checks!$P$192,"")&amp;IF(Checks!$AE$192="","",CHAR(10)&amp;"Verifier: "&amp;Checks!$AE$192)&amp;IF(Checks!$T$192="","",CHAR(10)&amp;"PIC: "&amp;Checks!$T$192)</f>
        <v/>
      </c>
      <c r="H51" s="113" t="str">
        <f aca="false">IF(Checks!$AH$192="","",Checks!$AH$192)</f>
        <v>OPEN</v>
      </c>
    </row>
    <row r="52" customFormat="false" ht="114" hidden="false" customHeight="true" outlineLevel="0" collapsed="false">
      <c r="A52" s="112" t="str">
        <f aca="false">Checks!$A$193&amp;CHAR(10)&amp;IF(Checks!$I$193="","",Checks!$I$193&amp;": ")&amp;Checks!$J$193</f>
        <v>F06-T12-18
Seat Linen: Seat pillow (BS &amp; BC) - prepared</v>
      </c>
      <c r="B52" s="112" t="str">
        <f aca="false">Checks!$K$193&amp;IF(Checks!$O$193="","",IF(Checks!$K$193="","",CHAR(10))&amp;"Note: "&amp;Checks!$O$193)</f>
        <v>Available 100% (ticked in reference)
Note: Reference gives no uplift stn for this item: preparation checked at the meal uplift stn (KUL) - confirm with caterer.</v>
      </c>
      <c r="C52" s="112" t="str">
        <f aca="false">Checks!$N$193&amp;CHAR(10)&amp;IF(ISNUMBER(Checks!$R$193),TEXT(Checks!$R$193,"DD-MMM-YY HH:MM"),"")&amp;" "&amp;Checks!$P$193</f>
        <v>Required
15-Oct-26 11:20 KUL</v>
      </c>
      <c r="D52" s="112" t="str">
        <f aca="false">IF(Checks!$U$193="","",Checks!$U$193)&amp;IF(Checks!$AB$193="","",CHAR(10)&amp;"CA: "&amp;Checks!$AB$193)</f>
        <v/>
      </c>
      <c r="E52" s="112" t="str">
        <f aca="false">IF(Checks!$V$193="","",Checks!$V$193)&amp;IF(Checks!$AC$193="","",IF(Checks!$V$193="","",CHAR(10))&amp;"N/A just.: "&amp;Checks!$AC$193)&amp;IF(Checks!$W$193="","",CHAR(10)&amp;"Batch: "&amp;Checks!$W$193)&amp;IF(AND(Checks!$X$193="",Checks!$Y$193=""),"",CHAR(10)&amp;"Exp: "&amp;Checks!$X$193&amp;"  /  Act: "&amp;Checks!$Y$193)</f>
        <v/>
      </c>
      <c r="F52" s="112" t="str">
        <f aca="false">IF(Checks!$Z$193="","","Evidence: "&amp;Checks!$Z$193)&amp;IF(Checks!$AA$193="","",IF(Checks!$Z$193="","",CHAR(10))&amp;"CA: "&amp;Checks!$AA$193)</f>
        <v/>
      </c>
      <c r="G52" s="112" t="str">
        <f aca="false">IF(ISNUMBER(Checks!$AD$193),TEXT(Checks!$AD$193,"DD-MMM-YY HH:MM")&amp;" "&amp;Checks!$P$193,"")&amp;IF(Checks!$AE$193="","",CHAR(10)&amp;"Verifier: "&amp;Checks!$AE$193)&amp;IF(Checks!$T$193="","",CHAR(10)&amp;"PIC: "&amp;Checks!$T$193)</f>
        <v/>
      </c>
      <c r="H52" s="113" t="str">
        <f aca="false">IF(Checks!$AH$193="","",Checks!$AH$193)</f>
        <v>OPEN</v>
      </c>
    </row>
    <row r="53" customFormat="false" ht="114" hidden="false" customHeight="true" outlineLevel="0" collapsed="false">
      <c r="A53" s="112" t="str">
        <f aca="false">Checks!$A$194&amp;CHAR(10)&amp;IF(Checks!$I$194="","",Checks!$I$194&amp;": ")&amp;Checks!$J$194</f>
        <v>F06-T12-19
Seat Linen: Duvet (BS &amp; BC) - prepared</v>
      </c>
      <c r="B53" s="112" t="str">
        <f aca="false">Checks!$K$194&amp;IF(Checks!$O$194="","",IF(Checks!$K$194="","",CHAR(10))&amp;"Note: "&amp;Checks!$O$194)</f>
        <v>Available 100% (ticked in reference)
Note: Reference gives no uplift stn for this item: preparation checked at the meal uplift stn (KUL) - confirm with caterer.</v>
      </c>
      <c r="C53" s="112" t="str">
        <f aca="false">Checks!$N$194&amp;CHAR(10)&amp;IF(ISNUMBER(Checks!$R$194),TEXT(Checks!$R$194,"DD-MMM-YY HH:MM"),"")&amp;" "&amp;Checks!$P$194</f>
        <v>Required
15-Oct-26 11:20 KUL</v>
      </c>
      <c r="D53" s="112" t="str">
        <f aca="false">IF(Checks!$U$194="","",Checks!$U$194)&amp;IF(Checks!$AB$194="","",CHAR(10)&amp;"CA: "&amp;Checks!$AB$194)</f>
        <v/>
      </c>
      <c r="E53" s="112" t="str">
        <f aca="false">IF(Checks!$V$194="","",Checks!$V$194)&amp;IF(Checks!$AC$194="","",IF(Checks!$V$194="","",CHAR(10))&amp;"N/A just.: "&amp;Checks!$AC$194)&amp;IF(Checks!$W$194="","",CHAR(10)&amp;"Batch: "&amp;Checks!$W$194)&amp;IF(AND(Checks!$X$194="",Checks!$Y$194=""),"",CHAR(10)&amp;"Exp: "&amp;Checks!$X$194&amp;"  /  Act: "&amp;Checks!$Y$194)</f>
        <v/>
      </c>
      <c r="F53" s="112" t="str">
        <f aca="false">IF(Checks!$Z$194="","","Evidence: "&amp;Checks!$Z$194)&amp;IF(Checks!$AA$194="","",IF(Checks!$Z$194="","",CHAR(10))&amp;"CA: "&amp;Checks!$AA$194)</f>
        <v/>
      </c>
      <c r="G53" s="112" t="str">
        <f aca="false">IF(ISNUMBER(Checks!$AD$194),TEXT(Checks!$AD$194,"DD-MMM-YY HH:MM")&amp;" "&amp;Checks!$P$194,"")&amp;IF(Checks!$AE$194="","",CHAR(10)&amp;"Verifier: "&amp;Checks!$AE$194)&amp;IF(Checks!$T$194="","",CHAR(10)&amp;"PIC: "&amp;Checks!$T$194)</f>
        <v/>
      </c>
      <c r="H53" s="113" t="str">
        <f aca="false">IF(Checks!$AH$194="","",Checks!$AH$194)</f>
        <v>OPEN</v>
      </c>
    </row>
    <row r="54" customFormat="false" ht="114" hidden="false" customHeight="true" outlineLevel="0" collapsed="false">
      <c r="A54" s="112" t="str">
        <f aca="false">Checks!$A$195&amp;CHAR(10)&amp;IF(Checks!$I$195="","",Checks!$I$195&amp;": ")&amp;Checks!$J$195</f>
        <v>F06-T12-20
Seat Linen: Mattress (BS &amp; BC) - prepared</v>
      </c>
      <c r="B54" s="112" t="str">
        <f aca="false">Checks!$K$195&amp;IF(Checks!$O$195="","",IF(Checks!$K$195="","",CHAR(10))&amp;"Note: "&amp;Checks!$O$195)</f>
        <v>Available 100% (ticked in reference)
Note: Reference gives no uplift stn for this item: preparation checked at the meal uplift stn (KUL) - confirm with caterer.</v>
      </c>
      <c r="C54" s="112" t="str">
        <f aca="false">Checks!$N$195&amp;CHAR(10)&amp;IF(ISNUMBER(Checks!$R$195),TEXT(Checks!$R$195,"DD-MMM-YY HH:MM"),"")&amp;" "&amp;Checks!$P$195</f>
        <v>Required
15-Oct-26 11:20 KUL</v>
      </c>
      <c r="D54" s="112" t="str">
        <f aca="false">IF(Checks!$U$195="","",Checks!$U$195)&amp;IF(Checks!$AB$195="","",CHAR(10)&amp;"CA: "&amp;Checks!$AB$195)</f>
        <v/>
      </c>
      <c r="E54" s="112" t="str">
        <f aca="false">IF(Checks!$V$195="","",Checks!$V$195)&amp;IF(Checks!$AC$195="","",IF(Checks!$V$195="","",CHAR(10))&amp;"N/A just.: "&amp;Checks!$AC$195)&amp;IF(Checks!$W$195="","",CHAR(10)&amp;"Batch: "&amp;Checks!$W$195)&amp;IF(AND(Checks!$X$195="",Checks!$Y$195=""),"",CHAR(10)&amp;"Exp: "&amp;Checks!$X$195&amp;"  /  Act: "&amp;Checks!$Y$195)</f>
        <v/>
      </c>
      <c r="F54" s="112" t="str">
        <f aca="false">IF(Checks!$Z$195="","","Evidence: "&amp;Checks!$Z$195)&amp;IF(Checks!$AA$195="","",IF(Checks!$Z$195="","",CHAR(10))&amp;"CA: "&amp;Checks!$AA$195)</f>
        <v/>
      </c>
      <c r="G54" s="112" t="str">
        <f aca="false">IF(ISNUMBER(Checks!$AD$195),TEXT(Checks!$AD$195,"DD-MMM-YY HH:MM")&amp;" "&amp;Checks!$P$195,"")&amp;IF(Checks!$AE$195="","",CHAR(10)&amp;"Verifier: "&amp;Checks!$AE$195)&amp;IF(Checks!$T$195="","",CHAR(10)&amp;"PIC: "&amp;Checks!$T$195)</f>
        <v/>
      </c>
      <c r="H54" s="113" t="str">
        <f aca="false">IF(Checks!$AH$195="","",Checks!$AH$195)</f>
        <v>OPEN</v>
      </c>
    </row>
    <row r="55" customFormat="false" ht="114" hidden="false" customHeight="true" outlineLevel="0" collapsed="false">
      <c r="A55" s="112" t="str">
        <f aca="false">Checks!$A$196&amp;CHAR(10)&amp;IF(Checks!$I$196="","",Checks!$I$196&amp;": ")&amp;Checks!$J$196</f>
        <v>F06-T12-21
Signature Drinks: Signature drink &amp; garnish (BC) - prepared</v>
      </c>
      <c r="B55" s="112" t="str">
        <f aca="false">Checks!$K$196&amp;IF(Checks!$O$196="","",IF(Checks!$K$196="","",CHAR(10))&amp;"Note: "&amp;Checks!$O$196)</f>
        <v>Available (ticked in reference)
Note: Signature drinks &amp; garnish uplifted from KUL (note D79).</v>
      </c>
      <c r="C55" s="112" t="str">
        <f aca="false">Checks!$N$196&amp;CHAR(10)&amp;IF(ISNUMBER(Checks!$R$196),TEXT(Checks!$R$196,"DD-MMM-YY HH:MM"),"")&amp;" "&amp;Checks!$P$196</f>
        <v>Required
15-Oct-26 11:20 KUL</v>
      </c>
      <c r="D55" s="112" t="str">
        <f aca="false">IF(Checks!$U$196="","",Checks!$U$196)&amp;IF(Checks!$AB$196="","",CHAR(10)&amp;"CA: "&amp;Checks!$AB$196)</f>
        <v/>
      </c>
      <c r="E55" s="112" t="str">
        <f aca="false">IF(Checks!$V$196="","",Checks!$V$196)&amp;IF(Checks!$AC$196="","",IF(Checks!$V$196="","",CHAR(10))&amp;"N/A just.: "&amp;Checks!$AC$196)&amp;IF(Checks!$W$196="","",CHAR(10)&amp;"Batch: "&amp;Checks!$W$196)&amp;IF(AND(Checks!$X$196="",Checks!$Y$196=""),"",CHAR(10)&amp;"Exp: "&amp;Checks!$X$196&amp;"  /  Act: "&amp;Checks!$Y$196)</f>
        <v/>
      </c>
      <c r="F55" s="112" t="str">
        <f aca="false">IF(Checks!$Z$196="","","Evidence: "&amp;Checks!$Z$196)&amp;IF(Checks!$AA$196="","",IF(Checks!$Z$196="","",CHAR(10))&amp;"CA: "&amp;Checks!$AA$196)</f>
        <v/>
      </c>
      <c r="G55" s="112" t="str">
        <f aca="false">IF(ISNUMBER(Checks!$AD$196),TEXT(Checks!$AD$196,"DD-MMM-YY HH:MM")&amp;" "&amp;Checks!$P$196,"")&amp;IF(Checks!$AE$196="","",CHAR(10)&amp;"Verifier: "&amp;Checks!$AE$196)&amp;IF(Checks!$T$196="","",CHAR(10)&amp;"PIC: "&amp;Checks!$T$196)</f>
        <v/>
      </c>
      <c r="H55" s="113" t="str">
        <f aca="false">IF(Checks!$AH$196="","",Checks!$AH$196)</f>
        <v>OPEN</v>
      </c>
    </row>
    <row r="56" customFormat="false" ht="25.5" hidden="false" customHeight="true" outlineLevel="0" collapsed="false">
      <c r="A56" s="111"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1"/>
      <c r="C56" s="111"/>
      <c r="D56" s="111"/>
      <c r="E56" s="111"/>
      <c r="F56" s="111"/>
      <c r="G56" s="111"/>
      <c r="H56" s="111"/>
    </row>
    <row r="57" customFormat="false" ht="114" hidden="false" customHeight="true" outlineLevel="0" collapsed="false">
      <c r="A57" s="112" t="str">
        <f aca="false">Checks!$A$197&amp;CHAR(10)&amp;IF(Checks!$I$197="","",Checks!$I$197&amp;": ")&amp;Checks!$J$197</f>
        <v>F06-UPL-01
Meal: Meals physically uplifted on board - quantity vs menu checklist</v>
      </c>
      <c r="B57" s="112" t="str">
        <f aca="false">Checks!$K$197&amp;IF(Checks!$O$197="","",IF(Checks!$K$197="","",CHAR(10))&amp;"Note: "&amp;Checks!$O$197)</f>
        <v>Enter expected &amp; actual
Note: Confirm on board before departure; completion time must fall inside the uplift window.</v>
      </c>
      <c r="C57" s="112" t="str">
        <f aca="false">Checks!$N$197&amp;CHAR(10)&amp;IF(ISNUMBER(Checks!$R$197),TEXT(Checks!$R$197,"DD-MMM-YY HH:MM"),"")&amp;" "&amp;Checks!$P$197</f>
        <v>Required
15-Oct-26 23:20 KUL</v>
      </c>
      <c r="D57" s="112" t="str">
        <f aca="false">IF(Checks!$U$197="","",Checks!$U$197)&amp;IF(Checks!$AB$197="","",CHAR(10)&amp;"CA: "&amp;Checks!$AB$197)</f>
        <v/>
      </c>
      <c r="E57" s="112" t="str">
        <f aca="false">IF(Checks!$V$197="","",Checks!$V$197)&amp;IF(Checks!$AC$197="","",IF(Checks!$V$197="","",CHAR(10))&amp;"N/A just.: "&amp;Checks!$AC$197)&amp;IF(Checks!$W$197="","",CHAR(10)&amp;"Batch: "&amp;Checks!$W$197)&amp;IF(AND(Checks!$X$197="",Checks!$Y$197=""),"",CHAR(10)&amp;"Exp: "&amp;Checks!$X$197&amp;"  /  Act: "&amp;Checks!$Y$197)</f>
        <v/>
      </c>
      <c r="F57" s="112" t="str">
        <f aca="false">IF(Checks!$Z$197="","","Evidence: "&amp;Checks!$Z$197)&amp;IF(Checks!$AA$197="","",IF(Checks!$Z$197="","",CHAR(10))&amp;"CA: "&amp;Checks!$AA$197)</f>
        <v/>
      </c>
      <c r="G57" s="112" t="str">
        <f aca="false">IF(ISNUMBER(Checks!$AD$197),TEXT(Checks!$AD$197,"DD-MMM-YY HH:MM")&amp;" "&amp;Checks!$P$197,"")&amp;IF(Checks!$AE$197="","",CHAR(10)&amp;"Verifier: "&amp;Checks!$AE$197)&amp;IF(Checks!$T$197="","",CHAR(10)&amp;"PIC: "&amp;Checks!$T$197)</f>
        <v/>
      </c>
      <c r="H57" s="113" t="str">
        <f aca="false">IF(Checks!$AH$197="","",Checks!$AH$197)</f>
        <v>OPEN</v>
      </c>
    </row>
    <row r="58" customFormat="false" ht="114" hidden="false" customHeight="true" outlineLevel="0" collapsed="false">
      <c r="A58" s="112" t="str">
        <f aca="false">Checks!$A$198&amp;CHAR(10)&amp;IF(Checks!$I$198="","",Checks!$I$198&amp;": ")&amp;Checks!$J$198</f>
        <v>F06-UPL-02
Equipment: Equipment physically loaded at GLD positions - quantity &amp; positions</v>
      </c>
      <c r="B58" s="112" t="str">
        <f aca="false">Checks!$K$198&amp;IF(Checks!$O$198="","",IF(Checks!$K$198="","",CHAR(10))&amp;"Note: "&amp;Checks!$O$198)</f>
        <v>Enter expected &amp; actual
Note: Confirm on board before departure; completion time must fall inside the uplift window.</v>
      </c>
      <c r="C58" s="112" t="str">
        <f aca="false">Checks!$N$198&amp;CHAR(10)&amp;IF(ISNUMBER(Checks!$R$198),TEXT(Checks!$R$198,"DD-MMM-YY HH:MM"),"")&amp;" "&amp;Checks!$P$198</f>
        <v>Required
15-Oct-26 23:20 KUL</v>
      </c>
      <c r="D58" s="112" t="str">
        <f aca="false">IF(Checks!$U$198="","",Checks!$U$198)&amp;IF(Checks!$AB$198="","",CHAR(10)&amp;"CA: "&amp;Checks!$AB$198)</f>
        <v/>
      </c>
      <c r="E58" s="112" t="str">
        <f aca="false">IF(Checks!$V$198="","",Checks!$V$198)&amp;IF(Checks!$AC$198="","",IF(Checks!$V$198="","",CHAR(10))&amp;"N/A just.: "&amp;Checks!$AC$198)&amp;IF(Checks!$W$198="","",CHAR(10)&amp;"Batch: "&amp;Checks!$W$198)&amp;IF(AND(Checks!$X$198="",Checks!$Y$198=""),"",CHAR(10)&amp;"Exp: "&amp;Checks!$X$198&amp;"  /  Act: "&amp;Checks!$Y$198)</f>
        <v/>
      </c>
      <c r="F58" s="112" t="str">
        <f aca="false">IF(Checks!$Z$198="","","Evidence: "&amp;Checks!$Z$198)&amp;IF(Checks!$AA$198="","",IF(Checks!$Z$198="","",CHAR(10))&amp;"CA: "&amp;Checks!$AA$198)</f>
        <v/>
      </c>
      <c r="G58" s="112" t="str">
        <f aca="false">IF(ISNUMBER(Checks!$AD$198),TEXT(Checks!$AD$198,"DD-MMM-YY HH:MM")&amp;" "&amp;Checks!$P$198,"")&amp;IF(Checks!$AE$198="","",CHAR(10)&amp;"Verifier: "&amp;Checks!$AE$198)&amp;IF(Checks!$T$198="","",CHAR(10)&amp;"PIC: "&amp;Checks!$T$198)</f>
        <v/>
      </c>
      <c r="H58" s="113" t="str">
        <f aca="false">IF(Checks!$AH$198="","",Checks!$AH$198)</f>
        <v>OPEN</v>
      </c>
    </row>
    <row r="59" customFormat="false" ht="213" hidden="false" customHeight="true" outlineLevel="0" collapsed="false">
      <c r="A59" s="112" t="str">
        <f aca="false">Checks!$A$199&amp;CHAR(10)&amp;IF(Checks!$I$199="","",Checks!$I$199&amp;": ")&amp;Checks!$J$199</f>
        <v>F06-UPL-03
Amenities: Toiletry kits - on board</v>
      </c>
      <c r="B59" s="112"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2" t="str">
        <f aca="false">Checks!$N$199&amp;CHAR(10)&amp;IF(ISNUMBER(Checks!$R$199),TEXT(Checks!$R$199,"DD-MMM-YY HH:MM"),"")&amp;" "&amp;Checks!$P$199</f>
        <v>Clarification required
15-Oct-26 23:20 KUL</v>
      </c>
      <c r="D59" s="112" t="str">
        <f aca="false">IF(Checks!$U$199="","",Checks!$U$199)&amp;IF(Checks!$AB$199="","",CHAR(10)&amp;"CA: "&amp;Checks!$AB$199)</f>
        <v/>
      </c>
      <c r="E59" s="112" t="str">
        <f aca="false">IF(Checks!$V$199="","",Checks!$V$199)&amp;IF(Checks!$AC$199="","",IF(Checks!$V$199="","",CHAR(10))&amp;"N/A just.: "&amp;Checks!$AC$199)&amp;IF(Checks!$W$199="","",CHAR(10)&amp;"Batch: "&amp;Checks!$W$199)&amp;IF(AND(Checks!$X$199="",Checks!$Y$199=""),"",CHAR(10)&amp;"Exp: "&amp;Checks!$X$199&amp;"  /  Act: "&amp;Checks!$Y$199)</f>
        <v/>
      </c>
      <c r="F59" s="112" t="str">
        <f aca="false">IF(Checks!$Z$199="","","Evidence: "&amp;Checks!$Z$199)&amp;IF(Checks!$AA$199="","",IF(Checks!$Z$199="","",CHAR(10))&amp;"CA: "&amp;Checks!$AA$199)</f>
        <v/>
      </c>
      <c r="G59" s="112" t="str">
        <f aca="false">IF(ISNUMBER(Checks!$AD$199),TEXT(Checks!$AD$199,"DD-MMM-YY HH:MM")&amp;" "&amp;Checks!$P$199,"")&amp;IF(Checks!$AE$199="","",CHAR(10)&amp;"Verifier: "&amp;Checks!$AE$199)&amp;IF(Checks!$T$199="","",CHAR(10)&amp;"PIC: "&amp;Checks!$T$199)</f>
        <v/>
      </c>
      <c r="H59" s="113" t="str">
        <f aca="false">IF(Checks!$AH$199="","",Checks!$AH$199)</f>
        <v>OPEN – CLARIFICATION</v>
      </c>
    </row>
    <row r="60" customFormat="false" ht="114" hidden="false" customHeight="true" outlineLevel="0" collapsed="false">
      <c r="A60" s="112" t="str">
        <f aca="false">Checks!$A$200&amp;CHAR(10)&amp;IF(Checks!$I$200="","",Checks!$I$200&amp;": ")&amp;Checks!$J$200</f>
        <v>F06-UPL-04
Amenities: Pajamas (BC) - on board</v>
      </c>
      <c r="B60" s="112" t="str">
        <f aca="false">Checks!$K$200&amp;IF(Checks!$O$200="","",IF(Checks!$K$200="","",CHAR(10))&amp;"Note: "&amp;Checks!$O$200)</f>
        <v>Available - BC red-eye only
Note: Red-eye departure 2320 local.</v>
      </c>
      <c r="C60" s="112" t="str">
        <f aca="false">Checks!$N$200&amp;CHAR(10)&amp;IF(ISNUMBER(Checks!$R$200),TEXT(Checks!$R$200,"DD-MMM-YY HH:MM"),"")&amp;" "&amp;Checks!$P$200</f>
        <v>Required
15-Oct-26 23:20 KUL</v>
      </c>
      <c r="D60" s="112" t="str">
        <f aca="false">IF(Checks!$U$200="","",Checks!$U$200)&amp;IF(Checks!$AB$200="","",CHAR(10)&amp;"CA: "&amp;Checks!$AB$200)</f>
        <v/>
      </c>
      <c r="E60" s="112" t="str">
        <f aca="false">IF(Checks!$V$200="","",Checks!$V$200)&amp;IF(Checks!$AC$200="","",IF(Checks!$V$200="","",CHAR(10))&amp;"N/A just.: "&amp;Checks!$AC$200)&amp;IF(Checks!$W$200="","",CHAR(10)&amp;"Batch: "&amp;Checks!$W$200)&amp;IF(AND(Checks!$X$200="",Checks!$Y$200=""),"",CHAR(10)&amp;"Exp: "&amp;Checks!$X$200&amp;"  /  Act: "&amp;Checks!$Y$200)</f>
        <v/>
      </c>
      <c r="F60" s="112" t="str">
        <f aca="false">IF(Checks!$Z$200="","","Evidence: "&amp;Checks!$Z$200)&amp;IF(Checks!$AA$200="","",IF(Checks!$Z$200="","",CHAR(10))&amp;"CA: "&amp;Checks!$AA$200)</f>
        <v/>
      </c>
      <c r="G60" s="112" t="str">
        <f aca="false">IF(ISNUMBER(Checks!$AD$200),TEXT(Checks!$AD$200,"DD-MMM-YY HH:MM")&amp;" "&amp;Checks!$P$200,"")&amp;IF(Checks!$AE$200="","",CHAR(10)&amp;"Verifier: "&amp;Checks!$AE$200)&amp;IF(Checks!$T$200="","",CHAR(10)&amp;"PIC: "&amp;Checks!$T$200)</f>
        <v/>
      </c>
      <c r="H60" s="113" t="str">
        <f aca="false">IF(Checks!$AH$200="","",Checks!$AH$200)</f>
        <v>OPEN</v>
      </c>
    </row>
    <row r="61" customFormat="false" ht="114" hidden="false" customHeight="true" outlineLevel="0" collapsed="false">
      <c r="A61" s="112" t="str">
        <f aca="false">Checks!$A$201&amp;CHAR(10)&amp;IF(Checks!$I$201="","",Checks!$I$201&amp;": ")&amp;Checks!$J$201</f>
        <v>F06-UPL-05
Amenities: Slippers (BS/BC) - on board</v>
      </c>
      <c r="B61" s="112" t="str">
        <f aca="false">Checks!$K$201&amp;IF(Checks!$O$201="","",IF(Checks!$K$201="","",CHAR(10))&amp;"Note: "&amp;Checks!$O$201)</f>
        <v>Available (ticked in reference)</v>
      </c>
      <c r="C61" s="112" t="str">
        <f aca="false">Checks!$N$201&amp;CHAR(10)&amp;IF(ISNUMBER(Checks!$R$201),TEXT(Checks!$R$201,"DD-MMM-YY HH:MM"),"")&amp;" "&amp;Checks!$P$201</f>
        <v>Required
15-Oct-26 23:20 KUL</v>
      </c>
      <c r="D61" s="112" t="str">
        <f aca="false">IF(Checks!$U$201="","",Checks!$U$201)&amp;IF(Checks!$AB$201="","",CHAR(10)&amp;"CA: "&amp;Checks!$AB$201)</f>
        <v/>
      </c>
      <c r="E61" s="112" t="str">
        <f aca="false">IF(Checks!$V$201="","",Checks!$V$201)&amp;IF(Checks!$AC$201="","",IF(Checks!$V$201="","",CHAR(10))&amp;"N/A just.: "&amp;Checks!$AC$201)&amp;IF(Checks!$W$201="","",CHAR(10)&amp;"Batch: "&amp;Checks!$W$201)&amp;IF(AND(Checks!$X$201="",Checks!$Y$201=""),"",CHAR(10)&amp;"Exp: "&amp;Checks!$X$201&amp;"  /  Act: "&amp;Checks!$Y$201)</f>
        <v/>
      </c>
      <c r="F61" s="112" t="str">
        <f aca="false">IF(Checks!$Z$201="","","Evidence: "&amp;Checks!$Z$201)&amp;IF(Checks!$AA$201="","",IF(Checks!$Z$201="","",CHAR(10))&amp;"CA: "&amp;Checks!$AA$201)</f>
        <v/>
      </c>
      <c r="G61" s="112" t="str">
        <f aca="false">IF(ISNUMBER(Checks!$AD$201),TEXT(Checks!$AD$201,"DD-MMM-YY HH:MM")&amp;" "&amp;Checks!$P$201,"")&amp;IF(Checks!$AE$201="","",CHAR(10)&amp;"Verifier: "&amp;Checks!$AE$201)&amp;IF(Checks!$T$201="","",CHAR(10)&amp;"PIC: "&amp;Checks!$T$201)</f>
        <v/>
      </c>
      <c r="H61" s="113" t="str">
        <f aca="false">IF(Checks!$AH$201="","",Checks!$AH$201)</f>
        <v>OPEN</v>
      </c>
    </row>
    <row r="62" customFormat="false" ht="114" hidden="false" customHeight="true" outlineLevel="0" collapsed="false">
      <c r="A62" s="112" t="str">
        <f aca="false">Checks!$A$202&amp;CHAR(10)&amp;IF(Checks!$I$202="","",Checks!$I$202&amp;": ")&amp;Checks!$J$202</f>
        <v>F06-UPL-06
F&amp;B Linen: Towel - on board</v>
      </c>
      <c r="B62" s="112" t="str">
        <f aca="false">Checks!$K$202&amp;IF(Checks!$O$202="","",IF(Checks!$K$202="","",CHAR(10))&amp;"Note: "&amp;Checks!$O$202)</f>
        <v>Available (ticked in reference)</v>
      </c>
      <c r="C62" s="112" t="str">
        <f aca="false">Checks!$N$202&amp;CHAR(10)&amp;IF(ISNUMBER(Checks!$R$202),TEXT(Checks!$R$202,"DD-MMM-YY HH:MM"),"")&amp;" "&amp;Checks!$P$202</f>
        <v>Required
15-Oct-26 23:20 KUL</v>
      </c>
      <c r="D62" s="112" t="str">
        <f aca="false">IF(Checks!$U$202="","",Checks!$U$202)&amp;IF(Checks!$AB$202="","",CHAR(10)&amp;"CA: "&amp;Checks!$AB$202)</f>
        <v/>
      </c>
      <c r="E62" s="112" t="str">
        <f aca="false">IF(Checks!$V$202="","",Checks!$V$202)&amp;IF(Checks!$AC$202="","",IF(Checks!$V$202="","",CHAR(10))&amp;"N/A just.: "&amp;Checks!$AC$202)&amp;IF(Checks!$W$202="","",CHAR(10)&amp;"Batch: "&amp;Checks!$W$202)&amp;IF(AND(Checks!$X$202="",Checks!$Y$202=""),"",CHAR(10)&amp;"Exp: "&amp;Checks!$X$202&amp;"  /  Act: "&amp;Checks!$Y$202)</f>
        <v/>
      </c>
      <c r="F62" s="112" t="str">
        <f aca="false">IF(Checks!$Z$202="","","Evidence: "&amp;Checks!$Z$202)&amp;IF(Checks!$AA$202="","",IF(Checks!$Z$202="","",CHAR(10))&amp;"CA: "&amp;Checks!$AA$202)</f>
        <v/>
      </c>
      <c r="G62" s="112" t="str">
        <f aca="false">IF(ISNUMBER(Checks!$AD$202),TEXT(Checks!$AD$202,"DD-MMM-YY HH:MM")&amp;" "&amp;Checks!$P$202,"")&amp;IF(Checks!$AE$202="","",CHAR(10)&amp;"Verifier: "&amp;Checks!$AE$202)&amp;IF(Checks!$T$202="","",CHAR(10)&amp;"PIC: "&amp;Checks!$T$202)</f>
        <v/>
      </c>
      <c r="H62" s="113" t="str">
        <f aca="false">IF(Checks!$AH$202="","",Checks!$AH$202)</f>
        <v>OPEN</v>
      </c>
    </row>
    <row r="63" customFormat="false" ht="114" hidden="false" customHeight="true" outlineLevel="0" collapsed="false">
      <c r="A63" s="112" t="str">
        <f aca="false">Checks!$A$203&amp;CHAR(10)&amp;IF(Checks!$I$203="","",Checks!$I$203&amp;": ")&amp;Checks!$J$203</f>
        <v>F06-UPL-07
F&amp;B Linen: Tray cloth - on board</v>
      </c>
      <c r="B63" s="112" t="str">
        <f aca="false">Checks!$K$203&amp;IF(Checks!$O$203="","",IF(Checks!$K$203="","",CHAR(10))&amp;"Note: "&amp;Checks!$O$203)</f>
        <v>Available (ticked in reference)</v>
      </c>
      <c r="C63" s="112" t="str">
        <f aca="false">Checks!$N$203&amp;CHAR(10)&amp;IF(ISNUMBER(Checks!$R$203),TEXT(Checks!$R$203,"DD-MMM-YY HH:MM"),"")&amp;" "&amp;Checks!$P$203</f>
        <v>Required
15-Oct-26 23:20 KUL</v>
      </c>
      <c r="D63" s="112" t="str">
        <f aca="false">IF(Checks!$U$203="","",Checks!$U$203)&amp;IF(Checks!$AB$203="","",CHAR(10)&amp;"CA: "&amp;Checks!$AB$203)</f>
        <v/>
      </c>
      <c r="E63" s="112" t="str">
        <f aca="false">IF(Checks!$V$203="","",Checks!$V$203)&amp;IF(Checks!$AC$203="","",IF(Checks!$V$203="","",CHAR(10))&amp;"N/A just.: "&amp;Checks!$AC$203)&amp;IF(Checks!$W$203="","",CHAR(10)&amp;"Batch: "&amp;Checks!$W$203)&amp;IF(AND(Checks!$X$203="",Checks!$Y$203=""),"",CHAR(10)&amp;"Exp: "&amp;Checks!$X$203&amp;"  /  Act: "&amp;Checks!$Y$203)</f>
        <v/>
      </c>
      <c r="F63" s="112" t="str">
        <f aca="false">IF(Checks!$Z$203="","","Evidence: "&amp;Checks!$Z$203)&amp;IF(Checks!$AA$203="","",IF(Checks!$Z$203="","",CHAR(10))&amp;"CA: "&amp;Checks!$AA$203)</f>
        <v/>
      </c>
      <c r="G63" s="112" t="str">
        <f aca="false">IF(ISNUMBER(Checks!$AD$203),TEXT(Checks!$AD$203,"DD-MMM-YY HH:MM")&amp;" "&amp;Checks!$P$203,"")&amp;IF(Checks!$AE$203="","",CHAR(10)&amp;"Verifier: "&amp;Checks!$AE$203)&amp;IF(Checks!$T$203="","",CHAR(10)&amp;"PIC: "&amp;Checks!$T$203)</f>
        <v/>
      </c>
      <c r="H63" s="113" t="str">
        <f aca="false">IF(Checks!$AH$203="","",Checks!$AH$203)</f>
        <v>OPEN</v>
      </c>
    </row>
    <row r="64" customFormat="false" ht="114" hidden="false" customHeight="true" outlineLevel="0" collapsed="false">
      <c r="A64" s="112" t="str">
        <f aca="false">Checks!$A$204&amp;CHAR(10)&amp;IF(Checks!$I$204="","",Checks!$I$204&amp;": ")&amp;Checks!$J$204</f>
        <v>F06-UPL-08
F&amp;B Linen: Napkin - on board</v>
      </c>
      <c r="B64" s="112" t="str">
        <f aca="false">Checks!$K$204&amp;IF(Checks!$O$204="","",IF(Checks!$K$204="","",CHAR(10))&amp;"Note: "&amp;Checks!$O$204)</f>
        <v>Available (ticked in reference)</v>
      </c>
      <c r="C64" s="112" t="str">
        <f aca="false">Checks!$N$204&amp;CHAR(10)&amp;IF(ISNUMBER(Checks!$R$204),TEXT(Checks!$R$204,"DD-MMM-YY HH:MM"),"")&amp;" "&amp;Checks!$P$204</f>
        <v>Required
15-Oct-26 23:20 KUL</v>
      </c>
      <c r="D64" s="112" t="str">
        <f aca="false">IF(Checks!$U$204="","",Checks!$U$204)&amp;IF(Checks!$AB$204="","",CHAR(10)&amp;"CA: "&amp;Checks!$AB$204)</f>
        <v/>
      </c>
      <c r="E64" s="112" t="str">
        <f aca="false">IF(Checks!$V$204="","",Checks!$V$204)&amp;IF(Checks!$AC$204="","",IF(Checks!$V$204="","",CHAR(10))&amp;"N/A just.: "&amp;Checks!$AC$204)&amp;IF(Checks!$W$204="","",CHAR(10)&amp;"Batch: "&amp;Checks!$W$204)&amp;IF(AND(Checks!$X$204="",Checks!$Y$204=""),"",CHAR(10)&amp;"Exp: "&amp;Checks!$X$204&amp;"  /  Act: "&amp;Checks!$Y$204)</f>
        <v/>
      </c>
      <c r="F64" s="112" t="str">
        <f aca="false">IF(Checks!$Z$204="","","Evidence: "&amp;Checks!$Z$204)&amp;IF(Checks!$AA$204="","",IF(Checks!$Z$204="","",CHAR(10))&amp;"CA: "&amp;Checks!$AA$204)</f>
        <v/>
      </c>
      <c r="G64" s="112" t="str">
        <f aca="false">IF(ISNUMBER(Checks!$AD$204),TEXT(Checks!$AD$204,"DD-MMM-YY HH:MM")&amp;" "&amp;Checks!$P$204,"")&amp;IF(Checks!$AE$204="","",CHAR(10)&amp;"Verifier: "&amp;Checks!$AE$204)&amp;IF(Checks!$T$204="","",CHAR(10)&amp;"PIC: "&amp;Checks!$T$204)</f>
        <v/>
      </c>
      <c r="H64" s="113" t="str">
        <f aca="false">IF(Checks!$AH$204="","",Checks!$AH$204)</f>
        <v>OPEN</v>
      </c>
    </row>
    <row r="65" customFormat="false" ht="114" hidden="false" customHeight="true" outlineLevel="0" collapsed="false">
      <c r="A65" s="112" t="str">
        <f aca="false">Checks!$A$205&amp;CHAR(10)&amp;IF(Checks!$I$205="","",Checks!$I$205&amp;": ")&amp;Checks!$J$205</f>
        <v>F06-UPL-09
F&amp;B Linen: Table cloth - on board</v>
      </c>
      <c r="B65" s="112" t="str">
        <f aca="false">Checks!$K$205&amp;IF(Checks!$O$205="","",IF(Checks!$K$205="","",CHAR(10))&amp;"Note: "&amp;Checks!$O$205)</f>
        <v>Available (ticked in reference)</v>
      </c>
      <c r="C65" s="112" t="str">
        <f aca="false">Checks!$N$205&amp;CHAR(10)&amp;IF(ISNUMBER(Checks!$R$205),TEXT(Checks!$R$205,"DD-MMM-YY HH:MM"),"")&amp;" "&amp;Checks!$P$205</f>
        <v>Required
15-Oct-26 23:20 KUL</v>
      </c>
      <c r="D65" s="112" t="str">
        <f aca="false">IF(Checks!$U$205="","",Checks!$U$205)&amp;IF(Checks!$AB$205="","",CHAR(10)&amp;"CA: "&amp;Checks!$AB$205)</f>
        <v/>
      </c>
      <c r="E65" s="112" t="str">
        <f aca="false">IF(Checks!$V$205="","",Checks!$V$205)&amp;IF(Checks!$AC$205="","",IF(Checks!$V$205="","",CHAR(10))&amp;"N/A just.: "&amp;Checks!$AC$205)&amp;IF(Checks!$W$205="","",CHAR(10)&amp;"Batch: "&amp;Checks!$W$205)&amp;IF(AND(Checks!$X$205="",Checks!$Y$205=""),"",CHAR(10)&amp;"Exp: "&amp;Checks!$X$205&amp;"  /  Act: "&amp;Checks!$Y$205)</f>
        <v/>
      </c>
      <c r="F65" s="112" t="str">
        <f aca="false">IF(Checks!$Z$205="","","Evidence: "&amp;Checks!$Z$205)&amp;IF(Checks!$AA$205="","",IF(Checks!$Z$205="","",CHAR(10))&amp;"CA: "&amp;Checks!$AA$205)</f>
        <v/>
      </c>
      <c r="G65" s="112" t="str">
        <f aca="false">IF(ISNUMBER(Checks!$AD$205),TEXT(Checks!$AD$205,"DD-MMM-YY HH:MM")&amp;" "&amp;Checks!$P$205,"")&amp;IF(Checks!$AE$205="","",CHAR(10)&amp;"Verifier: "&amp;Checks!$AE$205)&amp;IF(Checks!$T$205="","",CHAR(10)&amp;"PIC: "&amp;Checks!$T$205)</f>
        <v/>
      </c>
      <c r="H65" s="113" t="str">
        <f aca="false">IF(Checks!$AH$205="","",Checks!$AH$205)</f>
        <v>OPEN</v>
      </c>
    </row>
    <row r="66" customFormat="false" ht="114" hidden="false" customHeight="true" outlineLevel="0" collapsed="false">
      <c r="A66" s="112" t="str">
        <f aca="false">Checks!$A$206&amp;CHAR(10)&amp;IF(Checks!$I$206="","",Checks!$I$206&amp;": ")&amp;Checks!$J$206</f>
        <v>F06-UPL-10
F&amp;B Linen: Bread linen (using table cloth) - on board</v>
      </c>
      <c r="B66" s="112" t="str">
        <f aca="false">Checks!$K$206&amp;IF(Checks!$O$206="","",IF(Checks!$K$206="","",CHAR(10))&amp;"Note: "&amp;Checks!$O$206)</f>
        <v>Available (ticked in reference)</v>
      </c>
      <c r="C66" s="112" t="str">
        <f aca="false">Checks!$N$206&amp;CHAR(10)&amp;IF(ISNUMBER(Checks!$R$206),TEXT(Checks!$R$206,"DD-MMM-YY HH:MM"),"")&amp;" "&amp;Checks!$P$206</f>
        <v>Required
15-Oct-26 23:20 KUL</v>
      </c>
      <c r="D66" s="112" t="str">
        <f aca="false">IF(Checks!$U$206="","",Checks!$U$206)&amp;IF(Checks!$AB$206="","",CHAR(10)&amp;"CA: "&amp;Checks!$AB$206)</f>
        <v/>
      </c>
      <c r="E66" s="112" t="str">
        <f aca="false">IF(Checks!$V$206="","",Checks!$V$206)&amp;IF(Checks!$AC$206="","",IF(Checks!$V$206="","",CHAR(10))&amp;"N/A just.: "&amp;Checks!$AC$206)&amp;IF(Checks!$W$206="","",CHAR(10)&amp;"Batch: "&amp;Checks!$W$206)&amp;IF(AND(Checks!$X$206="",Checks!$Y$206=""),"",CHAR(10)&amp;"Exp: "&amp;Checks!$X$206&amp;"  /  Act: "&amp;Checks!$Y$206)</f>
        <v/>
      </c>
      <c r="F66" s="112" t="str">
        <f aca="false">IF(Checks!$Z$206="","","Evidence: "&amp;Checks!$Z$206)&amp;IF(Checks!$AA$206="","",IF(Checks!$Z$206="","",CHAR(10))&amp;"CA: "&amp;Checks!$AA$206)</f>
        <v/>
      </c>
      <c r="G66" s="112" t="str">
        <f aca="false">IF(ISNUMBER(Checks!$AD$206),TEXT(Checks!$AD$206,"DD-MMM-YY HH:MM")&amp;" "&amp;Checks!$P$206,"")&amp;IF(Checks!$AE$206="","",CHAR(10)&amp;"Verifier: "&amp;Checks!$AE$206)&amp;IF(Checks!$T$206="","",CHAR(10)&amp;"PIC: "&amp;Checks!$T$206)</f>
        <v/>
      </c>
      <c r="H66" s="113" t="str">
        <f aca="false">IF(Checks!$AH$206="","",Checks!$AH$206)</f>
        <v>OPEN</v>
      </c>
    </row>
    <row r="67" customFormat="false" ht="114" hidden="false" customHeight="true" outlineLevel="0" collapsed="false">
      <c r="A67" s="112" t="str">
        <f aca="false">Checks!$A$207&amp;CHAR(10)&amp;IF(Checks!$I$207="","",Checks!$I$207&amp;": ")&amp;Checks!$J$207</f>
        <v>F06-UPL-11
F&amp;B Linen: Trolley cloth - on board</v>
      </c>
      <c r="B67" s="112" t="str">
        <f aca="false">SUBSTITUTE(Checks!$K$207&amp;IF(Checks!$O$207="","",IF(Checks!$K$207="","",CHAR(10))&amp;"Note: "&amp;Checks!$O$207),"F&amp;B LINEN!","Ref: F&amp;B LINEN!")</f>
        <v>Wide body: Top/Middle &amp; Bottom
Note: Per note Ref: F&amp;B LINEN!B79:C80.</v>
      </c>
      <c r="C67" s="112" t="str">
        <f aca="false">Checks!$N$207&amp;CHAR(10)&amp;IF(ISNUMBER(Checks!$R$207),TEXT(Checks!$R$207,"DD-MMM-YY HH:MM"),"")&amp;" "&amp;Checks!$P$207</f>
        <v>Required
15-Oct-26 23:20 KUL</v>
      </c>
      <c r="D67" s="112" t="str">
        <f aca="false">IF(Checks!$U$207="","",Checks!$U$207)&amp;IF(Checks!$AB$207="","",CHAR(10)&amp;"CA: "&amp;Checks!$AB$207)</f>
        <v/>
      </c>
      <c r="E67" s="112" t="str">
        <f aca="false">IF(Checks!$V$207="","",Checks!$V$207)&amp;IF(Checks!$AC$207="","",IF(Checks!$V$207="","",CHAR(10))&amp;"N/A just.: "&amp;Checks!$AC$207)&amp;IF(Checks!$W$207="","",CHAR(10)&amp;"Batch: "&amp;Checks!$W$207)&amp;IF(AND(Checks!$X$207="",Checks!$Y$207=""),"",CHAR(10)&amp;"Exp: "&amp;Checks!$X$207&amp;"  /  Act: "&amp;Checks!$Y$207)</f>
        <v/>
      </c>
      <c r="F67" s="112" t="str">
        <f aca="false">IF(Checks!$Z$207="","","Evidence: "&amp;Checks!$Z$207)&amp;IF(Checks!$AA$207="","",IF(Checks!$Z$207="","",CHAR(10))&amp;"CA: "&amp;Checks!$AA$207)</f>
        <v/>
      </c>
      <c r="G67" s="112" t="str">
        <f aca="false">IF(ISNUMBER(Checks!$AD$207),TEXT(Checks!$AD$207,"DD-MMM-YY HH:MM")&amp;" "&amp;Checks!$P$207,"")&amp;IF(Checks!$AE$207="","",CHAR(10)&amp;"Verifier: "&amp;Checks!$AE$207)&amp;IF(Checks!$T$207="","",CHAR(10)&amp;"PIC: "&amp;Checks!$T$207)</f>
        <v/>
      </c>
      <c r="H67" s="113" t="str">
        <f aca="false">IF(Checks!$AH$207="","",Checks!$AH$207)</f>
        <v>OPEN</v>
      </c>
    </row>
    <row r="68" customFormat="false" ht="114" hidden="false" customHeight="true" outlineLevel="0" collapsed="false">
      <c r="A68" s="112" t="str">
        <f aca="false">Checks!$A$208&amp;CHAR(10)&amp;IF(Checks!$I$208="","",Checks!$I$208&amp;": ")&amp;Checks!$J$208</f>
        <v>F06-UPL-12
F&amp;B Linen: Linen bag - on board</v>
      </c>
      <c r="B68" s="112" t="str">
        <f aca="false">Checks!$K$208&amp;IF(Checks!$O$208="","",IF(Checks!$K$208="","",CHAR(10))&amp;"Note: "&amp;Checks!$O$208)</f>
        <v>Available (ticked in reference)</v>
      </c>
      <c r="C68" s="112" t="str">
        <f aca="false">Checks!$N$208&amp;CHAR(10)&amp;IF(ISNUMBER(Checks!$R$208),TEXT(Checks!$R$208,"DD-MMM-YY HH:MM"),"")&amp;" "&amp;Checks!$P$208</f>
        <v>Required
15-Oct-26 23:20 KUL</v>
      </c>
      <c r="D68" s="112" t="str">
        <f aca="false">IF(Checks!$U$208="","",Checks!$U$208)&amp;IF(Checks!$AB$208="","",CHAR(10)&amp;"CA: "&amp;Checks!$AB$208)</f>
        <v/>
      </c>
      <c r="E68" s="112" t="str">
        <f aca="false">IF(Checks!$V$208="","",Checks!$V$208)&amp;IF(Checks!$AC$208="","",IF(Checks!$V$208="","",CHAR(10))&amp;"N/A just.: "&amp;Checks!$AC$208)&amp;IF(Checks!$W$208="","",CHAR(10)&amp;"Batch: "&amp;Checks!$W$208)&amp;IF(AND(Checks!$X$208="",Checks!$Y$208=""),"",CHAR(10)&amp;"Exp: "&amp;Checks!$X$208&amp;"  /  Act: "&amp;Checks!$Y$208)</f>
        <v/>
      </c>
      <c r="F68" s="112" t="str">
        <f aca="false">IF(Checks!$Z$208="","","Evidence: "&amp;Checks!$Z$208)&amp;IF(Checks!$AA$208="","",IF(Checks!$Z$208="","",CHAR(10))&amp;"CA: "&amp;Checks!$AA$208)</f>
        <v/>
      </c>
      <c r="G68" s="112" t="str">
        <f aca="false">IF(ISNUMBER(Checks!$AD$208),TEXT(Checks!$AD$208,"DD-MMM-YY HH:MM")&amp;" "&amp;Checks!$P$208,"")&amp;IF(Checks!$AE$208="","",CHAR(10)&amp;"Verifier: "&amp;Checks!$AE$208)&amp;IF(Checks!$T$208="","",CHAR(10)&amp;"PIC: "&amp;Checks!$T$208)</f>
        <v/>
      </c>
      <c r="H68" s="113" t="str">
        <f aca="false">IF(Checks!$AH$208="","",Checks!$AH$208)</f>
        <v>OPEN</v>
      </c>
    </row>
    <row r="69" customFormat="false" ht="114" hidden="false" customHeight="true" outlineLevel="0" collapsed="false">
      <c r="A69" s="112" t="str">
        <f aca="false">Checks!$A$209&amp;CHAR(10)&amp;IF(Checks!$I$209="","",Checks!$I$209&amp;": ")&amp;Checks!$J$209</f>
        <v>F06-UPL-13
Seat Linen: Seat pillow (BS &amp; BC) - on board</v>
      </c>
      <c r="B69" s="112" t="str">
        <f aca="false">Checks!$K$209&amp;IF(Checks!$O$209="","",IF(Checks!$K$209="","",CHAR(10))&amp;"Note: "&amp;Checks!$O$209)</f>
        <v>Available 100% (ticked in reference)</v>
      </c>
      <c r="C69" s="112" t="str">
        <f aca="false">Checks!$N$209&amp;CHAR(10)&amp;IF(ISNUMBER(Checks!$R$209),TEXT(Checks!$R$209,"DD-MMM-YY HH:MM"),"")&amp;" "&amp;Checks!$P$209</f>
        <v>Required
15-Oct-26 23:20 KUL</v>
      </c>
      <c r="D69" s="112" t="str">
        <f aca="false">IF(Checks!$U$209="","",Checks!$U$209)&amp;IF(Checks!$AB$209="","",CHAR(10)&amp;"CA: "&amp;Checks!$AB$209)</f>
        <v/>
      </c>
      <c r="E69" s="112" t="str">
        <f aca="false">IF(Checks!$V$209="","",Checks!$V$209)&amp;IF(Checks!$AC$209="","",IF(Checks!$V$209="","",CHAR(10))&amp;"N/A just.: "&amp;Checks!$AC$209)&amp;IF(Checks!$W$209="","",CHAR(10)&amp;"Batch: "&amp;Checks!$W$209)&amp;IF(AND(Checks!$X$209="",Checks!$Y$209=""),"",CHAR(10)&amp;"Exp: "&amp;Checks!$X$209&amp;"  /  Act: "&amp;Checks!$Y$209)</f>
        <v/>
      </c>
      <c r="F69" s="112" t="str">
        <f aca="false">IF(Checks!$Z$209="","","Evidence: "&amp;Checks!$Z$209)&amp;IF(Checks!$AA$209="","",IF(Checks!$Z$209="","",CHAR(10))&amp;"CA: "&amp;Checks!$AA$209)</f>
        <v/>
      </c>
      <c r="G69" s="112" t="str">
        <f aca="false">IF(ISNUMBER(Checks!$AD$209),TEXT(Checks!$AD$209,"DD-MMM-YY HH:MM")&amp;" "&amp;Checks!$P$209,"")&amp;IF(Checks!$AE$209="","",CHAR(10)&amp;"Verifier: "&amp;Checks!$AE$209)&amp;IF(Checks!$T$209="","",CHAR(10)&amp;"PIC: "&amp;Checks!$T$209)</f>
        <v/>
      </c>
      <c r="H69" s="113" t="str">
        <f aca="false">IF(Checks!$AH$209="","",Checks!$AH$209)</f>
        <v>OPEN</v>
      </c>
    </row>
    <row r="70" customFormat="false" ht="114" hidden="false" customHeight="true" outlineLevel="0" collapsed="false">
      <c r="A70" s="112" t="str">
        <f aca="false">Checks!$A$210&amp;CHAR(10)&amp;IF(Checks!$I$210="","",Checks!$I$210&amp;": ")&amp;Checks!$J$210</f>
        <v>F06-UPL-14
Seat Linen: Duvet (BS &amp; BC) - on board</v>
      </c>
      <c r="B70" s="112" t="str">
        <f aca="false">Checks!$K$210&amp;IF(Checks!$O$210="","",IF(Checks!$K$210="","",CHAR(10))&amp;"Note: "&amp;Checks!$O$210)</f>
        <v>Available 100% (ticked in reference)</v>
      </c>
      <c r="C70" s="112" t="str">
        <f aca="false">Checks!$N$210&amp;CHAR(10)&amp;IF(ISNUMBER(Checks!$R$210),TEXT(Checks!$R$210,"DD-MMM-YY HH:MM"),"")&amp;" "&amp;Checks!$P$210</f>
        <v>Required
15-Oct-26 23:20 KUL</v>
      </c>
      <c r="D70" s="112" t="str">
        <f aca="false">IF(Checks!$U$210="","",Checks!$U$210)&amp;IF(Checks!$AB$210="","",CHAR(10)&amp;"CA: "&amp;Checks!$AB$210)</f>
        <v/>
      </c>
      <c r="E70" s="112" t="str">
        <f aca="false">IF(Checks!$V$210="","",Checks!$V$210)&amp;IF(Checks!$AC$210="","",IF(Checks!$V$210="","",CHAR(10))&amp;"N/A just.: "&amp;Checks!$AC$210)&amp;IF(Checks!$W$210="","",CHAR(10)&amp;"Batch: "&amp;Checks!$W$210)&amp;IF(AND(Checks!$X$210="",Checks!$Y$210=""),"",CHAR(10)&amp;"Exp: "&amp;Checks!$X$210&amp;"  /  Act: "&amp;Checks!$Y$210)</f>
        <v/>
      </c>
      <c r="F70" s="112" t="str">
        <f aca="false">IF(Checks!$Z$210="","","Evidence: "&amp;Checks!$Z$210)&amp;IF(Checks!$AA$210="","",IF(Checks!$Z$210="","",CHAR(10))&amp;"CA: "&amp;Checks!$AA$210)</f>
        <v/>
      </c>
      <c r="G70" s="112" t="str">
        <f aca="false">IF(ISNUMBER(Checks!$AD$210),TEXT(Checks!$AD$210,"DD-MMM-YY HH:MM")&amp;" "&amp;Checks!$P$210,"")&amp;IF(Checks!$AE$210="","",CHAR(10)&amp;"Verifier: "&amp;Checks!$AE$210)&amp;IF(Checks!$T$210="","",CHAR(10)&amp;"PIC: "&amp;Checks!$T$210)</f>
        <v/>
      </c>
      <c r="H70" s="113" t="str">
        <f aca="false">IF(Checks!$AH$210="","",Checks!$AH$210)</f>
        <v>OPEN</v>
      </c>
    </row>
    <row r="71" customFormat="false" ht="114" hidden="false" customHeight="true" outlineLevel="0" collapsed="false">
      <c r="A71" s="112" t="str">
        <f aca="false">Checks!$A$211&amp;CHAR(10)&amp;IF(Checks!$I$211="","",Checks!$I$211&amp;": ")&amp;Checks!$J$211</f>
        <v>F06-UPL-15
Seat Linen: Mattress (BS &amp; BC) - on board</v>
      </c>
      <c r="B71" s="112" t="str">
        <f aca="false">Checks!$K$211&amp;IF(Checks!$O$211="","",IF(Checks!$K$211="","",CHAR(10))&amp;"Note: "&amp;Checks!$O$211)</f>
        <v>Available 100% (ticked in reference)</v>
      </c>
      <c r="C71" s="112" t="str">
        <f aca="false">Checks!$N$211&amp;CHAR(10)&amp;IF(ISNUMBER(Checks!$R$211),TEXT(Checks!$R$211,"DD-MMM-YY HH:MM"),"")&amp;" "&amp;Checks!$P$211</f>
        <v>Required
15-Oct-26 23:20 KUL</v>
      </c>
      <c r="D71" s="112" t="str">
        <f aca="false">IF(Checks!$U$211="","",Checks!$U$211)&amp;IF(Checks!$AB$211="","",CHAR(10)&amp;"CA: "&amp;Checks!$AB$211)</f>
        <v/>
      </c>
      <c r="E71" s="112" t="str">
        <f aca="false">IF(Checks!$V$211="","",Checks!$V$211)&amp;IF(Checks!$AC$211="","",IF(Checks!$V$211="","",CHAR(10))&amp;"N/A just.: "&amp;Checks!$AC$211)&amp;IF(Checks!$W$211="","",CHAR(10)&amp;"Batch: "&amp;Checks!$W$211)&amp;IF(AND(Checks!$X$211="",Checks!$Y$211=""),"",CHAR(10)&amp;"Exp: "&amp;Checks!$X$211&amp;"  /  Act: "&amp;Checks!$Y$211)</f>
        <v/>
      </c>
      <c r="F71" s="112" t="str">
        <f aca="false">IF(Checks!$Z$211="","","Evidence: "&amp;Checks!$Z$211)&amp;IF(Checks!$AA$211="","",IF(Checks!$Z$211="","",CHAR(10))&amp;"CA: "&amp;Checks!$AA$211)</f>
        <v/>
      </c>
      <c r="G71" s="112" t="str">
        <f aca="false">IF(ISNUMBER(Checks!$AD$211),TEXT(Checks!$AD$211,"DD-MMM-YY HH:MM")&amp;" "&amp;Checks!$P$211,"")&amp;IF(Checks!$AE$211="","",CHAR(10)&amp;"Verifier: "&amp;Checks!$AE$211)&amp;IF(Checks!$T$211="","",CHAR(10)&amp;"PIC: "&amp;Checks!$T$211)</f>
        <v/>
      </c>
      <c r="H71" s="113" t="str">
        <f aca="false">IF(Checks!$AH$211="","",Checks!$AH$211)</f>
        <v>OPEN</v>
      </c>
    </row>
    <row r="72" customFormat="false" ht="114" hidden="false" customHeight="true" outlineLevel="0" collapsed="false">
      <c r="A72" s="112" t="str">
        <f aca="false">Checks!$A$212&amp;CHAR(10)&amp;IF(Checks!$I$212="","",Checks!$I$212&amp;": ")&amp;Checks!$J$212</f>
        <v>F06-UPL-16
Signature Drinks: Signature drink &amp; garnish (BC) - on board</v>
      </c>
      <c r="B72" s="112" t="str">
        <f aca="false">Checks!$K$212&amp;IF(Checks!$O$212="","",IF(Checks!$K$212="","",CHAR(10))&amp;"Note: "&amp;Checks!$O$212)</f>
        <v>Available (ticked in reference)
Note: Signature drinks &amp; garnish uplifted from KUL (note D79).</v>
      </c>
      <c r="C72" s="112" t="str">
        <f aca="false">Checks!$N$212&amp;CHAR(10)&amp;IF(ISNUMBER(Checks!$R$212),TEXT(Checks!$R$212,"DD-MMM-YY HH:MM"),"")&amp;" "&amp;Checks!$P$212</f>
        <v>Required
15-Oct-26 23:20 KUL</v>
      </c>
      <c r="D72" s="112" t="str">
        <f aca="false">IF(Checks!$U$212="","",Checks!$U$212)&amp;IF(Checks!$AB$212="","",CHAR(10)&amp;"CA: "&amp;Checks!$AB$212)</f>
        <v/>
      </c>
      <c r="E72" s="112" t="str">
        <f aca="false">IF(Checks!$V$212="","",Checks!$V$212)&amp;IF(Checks!$AC$212="","",IF(Checks!$V$212="","",CHAR(10))&amp;"N/A just.: "&amp;Checks!$AC$212)&amp;IF(Checks!$W$212="","",CHAR(10)&amp;"Batch: "&amp;Checks!$W$212)&amp;IF(AND(Checks!$X$212="",Checks!$Y$212=""),"",CHAR(10)&amp;"Exp: "&amp;Checks!$X$212&amp;"  /  Act: "&amp;Checks!$Y$212)</f>
        <v/>
      </c>
      <c r="F72" s="112" t="str">
        <f aca="false">IF(Checks!$Z$212="","","Evidence: "&amp;Checks!$Z$212)&amp;IF(Checks!$AA$212="","",IF(Checks!$Z$212="","",CHAR(10))&amp;"CA: "&amp;Checks!$AA$212)</f>
        <v/>
      </c>
      <c r="G72" s="112" t="str">
        <f aca="false">IF(ISNUMBER(Checks!$AD$212),TEXT(Checks!$AD$212,"DD-MMM-YY HH:MM")&amp;" "&amp;Checks!$P$212,"")&amp;IF(Checks!$AE$212="","",CHAR(10)&amp;"Verifier: "&amp;Checks!$AE$212)&amp;IF(Checks!$T$212="","",CHAR(10)&amp;"PIC: "&amp;Checks!$T$212)</f>
        <v/>
      </c>
      <c r="H72" s="113" t="str">
        <f aca="false">IF(Checks!$AH$212="","",Checks!$AH$212)</f>
        <v>OPEN</v>
      </c>
    </row>
    <row r="74" customFormat="false" ht="24" hidden="false" customHeight="true" outlineLevel="0" collapsed="false">
      <c r="A74" s="114" t="s">
        <v>1647</v>
      </c>
      <c r="B74" s="114"/>
      <c r="C74" s="114"/>
      <c r="D74" s="114"/>
      <c r="E74" s="114" t="s">
        <v>1648</v>
      </c>
      <c r="F74" s="114"/>
      <c r="G74" s="114"/>
      <c r="H74" s="114"/>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row r="83" customFormat="false" ht="21.75" hidden="false" customHeight="true" outlineLevel="0" collapsed="false">
      <c r="A83" s="115"/>
      <c r="B83" s="115"/>
      <c r="C83" s="115"/>
      <c r="D83" s="115"/>
      <c r="E83" s="115"/>
      <c r="F83" s="115"/>
      <c r="G83" s="115"/>
      <c r="H83" s="115"/>
    </row>
    <row r="84" customFormat="false" ht="21.75" hidden="false" customHeight="true" outlineLevel="0" collapsed="false">
      <c r="A84" s="115"/>
      <c r="B84" s="115"/>
      <c r="C84" s="115"/>
      <c r="D84" s="115"/>
      <c r="E84" s="115"/>
      <c r="F84" s="115"/>
      <c r="G84" s="115"/>
      <c r="H84"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F07  "&amp;Flights!$F$11&amp;"  "&amp;TEXT(Flights!$D$11,"DD-MMM-YY")&amp;" ("&amp;Flights!$E$11&amp;")  "&amp;Flights!$G$11&amp;" → "&amp;Flights!$H$11&amp;"  |  Class "&amp;Flights!$K$11</f>
        <v>SKYTRAX 2026 CATERING READINESS CHECKLIST  |  F07  MH0003  09-Oct-26 (FRI)  LHR → KUL  |  Class BC</v>
      </c>
      <c r="B1" s="90"/>
      <c r="C1" s="90"/>
      <c r="D1" s="90"/>
      <c r="E1" s="90"/>
      <c r="F1" s="90"/>
      <c r="G1" s="90"/>
      <c r="H1" s="90"/>
    </row>
    <row r="2" customFormat="false" ht="12.75" hidden="false" customHeight="true" outlineLevel="0" collapsed="false">
      <c r="A2" s="91" t="s">
        <v>1602</v>
      </c>
      <c r="B2" s="92" t="str">
        <f aca="false">Flights!$F$11&amp;"   "&amp;TEXT(Flights!$D$11,"DD-MMM-YY")&amp;" ("&amp;Flights!$E$11&amp;")"</f>
        <v>MH0003   09-Oct-26 (FRI)</v>
      </c>
      <c r="C2" s="92"/>
      <c r="D2" s="92"/>
      <c r="E2" s="93" t="s">
        <v>1603</v>
      </c>
      <c r="F2" s="94" t="str">
        <f aca="false">Flights!$AT$11</f>
        <v>NOT READY – DOCUMENTS</v>
      </c>
      <c r="G2" s="94"/>
      <c r="H2" s="94"/>
    </row>
    <row r="3" customFormat="false" ht="24" hidden="false" customHeight="true" outlineLevel="0" collapsed="false">
      <c r="A3" s="91" t="s">
        <v>1604</v>
      </c>
      <c r="B3" s="92" t="str">
        <f aca="false">Flights!$G$11&amp;" → "&amp;Flights!$H$11&amp;"   Class "&amp;Flights!$K$11&amp;"   Seat "&amp;Flights!$O$11</f>
        <v>LHR → KUL   Class BC   Seat 2A</v>
      </c>
      <c r="C3" s="92"/>
      <c r="D3" s="92"/>
      <c r="E3" s="93" t="s">
        <v>66</v>
      </c>
      <c r="F3" s="93" t="s">
        <v>1605</v>
      </c>
      <c r="G3" s="93" t="s">
        <v>1606</v>
      </c>
      <c r="H3" s="93"/>
    </row>
    <row r="4" customFormat="false" ht="24" hidden="false" customHeight="true" outlineLevel="0" collapsed="false">
      <c r="A4" s="91" t="s">
        <v>1607</v>
      </c>
      <c r="B4" s="92" t="str">
        <f aca="false">IF(ISNUMBER(Flights!$I$11),TEXT(Flights!$I$11,"DD-MMM-YY HH:MM"),"")&amp;" "&amp;Flights!$G$11&amp;"  →  "&amp;IF(ISNUMBER(Flights!$J$11),TEXT(Flights!$J$11,"DD-MMM-YY HH:MM"),"")&amp;" "&amp;Flights!$H$11</f>
        <v>09-Oct-26 11:00 LHR  →  10-Oct-26 06:45 KUL</v>
      </c>
      <c r="C4" s="92"/>
      <c r="D4" s="92"/>
      <c r="E4" s="91" t="s">
        <v>1608</v>
      </c>
      <c r="F4" s="95" t="str">
        <f aca="false">IF(ISNUMBER(Flights!$AG$11),TEXT(Flights!$AG$11,"DD-MMM-YY HH:MM"),"")&amp;" "&amp;Flights!$V$11</f>
        <v>02-Oct-26 11:00 LHR</v>
      </c>
      <c r="G4" s="96" t="n">
        <f aca="false">Flights!$AJ$11</f>
        <v>0</v>
      </c>
      <c r="H4" s="96"/>
    </row>
    <row r="5" customFormat="false" ht="24" hidden="false" customHeight="true" outlineLevel="0" collapsed="false">
      <c r="A5" s="91" t="s">
        <v>1609</v>
      </c>
      <c r="B5" s="92" t="str">
        <f aca="false">Flights!$L$11&amp;" – "&amp;Flights!$M$11</f>
        <v>A350 – A350-900: A359 (9M-MAB..MAG, row 6) or A350 9M-MAH (row 7) - tail to confirm</v>
      </c>
      <c r="C5" s="92"/>
      <c r="D5" s="92"/>
      <c r="E5" s="91" t="s">
        <v>1610</v>
      </c>
      <c r="F5" s="95" t="str">
        <f aca="false">IF(ISNUMBER(Flights!$AH$11),TEXT(Flights!$AH$11,"DD-MMM-YY HH:MM"),"")&amp;" "&amp;Flights!$V$11</f>
        <v>08-Oct-26 11:00 LHR</v>
      </c>
      <c r="G5" s="96" t="n">
        <f aca="false">Flights!$AK$11</f>
        <v>0</v>
      </c>
      <c r="H5" s="96"/>
    </row>
    <row r="6" customFormat="false" ht="24" hidden="false" customHeight="true" outlineLevel="0" collapsed="false">
      <c r="A6" s="91" t="s">
        <v>1611</v>
      </c>
      <c r="B6" s="92" t="str">
        <f aca="false">IF(TRIM(Flights!$N$11)="","__________________",Flights!$N$11)</f>
        <v>__________________</v>
      </c>
      <c r="C6" s="92"/>
      <c r="D6" s="92"/>
      <c r="E6" s="91" t="s">
        <v>1612</v>
      </c>
      <c r="F6" s="95" t="str">
        <f aca="false">IF(ISNUMBER(Flights!$AI$11),TEXT(Flights!$AI$11,"DD-MMM-YY HH:MM"),"")&amp;" "&amp;Flights!$V$11&amp;IF(Flights!$AI$11=Flights!$AH$11,"  (= T-24H due)","")</f>
        <v>08-Oct-26 23:00 LHR</v>
      </c>
      <c r="G6" s="96" t="n">
        <f aca="false">Flights!$AL$11</f>
        <v>0</v>
      </c>
      <c r="H6" s="96"/>
    </row>
    <row r="7" customFormat="false" ht="24" hidden="false" customHeight="true" outlineLevel="0" collapsed="false">
      <c r="A7" s="91" t="s">
        <v>1613</v>
      </c>
      <c r="B7" s="92" t="str">
        <f aca="false">Flights!$T$11</f>
        <v>2.5 Meal (Meal)</v>
      </c>
      <c r="C7" s="92"/>
      <c r="D7" s="92"/>
      <c r="E7" s="91" t="s">
        <v>1614</v>
      </c>
      <c r="F7" s="95" t="str">
        <f aca="false">"STD "&amp;IF(ISNUMBER(Flights!$I$11),TEXT(Flights!$I$11,"DD-MMM-YY HH:MM"),"")&amp;" "&amp;Flights!$G$11&amp;" (dep stn)"</f>
        <v>STD 09-Oct-26 11:00 LHR (dep stn)</v>
      </c>
      <c r="G7" s="96" t="n">
        <f aca="false">Flights!$AM$11</f>
        <v>0</v>
      </c>
      <c r="H7" s="96"/>
    </row>
    <row r="8" customFormat="false" ht="12.75" hidden="false" customHeight="true" outlineLevel="0" collapsed="false">
      <c r="A8" s="91" t="s">
        <v>148</v>
      </c>
      <c r="B8" s="92" t="str">
        <f aca="false">Flights!$V$11&amp;"   (reference uplift stns: "&amp;Flights!$U$11&amp;")"</f>
        <v>LHR   (reference uplift stns: KUL/LHR)</v>
      </c>
      <c r="C8" s="92"/>
      <c r="D8" s="92"/>
      <c r="E8" s="91" t="s">
        <v>1615</v>
      </c>
      <c r="F8" s="97" t="s">
        <v>1616</v>
      </c>
      <c r="G8" s="96" t="n">
        <f aca="false">Flights!$AN$11</f>
        <v>0</v>
      </c>
      <c r="H8" s="96"/>
    </row>
    <row r="9" customFormat="false" ht="12.75" hidden="false" customHeight="true" outlineLevel="0" collapsed="false">
      <c r="A9" s="91" t="s">
        <v>1617</v>
      </c>
      <c r="B9" s="92" t="str">
        <f aca="false">TRIM(Flights!$P$11&amp;"  "&amp;Flights!$Q$11)</f>
        <v>-</v>
      </c>
      <c r="C9" s="92"/>
      <c r="D9" s="92"/>
      <c r="E9" s="91" t="s">
        <v>1618</v>
      </c>
      <c r="F9" s="98" t="n">
        <f aca="false">Flights!$AP$11</f>
        <v>0</v>
      </c>
      <c r="G9" s="98" t="n">
        <f aca="false">Flights!$AQ$11</f>
        <v>0</v>
      </c>
      <c r="H9" s="98" t="n">
        <f aca="false">Flights!$AU$11</f>
        <v>0</v>
      </c>
    </row>
    <row r="10" customFormat="false" ht="24" hidden="false" customHeight="true" outlineLevel="0" collapsed="false">
      <c r="A10" s="91" t="s">
        <v>1619</v>
      </c>
      <c r="B10" s="92" t="str">
        <f aca="false">IF(TRIM(Flights!$X$11)="","__________________",Flights!$X$11)</f>
        <v>__________________</v>
      </c>
      <c r="C10" s="92"/>
      <c r="D10" s="92"/>
      <c r="E10" s="91" t="s">
        <v>1620</v>
      </c>
      <c r="F10" s="98" t="n">
        <f aca="false">Flights!$AO$11</f>
        <v>48</v>
      </c>
      <c r="G10" s="98" t="n">
        <f aca="false">Flights!$AS$11</f>
        <v>3</v>
      </c>
      <c r="H10" s="98" t="n">
        <f aca="false">Flights!$AR$11</f>
        <v>2</v>
      </c>
    </row>
    <row r="11" customFormat="false" ht="21" hidden="false" customHeight="true" outlineLevel="0" collapsed="false">
      <c r="A11" s="91" t="s">
        <v>1621</v>
      </c>
      <c r="B11" s="92" t="str">
        <f aca="false">IF(TRIM(Flights!$Y$11)="","__________________",Flights!$Y$11)</f>
        <v>__________________</v>
      </c>
      <c r="C11" s="92"/>
      <c r="D11" s="92"/>
      <c r="E11" s="91" t="s">
        <v>1622</v>
      </c>
      <c r="F11" s="98" t="str">
        <f aca="false">Flights!$AV$11&amp;" / "&amp;Flights!$AW$11</f>
        <v>0 / 48</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45.75" hidden="false" customHeight="true" outlineLevel="0" collapsed="false">
      <c r="A13" s="116" t="str">
        <f aca="false">"KUL-SOURCED ITEMS: some items for this flight are uplifted at KUL on an inbound carrying flight (identify it in the clarification check). Their preparation is capped at the KUL loading window."&amp;CHAR(10)&amp;"Prep must be complete by (loading window opens):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 (estimated – enter actual on Flights AX)")</f>
        <v>KUL-SOURCED ITEMS: some items for this flight are uplifted at KUL on an inbound carrying flight (identify it in the clarification check). Their preparation is capped at the KUL loading window.
Prep must be complete by (loading window opens): 08-Oct-26 22:25 KUL   |   Carrying flight KUL departure (loading confirmed by): 09-Oct-26 04:25 KUL (estimated – enter actual on Flights AX)</v>
      </c>
      <c r="B13" s="116"/>
      <c r="C13" s="116"/>
      <c r="D13" s="116"/>
      <c r="E13" s="116"/>
      <c r="F13" s="116"/>
      <c r="G13" s="116"/>
      <c r="H13" s="116"/>
    </row>
    <row r="14" customFormat="false" ht="13.5" hidden="false" customHeight="true" outlineLevel="0" collapsed="false">
      <c r="A14" s="93" t="s">
        <v>1627</v>
      </c>
      <c r="B14" s="93" t="s">
        <v>1628</v>
      </c>
      <c r="C14" s="93" t="s">
        <v>1629</v>
      </c>
      <c r="D14" s="93"/>
      <c r="E14" s="93" t="s">
        <v>1630</v>
      </c>
      <c r="F14" s="93" t="s">
        <v>1631</v>
      </c>
      <c r="G14" s="93"/>
      <c r="H14" s="93"/>
    </row>
    <row r="15" customFormat="false" ht="36" hidden="false" customHeight="true" outlineLevel="0" collapsed="false">
      <c r="A15" s="91" t="s">
        <v>1632</v>
      </c>
      <c r="B15" s="92" t="str">
        <f aca="false">IF(Documents!$F$11="","",Documents!$F$11)</f>
        <v/>
      </c>
      <c r="C15" s="97" t="str">
        <f aca="false">IF(Documents!$G$11="","",Documents!$G$11)&amp;IF(ISNUMBER(Documents!$H$11),"  "&amp;TEXT(Documents!$H$11,"DD-MMM-YY"),"")</f>
        <v/>
      </c>
      <c r="D15" s="97"/>
      <c r="E15" s="105" t="str">
        <f aca="false">IF(Documents!$J$11="OUTSTANDING","OUTSTANDING – attach before T-7D (due "&amp;IF(ISNUMBER(Flights!$AG$11),TEXT(Flights!$AG$11,"DD-MMM-YY HH:MM"),"")&amp;" "&amp;Flights!$V$11&amp;")",IF(Documents!$J$11="","Status not recorded",Documents!$J$11))</f>
        <v>OUTSTANDING – attach before T-7D (due 02-Oct-26 11:00 LHR)</v>
      </c>
      <c r="F15" s="106" t="str">
        <f aca="false">"Staple behind this sheet as page A1."&amp;IF(Documents!$I$11="",""," Location: "&amp;Documents!$I$11)</f>
        <v>Staple behind this sheet as page A1.</v>
      </c>
      <c r="G15" s="106"/>
      <c r="H15" s="106"/>
    </row>
    <row r="16" customFormat="false" ht="36" hidden="false" customHeight="true" outlineLevel="0" collapsed="false">
      <c r="A16" s="91" t="s">
        <v>1633</v>
      </c>
      <c r="B16" s="92" t="str">
        <f aca="false">IF(Documents!$K$11="","",Documents!$K$11)</f>
        <v/>
      </c>
      <c r="C16" s="97" t="str">
        <f aca="false">IF(Documents!$L$11="","",Documents!$L$11)&amp;IF(ISNUMBER(Documents!$M$11),"  "&amp;TEXT(Documents!$M$11,"DD-MMM-YY"),"")</f>
        <v/>
      </c>
      <c r="D16" s="97"/>
      <c r="E16" s="105" t="str">
        <f aca="false">IF(Documents!$O$11="OUTSTANDING","OUTSTANDING – attach before T-7D (due "&amp;IF(ISNUMBER(Flights!$AG$11),TEXT(Flights!$AG$11,"DD-MMM-YY HH:MM"),"")&amp;" "&amp;Flights!$V$11&amp;")",IF(Documents!$O$11="","Status not recorded",Documents!$O$11))</f>
        <v>OUTSTANDING – attach before T-7D (due 02-Oct-26 11:00 LHR)</v>
      </c>
      <c r="F16" s="106" t="str">
        <f aca="false">"Staple behind this sheet as page A2."&amp;IF(Documents!$N$11="",""," Location: "&amp;Documents!$N$11)</f>
        <v>Staple behind this sheet as page A2.</v>
      </c>
      <c r="G16" s="106"/>
      <c r="H16" s="106"/>
    </row>
    <row r="17" customFormat="false" ht="22.5" hidden="false" customHeight="true" outlineLevel="0" collapsed="false">
      <c r="A17" s="91" t="s">
        <v>1634</v>
      </c>
      <c r="B17" s="107" t="str">
        <f aca="false">IF(Documents!$Q$11="","",Documents!$Q$11)</f>
        <v>Not supplied with brief – obtain from caterer / MAGCS.</v>
      </c>
      <c r="C17" s="107"/>
      <c r="D17" s="107"/>
      <c r="E17" s="107"/>
      <c r="F17" s="107"/>
      <c r="G17" s="107"/>
      <c r="H17" s="107"/>
    </row>
    <row r="18" customFormat="false" ht="13.5" hidden="false" customHeight="true" outlineLevel="0" collapsed="false">
      <c r="A18" s="108" t="s">
        <v>1635</v>
      </c>
      <c r="B18" s="108"/>
      <c r="C18" s="108" t="s">
        <v>1636</v>
      </c>
      <c r="D18" s="108"/>
      <c r="E18" s="108"/>
      <c r="F18" s="108" t="s">
        <v>1637</v>
      </c>
      <c r="G18" s="108"/>
      <c r="H18" s="108"/>
    </row>
    <row r="19" customFormat="false" ht="18" hidden="false" customHeight="true" outlineLevel="0" collapsed="false">
      <c r="A19" s="92" t="str">
        <f aca="false">"Name: "&amp;IF(TRIM(Flights!$Y$11)="","__________________",Flights!$Y$11)</f>
        <v>Name: __________________</v>
      </c>
      <c r="B19" s="92"/>
      <c r="C19" s="92" t="str">
        <f aca="false">"Name: __________________"</f>
        <v>Name: __________________</v>
      </c>
      <c r="D19" s="92"/>
      <c r="E19" s="92"/>
      <c r="F19" s="92" t="str">
        <f aca="false">"Name: __________________"&amp;"   Station: "&amp;Flights!$V$11</f>
        <v>Name: __________________   Station: LHR</v>
      </c>
      <c r="G19" s="92"/>
      <c r="H19" s="92"/>
    </row>
    <row r="20" customFormat="false" ht="30" hidden="false" customHeight="true" outlineLevel="0" collapsed="false">
      <c r="A20" s="109" t="s">
        <v>1638</v>
      </c>
      <c r="B20" s="109"/>
      <c r="C20" s="109" t="s">
        <v>1638</v>
      </c>
      <c r="D20" s="109"/>
      <c r="E20" s="109"/>
      <c r="F20" s="109" t="s">
        <v>1638</v>
      </c>
      <c r="G20" s="109"/>
      <c r="H20" s="109"/>
    </row>
    <row r="21" customFormat="false" ht="13.5" hidden="false" customHeight="true" outlineLevel="0" collapsed="false">
      <c r="A21" s="110" t="s">
        <v>1639</v>
      </c>
      <c r="B21" s="110"/>
      <c r="C21" s="110"/>
      <c r="D21" s="110"/>
      <c r="E21" s="110"/>
      <c r="F21" s="110"/>
      <c r="G21" s="110"/>
      <c r="H21" s="110"/>
    </row>
    <row r="22" customFormat="false" ht="24" hidden="false" customHeight="true" outlineLevel="0" collapsed="false">
      <c r="A22" s="93" t="s">
        <v>1640</v>
      </c>
      <c r="B22" s="93" t="s">
        <v>1641</v>
      </c>
      <c r="C22" s="93" t="s">
        <v>1642</v>
      </c>
      <c r="D22" s="93" t="s">
        <v>1643</v>
      </c>
      <c r="E22" s="93" t="s">
        <v>1644</v>
      </c>
      <c r="F22" s="93" t="s">
        <v>1645</v>
      </c>
      <c r="G22" s="93" t="s">
        <v>1646</v>
      </c>
      <c r="H22" s="93" t="s">
        <v>119</v>
      </c>
    </row>
    <row r="23" customFormat="false" ht="25.5" hidden="false" customHeight="true" outlineLevel="0" collapsed="false">
      <c r="A23" s="111"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1"/>
      <c r="C23" s="111"/>
      <c r="D23" s="111"/>
      <c r="E23" s="111"/>
      <c r="F23" s="111"/>
      <c r="G23" s="111"/>
      <c r="H23" s="111"/>
    </row>
    <row r="24" customFormat="false" ht="114" hidden="false" customHeight="true" outlineLevel="0" collapsed="false">
      <c r="A24" s="112" t="str">
        <f aca="false">Checks!$A$213&amp;CHAR(10)&amp;IF(Checks!$I$213="","",Checks!$I$213&amp;": ")&amp;Checks!$J$213</f>
        <v>F07-T7-01
Meal: Meal sensory testing completed for this flight's menu cycle (assessed class)</v>
      </c>
      <c r="B24" s="112" t="str">
        <f aca="false">Checks!$K$213&amp;IF(Checks!$O$213="","",IF(Checks!$K$213="","",CHAR(10))&amp;"Note: "&amp;Checks!$O$213)</f>
        <v>Record panel result / score in Result</v>
      </c>
      <c r="C24" s="112" t="str">
        <f aca="false">Checks!$N$213&amp;CHAR(10)&amp;IF(ISNUMBER(Checks!$R$213),TEXT(Checks!$R$213,"DD-MMM-YY HH:MM"),"")&amp;" "&amp;Checks!$P$213</f>
        <v>Required
02-Oct-26 11:00 LHR</v>
      </c>
      <c r="D24" s="112" t="str">
        <f aca="false">IF(Checks!$U$213="","",Checks!$U$213)&amp;IF(Checks!$AB$213="","",CHAR(10)&amp;"CA: "&amp;Checks!$AB$213)</f>
        <v/>
      </c>
      <c r="E24" s="112" t="str">
        <f aca="false">IF(Checks!$V$213="","",Checks!$V$213)&amp;IF(Checks!$AC$213="","",IF(Checks!$V$213="","",CHAR(10))&amp;"N/A just.: "&amp;Checks!$AC$213)&amp;IF(Checks!$W$213="","",CHAR(10)&amp;"Batch: "&amp;Checks!$W$213)&amp;IF(AND(Checks!$X$213="",Checks!$Y$213=""),"",CHAR(10)&amp;"Exp: "&amp;Checks!$X$213&amp;"  /  Act: "&amp;Checks!$Y$213)</f>
        <v/>
      </c>
      <c r="F24" s="112" t="str">
        <f aca="false">IF(Checks!$Z$213="","","Evidence: "&amp;Checks!$Z$213)&amp;IF(Checks!$AA$213="","",IF(Checks!$Z$213="","",CHAR(10))&amp;"CA: "&amp;Checks!$AA$213)</f>
        <v/>
      </c>
      <c r="G24" s="112" t="str">
        <f aca="false">IF(ISNUMBER(Checks!$AD$213),TEXT(Checks!$AD$213,"DD-MMM-YY HH:MM")&amp;" "&amp;Checks!$P$213,"")&amp;IF(Checks!$AE$213="","",CHAR(10)&amp;"Verifier: "&amp;Checks!$AE$213)&amp;IF(Checks!$T$213="","",CHAR(10)&amp;"PIC: "&amp;Checks!$T$213)</f>
        <v/>
      </c>
      <c r="H24" s="113" t="str">
        <f aca="false">IF(Checks!$AH$213="","",Checks!$AH$213)</f>
        <v>OPEN</v>
      </c>
    </row>
    <row r="25" customFormat="false" ht="114" hidden="false" customHeight="true" outlineLevel="0" collapsed="false">
      <c r="A25" s="112" t="str">
        <f aca="false">Checks!$A$214&amp;CHAR(10)&amp;IF(Checks!$I$214="","",Checks!$I$214&amp;": ")&amp;Checks!$J$214</f>
        <v>F07-T7-02
Menu: Printed menu cards confirmed (content, cycle, language, quantity)</v>
      </c>
      <c r="B25" s="112" t="str">
        <f aca="false">Checks!$K$214&amp;IF(Checks!$O$214="","",IF(Checks!$K$214="","",CHAR(10))&amp;"Note: "&amp;Checks!$O$214)</f>
        <v>Menu card matches approved menu for this flight</v>
      </c>
      <c r="C25" s="112" t="str">
        <f aca="false">Checks!$N$214&amp;CHAR(10)&amp;IF(ISNUMBER(Checks!$R$214),TEXT(Checks!$R$214,"DD-MMM-YY HH:MM"),"")&amp;" "&amp;Checks!$P$214</f>
        <v>Required
02-Oct-26 11:00 LHR</v>
      </c>
      <c r="D25" s="112" t="str">
        <f aca="false">IF(Checks!$U$214="","",Checks!$U$214)&amp;IF(Checks!$AB$214="","",CHAR(10)&amp;"CA: "&amp;Checks!$AB$214)</f>
        <v/>
      </c>
      <c r="E25" s="112" t="str">
        <f aca="false">IF(Checks!$V$214="","",Checks!$V$214)&amp;IF(Checks!$AC$214="","",IF(Checks!$V$214="","",CHAR(10))&amp;"N/A just.: "&amp;Checks!$AC$214)&amp;IF(Checks!$W$214="","",CHAR(10)&amp;"Batch: "&amp;Checks!$W$214)&amp;IF(AND(Checks!$X$214="",Checks!$Y$214=""),"",CHAR(10)&amp;"Exp: "&amp;Checks!$X$214&amp;"  /  Act: "&amp;Checks!$Y$214)</f>
        <v/>
      </c>
      <c r="F25" s="112" t="str">
        <f aca="false">IF(Checks!$Z$214="","","Evidence: "&amp;Checks!$Z$214)&amp;IF(Checks!$AA$214="","",IF(Checks!$Z$214="","",CHAR(10))&amp;"CA: "&amp;Checks!$AA$214)</f>
        <v/>
      </c>
      <c r="G25" s="112" t="str">
        <f aca="false">IF(ISNUMBER(Checks!$AD$214),TEXT(Checks!$AD$214,"DD-MMM-YY HH:MM")&amp;" "&amp;Checks!$P$214,"")&amp;IF(Checks!$AE$214="","",CHAR(10)&amp;"Verifier: "&amp;Checks!$AE$214)&amp;IF(Checks!$T$214="","",CHAR(10)&amp;"PIC: "&amp;Checks!$T$214)</f>
        <v/>
      </c>
      <c r="H25" s="113" t="str">
        <f aca="false">IF(Checks!$AH$214="","",Checks!$AH$214)</f>
        <v>OPEN</v>
      </c>
    </row>
    <row r="26" customFormat="false" ht="114" hidden="false" customHeight="true" outlineLevel="0" collapsed="false">
      <c r="A26" s="112" t="str">
        <f aca="false">Checks!$A$215&amp;CHAR(10)&amp;IF(Checks!$I$215="","",Checks!$I$215&amp;": ")&amp;Checks!$J$215</f>
        <v>F07-T7-03
IFE: Digital menu in IFE confirmed (A339 only)</v>
      </c>
      <c r="B26" s="112" t="str">
        <f aca="false">Checks!$K$215&amp;IF(Checks!$O$215="","",IF(Checks!$K$215="","",CHAR(10))&amp;"Note: "&amp;Checks!$O$215)</f>
        <v>Applies when fleet = A339
Note: Digital IFE menu applies to A339 only (user brief). Applicability follows the Fleet cell on Flights.</v>
      </c>
      <c r="C26" s="112" t="str">
        <f aca="false">Checks!$N$215&amp;CHAR(10)&amp;IF(ISNUMBER(Checks!$R$215),TEXT(Checks!$R$215,"DD-MMM-YY HH:MM"),"")&amp;" "&amp;Checks!$P$215</f>
        <v>N/A – rule
02-Oct-26 11:00 LHR</v>
      </c>
      <c r="D26" s="112" t="str">
        <f aca="false">IF(Checks!$U$215="","",Checks!$U$215)&amp;IF(Checks!$AB$215="","",CHAR(10)&amp;"CA: "&amp;Checks!$AB$215)</f>
        <v/>
      </c>
      <c r="E26" s="112" t="str">
        <f aca="false">IF(Checks!$V$215="","",Checks!$V$215)&amp;IF(Checks!$AC$215="","",IF(Checks!$V$215="","",CHAR(10))&amp;"N/A just.: "&amp;Checks!$AC$215)&amp;IF(Checks!$W$215="","",CHAR(10)&amp;"Batch: "&amp;Checks!$W$215)&amp;IF(AND(Checks!$X$215="",Checks!$Y$215=""),"",CHAR(10)&amp;"Exp: "&amp;Checks!$X$215&amp;"  /  Act: "&amp;Checks!$Y$215)</f>
        <v/>
      </c>
      <c r="F26" s="112" t="str">
        <f aca="false">IF(Checks!$Z$215="","","Evidence: "&amp;Checks!$Z$215)&amp;IF(Checks!$AA$215="","",IF(Checks!$Z$215="","",CHAR(10))&amp;"CA: "&amp;Checks!$AA$215)</f>
        <v/>
      </c>
      <c r="G26" s="112" t="str">
        <f aca="false">IF(ISNUMBER(Checks!$AD$215),TEXT(Checks!$AD$215,"DD-MMM-YY HH:MM")&amp;" "&amp;Checks!$P$215,"")&amp;IF(Checks!$AE$215="","",CHAR(10)&amp;"Verifier: "&amp;Checks!$AE$215)&amp;IF(Checks!$T$215="","",CHAR(10)&amp;"PIC: "&amp;Checks!$T$215)</f>
        <v/>
      </c>
      <c r="H26" s="113" t="str">
        <f aca="false">IF(Checks!$AH$215="","",Checks!$AH$215)</f>
        <v>N/A – RULE</v>
      </c>
    </row>
    <row r="27" customFormat="false" ht="114" hidden="false" customHeight="true" outlineLevel="0" collapsed="false">
      <c r="A27" s="112" t="str">
        <f aca="false">Checks!$A$216&amp;CHAR(10)&amp;IF(Checks!$I$216="","",Checks!$I$216&amp;": ")&amp;Checks!$J$216</f>
        <v>F07-T7-04
Staffing: Experienced catering officer assigned to this flight</v>
      </c>
      <c r="B27" s="112" t="str">
        <f aca="false">Checks!$K$216&amp;IF(Checks!$O$216="","",IF(Checks!$K$216="","",CHAR(10))&amp;"Note: "&amp;Checks!$O$216)</f>
        <v>Record officer name in Result</v>
      </c>
      <c r="C27" s="112" t="str">
        <f aca="false">Checks!$N$216&amp;CHAR(10)&amp;IF(ISNUMBER(Checks!$R$216),TEXT(Checks!$R$216,"DD-MMM-YY HH:MM"),"")&amp;" "&amp;Checks!$P$216</f>
        <v>Required
02-Oct-26 11:00 LHR</v>
      </c>
      <c r="D27" s="112" t="str">
        <f aca="false">IF(Checks!$U$216="","",Checks!$U$216)&amp;IF(Checks!$AB$216="","",CHAR(10)&amp;"CA: "&amp;Checks!$AB$216)</f>
        <v/>
      </c>
      <c r="E27" s="112" t="str">
        <f aca="false">IF(Checks!$V$216="","",Checks!$V$216)&amp;IF(Checks!$AC$216="","",IF(Checks!$V$216="","",CHAR(10))&amp;"N/A just.: "&amp;Checks!$AC$216)&amp;IF(Checks!$W$216="","",CHAR(10)&amp;"Batch: "&amp;Checks!$W$216)&amp;IF(AND(Checks!$X$216="",Checks!$Y$216=""),"",CHAR(10)&amp;"Exp: "&amp;Checks!$X$216&amp;"  /  Act: "&amp;Checks!$Y$216)</f>
        <v/>
      </c>
      <c r="F27" s="112" t="str">
        <f aca="false">IF(Checks!$Z$216="","","Evidence: "&amp;Checks!$Z$216)&amp;IF(Checks!$AA$216="","",IF(Checks!$Z$216="","",CHAR(10))&amp;"CA: "&amp;Checks!$AA$216)</f>
        <v/>
      </c>
      <c r="G27" s="112" t="str">
        <f aca="false">IF(ISNUMBER(Checks!$AD$216),TEXT(Checks!$AD$216,"DD-MMM-YY HH:MM")&amp;" "&amp;Checks!$P$216,"")&amp;IF(Checks!$AE$216="","",CHAR(10)&amp;"Verifier: "&amp;Checks!$AE$216)&amp;IF(Checks!$T$216="","",CHAR(10)&amp;"PIC: "&amp;Checks!$T$216)</f>
        <v/>
      </c>
      <c r="H27" s="113" t="str">
        <f aca="false">IF(Checks!$AH$216="","",Checks!$AH$216)</f>
        <v>OPEN</v>
      </c>
    </row>
    <row r="28" customFormat="false" ht="114" hidden="false" customHeight="true" outlineLevel="0" collapsed="false">
      <c r="A28" s="112" t="str">
        <f aca="false">Checks!$A$217&amp;CHAR(10)&amp;IF(Checks!$I$217="","",Checks!$I$217&amp;": ")&amp;Checks!$J$217</f>
        <v>F07-T7-05
ISOP: All latest applicable ISOP revisions communicated to caterer</v>
      </c>
      <c r="B28" s="112" t="str">
        <f aca="false">Checks!$K$217&amp;IF(Checks!$O$217="","",IF(Checks!$K$217="","",CHAR(10))&amp;"Note: "&amp;Checks!$O$217)</f>
        <v>List revision numbers in Result (see ISOP register)</v>
      </c>
      <c r="C28" s="112" t="str">
        <f aca="false">Checks!$N$217&amp;CHAR(10)&amp;IF(ISNUMBER(Checks!$R$217),TEXT(Checks!$R$217,"DD-MMM-YY HH:MM"),"")&amp;" "&amp;Checks!$P$217</f>
        <v>Required
02-Oct-26 11:00 LHR</v>
      </c>
      <c r="D28" s="112" t="str">
        <f aca="false">IF(Checks!$U$217="","",Checks!$U$217)&amp;IF(Checks!$AB$217="","",CHAR(10)&amp;"CA: "&amp;Checks!$AB$217)</f>
        <v/>
      </c>
      <c r="E28" s="112" t="str">
        <f aca="false">IF(Checks!$V$217="","",Checks!$V$217)&amp;IF(Checks!$AC$217="","",IF(Checks!$V$217="","",CHAR(10))&amp;"N/A just.: "&amp;Checks!$AC$217)&amp;IF(Checks!$W$217="","",CHAR(10)&amp;"Batch: "&amp;Checks!$W$217)&amp;IF(AND(Checks!$X$217="",Checks!$Y$217=""),"",CHAR(10)&amp;"Exp: "&amp;Checks!$X$217&amp;"  /  Act: "&amp;Checks!$Y$217)</f>
        <v/>
      </c>
      <c r="F28" s="112" t="str">
        <f aca="false">IF(Checks!$Z$217="","","Evidence: "&amp;Checks!$Z$217)&amp;IF(Checks!$AA$217="","",IF(Checks!$Z$217="","",CHAR(10))&amp;"CA: "&amp;Checks!$AA$217)</f>
        <v/>
      </c>
      <c r="G28" s="112" t="str">
        <f aca="false">IF(ISNUMBER(Checks!$AD$217),TEXT(Checks!$AD$217,"DD-MMM-YY HH:MM")&amp;" "&amp;Checks!$P$217,"")&amp;IF(Checks!$AE$217="","",CHAR(10)&amp;"Verifier: "&amp;Checks!$AE$217)&amp;IF(Checks!$T$217="","",CHAR(10)&amp;"PIC: "&amp;Checks!$T$217)</f>
        <v/>
      </c>
      <c r="H28" s="113" t="str">
        <f aca="false">IF(Checks!$AH$217="","",Checks!$AH$217)</f>
        <v>OPEN</v>
      </c>
    </row>
    <row r="29" customFormat="false" ht="114" hidden="false" customHeight="true" outlineLevel="0" collapsed="false">
      <c r="A29" s="112" t="str">
        <f aca="false">Checks!$A$218&amp;CHAR(10)&amp;IF(Checks!$I$218="","",Checks!$I$218&amp;": ")&amp;Checks!$J$218</f>
        <v>F07-T7-06
ISOP: Caterer acknowledgement of ISOP revisions recorded</v>
      </c>
      <c r="B29" s="112" t="str">
        <f aca="false">Checks!$K$218&amp;IF(Checks!$O$218="","",IF(Checks!$K$218="","",CHAR(10))&amp;"Note: "&amp;Checks!$O$218)</f>
        <v>Record acknowledgement ref in Evidence</v>
      </c>
      <c r="C29" s="112" t="str">
        <f aca="false">Checks!$N$218&amp;CHAR(10)&amp;IF(ISNUMBER(Checks!$R$218),TEXT(Checks!$R$218,"DD-MMM-YY HH:MM"),"")&amp;" "&amp;Checks!$P$218</f>
        <v>Required
02-Oct-26 11:00 LHR</v>
      </c>
      <c r="D29" s="112" t="str">
        <f aca="false">IF(Checks!$U$218="","",Checks!$U$218)&amp;IF(Checks!$AB$218="","",CHAR(10)&amp;"CA: "&amp;Checks!$AB$218)</f>
        <v/>
      </c>
      <c r="E29" s="112" t="str">
        <f aca="false">IF(Checks!$V$218="","",Checks!$V$218)&amp;IF(Checks!$AC$218="","",IF(Checks!$V$218="","",CHAR(10))&amp;"N/A just.: "&amp;Checks!$AC$218)&amp;IF(Checks!$W$218="","",CHAR(10)&amp;"Batch: "&amp;Checks!$W$218)&amp;IF(AND(Checks!$X$218="",Checks!$Y$218=""),"",CHAR(10)&amp;"Exp: "&amp;Checks!$X$218&amp;"  /  Act: "&amp;Checks!$Y$218)</f>
        <v/>
      </c>
      <c r="F29" s="112" t="str">
        <f aca="false">IF(Checks!$Z$218="","","Evidence: "&amp;Checks!$Z$218)&amp;IF(Checks!$AA$218="","",IF(Checks!$Z$218="","",CHAR(10))&amp;"CA: "&amp;Checks!$AA$218)</f>
        <v/>
      </c>
      <c r="G29" s="112" t="str">
        <f aca="false">IF(ISNUMBER(Checks!$AD$218),TEXT(Checks!$AD$218,"DD-MMM-YY HH:MM")&amp;" "&amp;Checks!$P$218,"")&amp;IF(Checks!$AE$218="","",CHAR(10)&amp;"Verifier: "&amp;Checks!$AE$218)&amp;IF(Checks!$T$218="","",CHAR(10)&amp;"PIC: "&amp;Checks!$T$218)</f>
        <v/>
      </c>
      <c r="H29" s="113" t="str">
        <f aca="false">IF(Checks!$AH$218="","",Checks!$AH$218)</f>
        <v>OPEN</v>
      </c>
    </row>
    <row r="30" customFormat="false" ht="114" hidden="false" customHeight="true" outlineLevel="0" collapsed="false">
      <c r="A30" s="112" t="str">
        <f aca="false">Checks!$A$219&amp;CHAR(10)&amp;IF(Checks!$I$219="","",Checks!$I$219&amp;": ")&amp;Checks!$J$219</f>
        <v>F07-T7-07
Documents: Galley loading diagram (GLD) received, revision recorded &amp; attached</v>
      </c>
      <c r="B30" s="112" t="str">
        <f aca="false">Checks!$K$219&amp;IF(Checks!$O$219="","",IF(Checks!$K$219="","",CHAR(10))&amp;"Note: "&amp;Checks!$O$219)</f>
        <v>Documents sheet row complete</v>
      </c>
      <c r="C30" s="112" t="str">
        <f aca="false">Checks!$N$219&amp;CHAR(10)&amp;IF(ISNUMBER(Checks!$R$219),TEXT(Checks!$R$219,"DD-MMM-YY HH:MM"),"")&amp;" "&amp;Checks!$P$219</f>
        <v>Required
02-Oct-26 11:00 LHR</v>
      </c>
      <c r="D30" s="112" t="str">
        <f aca="false">IF(Checks!$U$219="","",Checks!$U$219)&amp;IF(Checks!$AB$219="","",CHAR(10)&amp;"CA: "&amp;Checks!$AB$219)</f>
        <v/>
      </c>
      <c r="E30" s="112" t="str">
        <f aca="false">IF(Checks!$V$219="","",Checks!$V$219)&amp;IF(Checks!$AC$219="","",IF(Checks!$V$219="","",CHAR(10))&amp;"N/A just.: "&amp;Checks!$AC$219)&amp;IF(Checks!$W$219="","",CHAR(10)&amp;"Batch: "&amp;Checks!$W$219)&amp;IF(AND(Checks!$X$219="",Checks!$Y$219=""),"",CHAR(10)&amp;"Exp: "&amp;Checks!$X$219&amp;"  /  Act: "&amp;Checks!$Y$219)</f>
        <v/>
      </c>
      <c r="F30" s="112" t="str">
        <f aca="false">IF(Checks!$Z$219="","","Evidence: "&amp;Checks!$Z$219)&amp;IF(Checks!$AA$219="","",IF(Checks!$Z$219="","",CHAR(10))&amp;"CA: "&amp;Checks!$AA$219)</f>
        <v/>
      </c>
      <c r="G30" s="112" t="str">
        <f aca="false">IF(ISNUMBER(Checks!$AD$219),TEXT(Checks!$AD$219,"DD-MMM-YY HH:MM")&amp;" "&amp;Checks!$P$219,"")&amp;IF(Checks!$AE$219="","",CHAR(10)&amp;"Verifier: "&amp;Checks!$AE$219)&amp;IF(Checks!$T$219="","",CHAR(10)&amp;"PIC: "&amp;Checks!$T$219)</f>
        <v/>
      </c>
      <c r="H30" s="113" t="str">
        <f aca="false">IF(Checks!$AH$219="","",Checks!$AH$219)</f>
        <v>OPEN</v>
      </c>
    </row>
    <row r="31" customFormat="false" ht="114" hidden="false" customHeight="true" outlineLevel="0" collapsed="false">
      <c r="A31" s="112" t="str">
        <f aca="false">Checks!$A$220&amp;CHAR(10)&amp;IF(Checks!$I$220="","",Checks!$I$220&amp;": ")&amp;Checks!$J$220</f>
        <v>F07-T7-08
Documents: Menu checklist received, revision recorded &amp; attached</v>
      </c>
      <c r="B31" s="112" t="str">
        <f aca="false">Checks!$K$220&amp;IF(Checks!$O$220="","",IF(Checks!$K$220="","",CHAR(10))&amp;"Note: "&amp;Checks!$O$220)</f>
        <v>Documents sheet row complete</v>
      </c>
      <c r="C31" s="112" t="str">
        <f aca="false">Checks!$N$220&amp;CHAR(10)&amp;IF(ISNUMBER(Checks!$R$220),TEXT(Checks!$R$220,"DD-MMM-YY HH:MM"),"")&amp;" "&amp;Checks!$P$220</f>
        <v>Required
02-Oct-26 11:00 LHR</v>
      </c>
      <c r="D31" s="112" t="str">
        <f aca="false">IF(Checks!$U$220="","",Checks!$U$220)&amp;IF(Checks!$AB$220="","",CHAR(10)&amp;"CA: "&amp;Checks!$AB$220)</f>
        <v/>
      </c>
      <c r="E31" s="112" t="str">
        <f aca="false">IF(Checks!$V$220="","",Checks!$V$220)&amp;IF(Checks!$AC$220="","",IF(Checks!$V$220="","",CHAR(10))&amp;"N/A just.: "&amp;Checks!$AC$220)&amp;IF(Checks!$W$220="","",CHAR(10)&amp;"Batch: "&amp;Checks!$W$220)&amp;IF(AND(Checks!$X$220="",Checks!$Y$220=""),"",CHAR(10)&amp;"Exp: "&amp;Checks!$X$220&amp;"  /  Act: "&amp;Checks!$Y$220)</f>
        <v/>
      </c>
      <c r="F31" s="112" t="str">
        <f aca="false">IF(Checks!$Z$220="","","Evidence: "&amp;Checks!$Z$220)&amp;IF(Checks!$AA$220="","",IF(Checks!$Z$220="","",CHAR(10))&amp;"CA: "&amp;Checks!$AA$220)</f>
        <v/>
      </c>
      <c r="G31" s="112" t="str">
        <f aca="false">IF(ISNUMBER(Checks!$AD$220),TEXT(Checks!$AD$220,"DD-MMM-YY HH:MM")&amp;" "&amp;Checks!$P$220,"")&amp;IF(Checks!$AE$220="","",CHAR(10)&amp;"Verifier: "&amp;Checks!$AE$220)&amp;IF(Checks!$T$220="","",CHAR(10)&amp;"PIC: "&amp;Checks!$T$220)</f>
        <v/>
      </c>
      <c r="H31" s="113" t="str">
        <f aca="false">IF(Checks!$AH$220="","",Checks!$AH$220)</f>
        <v>OPEN</v>
      </c>
    </row>
    <row r="32" customFormat="false" ht="114" hidden="false" customHeight="true" outlineLevel="0" collapsed="false">
      <c r="A32" s="112" t="str">
        <f aca="false">Checks!$A$221&amp;CHAR(10)&amp;IF(Checks!$I$221="","",Checks!$I$221&amp;": ")&amp;Checks!$J$221</f>
        <v>F07-T7-09
Uplift plan: Uplift plan confirmed with caterer vs STD Uplift Information</v>
      </c>
      <c r="B32" s="112" t="str">
        <f aca="false">Checks!$K$221&amp;IF(Checks!$O$221="","",IF(Checks!$K$221="","",CHAR(10))&amp;"Note: "&amp;Checks!$O$221)</f>
        <v>Service: 2.5 Meal (Meal); meal uplift stn LHR (ref lists KUL/LHR)</v>
      </c>
      <c r="C32" s="112" t="str">
        <f aca="false">Checks!$N$221&amp;CHAR(10)&amp;IF(ISNUMBER(Checks!$R$221),TEXT(Checks!$R$221,"DD-MMM-YY HH:MM"),"")&amp;" "&amp;Checks!$P$221</f>
        <v>Required
02-Oct-26 11:00 LHR</v>
      </c>
      <c r="D32" s="112" t="str">
        <f aca="false">IF(Checks!$U$221="","",Checks!$U$221)&amp;IF(Checks!$AB$221="","",CHAR(10)&amp;"CA: "&amp;Checks!$AB$221)</f>
        <v/>
      </c>
      <c r="E32" s="112" t="str">
        <f aca="false">IF(Checks!$V$221="","",Checks!$V$221)&amp;IF(Checks!$AC$221="","",IF(Checks!$V$221="","",CHAR(10))&amp;"N/A just.: "&amp;Checks!$AC$221)&amp;IF(Checks!$W$221="","",CHAR(10)&amp;"Batch: "&amp;Checks!$W$221)&amp;IF(AND(Checks!$X$221="",Checks!$Y$221=""),"",CHAR(10)&amp;"Exp: "&amp;Checks!$X$221&amp;"  /  Act: "&amp;Checks!$Y$221)</f>
        <v/>
      </c>
      <c r="F32" s="112" t="str">
        <f aca="false">IF(Checks!$Z$221="","","Evidence: "&amp;Checks!$Z$221)&amp;IF(Checks!$AA$221="","",IF(Checks!$Z$221="","",CHAR(10))&amp;"CA: "&amp;Checks!$AA$221)</f>
        <v/>
      </c>
      <c r="G32" s="112" t="str">
        <f aca="false">IF(ISNUMBER(Checks!$AD$221),TEXT(Checks!$AD$221,"DD-MMM-YY HH:MM")&amp;" "&amp;Checks!$P$221,"")&amp;IF(Checks!$AE$221="","",CHAR(10)&amp;"Verifier: "&amp;Checks!$AE$221)&amp;IF(Checks!$T$221="","",CHAR(10)&amp;"PIC: "&amp;Checks!$T$221)</f>
        <v/>
      </c>
      <c r="H32" s="113" t="str">
        <f aca="false">IF(Checks!$AH$221="","",Checks!$AH$221)</f>
        <v>OPEN</v>
      </c>
    </row>
    <row r="33" customFormat="false" ht="279" hidden="false" customHeight="true" outlineLevel="0" collapsed="false">
      <c r="A33" s="112" t="str">
        <f aca="false">Checks!$A$222&amp;CHAR(10)&amp;IF(Checks!$I$222="","",Checks!$I$222&amp;": ")&amp;Checks!$J$222</f>
        <v>F07-T7-10
Uplift plan: Inbound KUL-LHR flight carrying KUL-sourced items identified and its KUL departure (UTC) entered on Flights col AX</v>
      </c>
      <c r="B33" s="112"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2" t="str">
        <f aca="false">Checks!$N$222&amp;CHAR(10)&amp;IF(ISNUMBER(Checks!$R$222),TEXT(Checks!$R$222,"DD-MMM-YY HH:MM"),"")&amp;" "&amp;Checks!$P$222</f>
        <v>Clarification required
02-Oct-26 18:00 KUL</v>
      </c>
      <c r="D33" s="112" t="str">
        <f aca="false">IF(Checks!$U$222="","",Checks!$U$222)&amp;IF(Checks!$AB$222="","",CHAR(10)&amp;"CA: "&amp;Checks!$AB$222)</f>
        <v/>
      </c>
      <c r="E33" s="112" t="str">
        <f aca="false">IF(Checks!$V$222="","",Checks!$V$222)&amp;IF(Checks!$AC$222="","",IF(Checks!$V$222="","",CHAR(10))&amp;"N/A just.: "&amp;Checks!$AC$222)&amp;IF(Checks!$W$222="","",CHAR(10)&amp;"Batch: "&amp;Checks!$W$222)&amp;IF(AND(Checks!$X$222="",Checks!$Y$222=""),"",CHAR(10)&amp;"Exp: "&amp;Checks!$X$222&amp;"  /  Act: "&amp;Checks!$Y$222)</f>
        <v/>
      </c>
      <c r="F33" s="112" t="str">
        <f aca="false">IF(Checks!$Z$222="","","Evidence: "&amp;Checks!$Z$222)&amp;IF(Checks!$AA$222="","",IF(Checks!$Z$222="","",CHAR(10))&amp;"CA: "&amp;Checks!$AA$222)</f>
        <v/>
      </c>
      <c r="G33" s="112" t="str">
        <f aca="false">IF(ISNUMBER(Checks!$AD$222),TEXT(Checks!$AD$222,"DD-MMM-YY HH:MM")&amp;" "&amp;Checks!$P$222,"")&amp;IF(Checks!$AE$222="","",CHAR(10)&amp;"Verifier: "&amp;Checks!$AE$222)&amp;IF(Checks!$T$222="","",CHAR(10)&amp;"PIC: "&amp;Checks!$T$222)</f>
        <v/>
      </c>
      <c r="H33" s="113" t="str">
        <f aca="false">IF(Checks!$AH$222="","",Checks!$AH$222)</f>
        <v>OPEN – CLARIFICATION</v>
      </c>
    </row>
    <row r="34" customFormat="false" ht="25.5" hidden="false" customHeight="true" outlineLevel="0" collapsed="false">
      <c r="A34" s="111"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1"/>
      <c r="C34" s="111"/>
      <c r="D34" s="111"/>
      <c r="E34" s="111"/>
      <c r="F34" s="111"/>
      <c r="G34" s="111"/>
      <c r="H34" s="111"/>
    </row>
    <row r="35" customFormat="false" ht="114" hidden="false" customHeight="true" outlineLevel="0" collapsed="false">
      <c r="A35" s="112" t="str">
        <f aca="false">Checks!$A$223&amp;CHAR(10)&amp;IF(Checks!$I$223="","",Checks!$I$223&amp;": ")&amp;Checks!$J$223</f>
        <v>F07-T24-01
Meal: Sensory test repeated on ACTUAL production batch for this flight</v>
      </c>
      <c r="B35" s="112" t="str">
        <f aca="false">Checks!$K$223&amp;IF(Checks!$O$223="","",IF(Checks!$K$223="","",CHAR(10))&amp;"Note: "&amp;Checks!$O$223)</f>
        <v>Batch ID, result, CA and acceptance mandatory</v>
      </c>
      <c r="C35" s="112" t="str">
        <f aca="false">Checks!$N$223&amp;CHAR(10)&amp;IF(ISNUMBER(Checks!$R$223),TEXT(Checks!$R$223,"DD-MMM-YY HH:MM"),"")&amp;" "&amp;Checks!$P$223</f>
        <v>Required
08-Oct-26 11:00 LHR</v>
      </c>
      <c r="D35" s="112" t="str">
        <f aca="false">IF(Checks!$U$223="","",Checks!$U$223)&amp;IF(Checks!$AB$223="","",CHAR(10)&amp;"CA: "&amp;Checks!$AB$223)</f>
        <v/>
      </c>
      <c r="E35" s="112" t="str">
        <f aca="false">IF(Checks!$V$223="","",Checks!$V$223)&amp;IF(Checks!$AC$223="","",IF(Checks!$V$223="","",CHAR(10))&amp;"N/A just.: "&amp;Checks!$AC$223)&amp;IF(Checks!$W$223="","",CHAR(10)&amp;"Batch: "&amp;Checks!$W$223)&amp;IF(AND(Checks!$X$223="",Checks!$Y$223=""),"",CHAR(10)&amp;"Exp: "&amp;Checks!$X$223&amp;"  /  Act: "&amp;Checks!$Y$223)</f>
        <v/>
      </c>
      <c r="F35" s="112" t="str">
        <f aca="false">IF(Checks!$Z$223="","","Evidence: "&amp;Checks!$Z$223)&amp;IF(Checks!$AA$223="","",IF(Checks!$Z$223="","",CHAR(10))&amp;"CA: "&amp;Checks!$AA$223)</f>
        <v/>
      </c>
      <c r="G35" s="112" t="str">
        <f aca="false">IF(ISNUMBER(Checks!$AD$223),TEXT(Checks!$AD$223,"DD-MMM-YY HH:MM")&amp;" "&amp;Checks!$P$223,"")&amp;IF(Checks!$AE$223="","",CHAR(10)&amp;"Verifier: "&amp;Checks!$AE$223)&amp;IF(Checks!$T$223="","",CHAR(10)&amp;"PIC: "&amp;Checks!$T$223)</f>
        <v/>
      </c>
      <c r="H35" s="113" t="str">
        <f aca="false">IF(Checks!$AH$223="","",Checks!$AH$223)</f>
        <v>OPEN</v>
      </c>
    </row>
    <row r="36" customFormat="false" ht="25.5" hidden="false" customHeight="true" outlineLevel="0" collapsed="false">
      <c r="A36" s="111"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1"/>
      <c r="C36" s="111"/>
      <c r="D36" s="111"/>
      <c r="E36" s="111"/>
      <c r="F36" s="111"/>
      <c r="G36" s="111"/>
      <c r="H36" s="111"/>
    </row>
    <row r="37" customFormat="false" ht="114" hidden="false" customHeight="true" outlineLevel="0" collapsed="false">
      <c r="A37" s="112" t="str">
        <f aca="false">Checks!$A$224&amp;CHAR(10)&amp;IF(Checks!$I$224="","",Checks!$I$224&amp;": ")&amp;Checks!$J$224</f>
        <v>F07-T12-01
Meal: Meal quality vs menu checklist</v>
      </c>
      <c r="B37" s="112" t="str">
        <f aca="false">Checks!$K$224&amp;IF(Checks!$O$224="","",IF(Checks!$K$224="","",CHAR(10))&amp;"Note: "&amp;Checks!$O$224)</f>
        <v>Note: Preparation check at caterer - does NOT confirm loading.</v>
      </c>
      <c r="C37" s="112" t="str">
        <f aca="false">Checks!$N$224&amp;CHAR(10)&amp;IF(ISNUMBER(Checks!$R$224),TEXT(Checks!$R$224,"DD-MMM-YY HH:MM"),"")&amp;" "&amp;Checks!$P$224</f>
        <v>Required
08-Oct-26 23:00 LHR</v>
      </c>
      <c r="D37" s="112" t="str">
        <f aca="false">IF(Checks!$U$224="","",Checks!$U$224)&amp;IF(Checks!$AB$224="","",CHAR(10)&amp;"CA: "&amp;Checks!$AB$224)</f>
        <v/>
      </c>
      <c r="E37" s="112" t="str">
        <f aca="false">IF(Checks!$V$224="","",Checks!$V$224)&amp;IF(Checks!$AC$224="","",IF(Checks!$V$224="","",CHAR(10))&amp;"N/A just.: "&amp;Checks!$AC$224)&amp;IF(Checks!$W$224="","",CHAR(10)&amp;"Batch: "&amp;Checks!$W$224)&amp;IF(AND(Checks!$X$224="",Checks!$Y$224=""),"",CHAR(10)&amp;"Exp: "&amp;Checks!$X$224&amp;"  /  Act: "&amp;Checks!$Y$224)</f>
        <v/>
      </c>
      <c r="F37" s="112" t="str">
        <f aca="false">IF(Checks!$Z$224="","","Evidence: "&amp;Checks!$Z$224)&amp;IF(Checks!$AA$224="","",IF(Checks!$Z$224="","",CHAR(10))&amp;"CA: "&amp;Checks!$AA$224)</f>
        <v/>
      </c>
      <c r="G37" s="112" t="str">
        <f aca="false">IF(ISNUMBER(Checks!$AD$224),TEXT(Checks!$AD$224,"DD-MMM-YY HH:MM")&amp;" "&amp;Checks!$P$224,"")&amp;IF(Checks!$AE$224="","",CHAR(10)&amp;"Verifier: "&amp;Checks!$AE$224)&amp;IF(Checks!$T$224="","",CHAR(10)&amp;"PIC: "&amp;Checks!$T$224)</f>
        <v/>
      </c>
      <c r="H37" s="113" t="str">
        <f aca="false">IF(Checks!$AH$224="","",Checks!$AH$224)</f>
        <v>OPEN</v>
      </c>
    </row>
    <row r="38" customFormat="false" ht="114" hidden="false" customHeight="true" outlineLevel="0" collapsed="false">
      <c r="A38" s="112" t="str">
        <f aca="false">Checks!$A$225&amp;CHAR(10)&amp;IF(Checks!$I$225="","",Checks!$I$225&amp;": ")&amp;Checks!$J$225</f>
        <v>F07-T12-02
Meal: Meal quantities vs menu checklist</v>
      </c>
      <c r="B38" s="112" t="str">
        <f aca="false">Checks!$K$225&amp;IF(Checks!$O$225="","",IF(Checks!$K$225="","",CHAR(10))&amp;"Note: "&amp;Checks!$O$225)</f>
        <v>Enter expected &amp; actual
Note: Preparation check at caterer - does NOT confirm loading.</v>
      </c>
      <c r="C38" s="112" t="str">
        <f aca="false">Checks!$N$225&amp;CHAR(10)&amp;IF(ISNUMBER(Checks!$R$225),TEXT(Checks!$R$225,"DD-MMM-YY HH:MM"),"")&amp;" "&amp;Checks!$P$225</f>
        <v>Required
08-Oct-26 23:00 LHR</v>
      </c>
      <c r="D38" s="112" t="str">
        <f aca="false">IF(Checks!$U$225="","",Checks!$U$225)&amp;IF(Checks!$AB$225="","",CHAR(10)&amp;"CA: "&amp;Checks!$AB$225)</f>
        <v/>
      </c>
      <c r="E38" s="112" t="str">
        <f aca="false">IF(Checks!$V$225="","",Checks!$V$225)&amp;IF(Checks!$AC$225="","",IF(Checks!$V$225="","",CHAR(10))&amp;"N/A just.: "&amp;Checks!$AC$225)&amp;IF(Checks!$W$225="","",CHAR(10)&amp;"Batch: "&amp;Checks!$W$225)&amp;IF(AND(Checks!$X$225="",Checks!$Y$225=""),"",CHAR(10)&amp;"Exp: "&amp;Checks!$X$225&amp;"  /  Act: "&amp;Checks!$Y$225)</f>
        <v/>
      </c>
      <c r="F38" s="112" t="str">
        <f aca="false">IF(Checks!$Z$225="","","Evidence: "&amp;Checks!$Z$225)&amp;IF(Checks!$AA$225="","",IF(Checks!$Z$225="","",CHAR(10))&amp;"CA: "&amp;Checks!$AA$225)</f>
        <v/>
      </c>
      <c r="G38" s="112" t="str">
        <f aca="false">IF(ISNUMBER(Checks!$AD$225),TEXT(Checks!$AD$225,"DD-MMM-YY HH:MM")&amp;" "&amp;Checks!$P$225,"")&amp;IF(Checks!$AE$225="","",CHAR(10)&amp;"Verifier: "&amp;Checks!$AE$225)&amp;IF(Checks!$T$225="","",CHAR(10)&amp;"PIC: "&amp;Checks!$T$225)</f>
        <v/>
      </c>
      <c r="H38" s="113" t="str">
        <f aca="false">IF(Checks!$AH$225="","",Checks!$AH$225)</f>
        <v>OPEN</v>
      </c>
    </row>
    <row r="39" customFormat="false" ht="114" hidden="false" customHeight="true" outlineLevel="0" collapsed="false">
      <c r="A39" s="112" t="str">
        <f aca="false">Checks!$A$226&amp;CHAR(10)&amp;IF(Checks!$I$226="","",Checks!$I$226&amp;": ")&amp;Checks!$J$226</f>
        <v>F07-T12-03
Equipment: Equipment cleanliness vs GLD</v>
      </c>
      <c r="B39" s="112" t="str">
        <f aca="false">Checks!$K$226&amp;IF(Checks!$O$226="","",IF(Checks!$K$226="","",CHAR(10))&amp;"Note: "&amp;Checks!$O$226)</f>
        <v>Note: Preparation check at caterer - does NOT confirm loading.</v>
      </c>
      <c r="C39" s="112" t="str">
        <f aca="false">Checks!$N$226&amp;CHAR(10)&amp;IF(ISNUMBER(Checks!$R$226),TEXT(Checks!$R$226,"DD-MMM-YY HH:MM"),"")&amp;" "&amp;Checks!$P$226</f>
        <v>Required
08-Oct-26 23:00 LHR</v>
      </c>
      <c r="D39" s="112" t="str">
        <f aca="false">IF(Checks!$U$226="","",Checks!$U$226)&amp;IF(Checks!$AB$226="","",CHAR(10)&amp;"CA: "&amp;Checks!$AB$226)</f>
        <v/>
      </c>
      <c r="E39" s="112" t="str">
        <f aca="false">IF(Checks!$V$226="","",Checks!$V$226)&amp;IF(Checks!$AC$226="","",IF(Checks!$V$226="","",CHAR(10))&amp;"N/A just.: "&amp;Checks!$AC$226)&amp;IF(Checks!$W$226="","",CHAR(10)&amp;"Batch: "&amp;Checks!$W$226)&amp;IF(AND(Checks!$X$226="",Checks!$Y$226=""),"",CHAR(10)&amp;"Exp: "&amp;Checks!$X$226&amp;"  /  Act: "&amp;Checks!$Y$226)</f>
        <v/>
      </c>
      <c r="F39" s="112" t="str">
        <f aca="false">IF(Checks!$Z$226="","","Evidence: "&amp;Checks!$Z$226)&amp;IF(Checks!$AA$226="","",IF(Checks!$Z$226="","",CHAR(10))&amp;"CA: "&amp;Checks!$AA$226)</f>
        <v/>
      </c>
      <c r="G39" s="112" t="str">
        <f aca="false">IF(ISNUMBER(Checks!$AD$226),TEXT(Checks!$AD$226,"DD-MMM-YY HH:MM")&amp;" "&amp;Checks!$P$226,"")&amp;IF(Checks!$AE$226="","",CHAR(10)&amp;"Verifier: "&amp;Checks!$AE$226)&amp;IF(Checks!$T$226="","",CHAR(10)&amp;"PIC: "&amp;Checks!$T$226)</f>
        <v/>
      </c>
      <c r="H39" s="113" t="str">
        <f aca="false">IF(Checks!$AH$226="","",Checks!$AH$226)</f>
        <v>OPEN</v>
      </c>
    </row>
    <row r="40" customFormat="false" ht="114" hidden="false" customHeight="true" outlineLevel="0" collapsed="false">
      <c r="A40" s="112" t="str">
        <f aca="false">Checks!$A$227&amp;CHAR(10)&amp;IF(Checks!$I$227="","",Checks!$I$227&amp;": ")&amp;Checks!$J$227</f>
        <v>F07-T12-04
Equipment: Equipment presentation vs GLD</v>
      </c>
      <c r="B40" s="112" t="str">
        <f aca="false">Checks!$K$227&amp;IF(Checks!$O$227="","",IF(Checks!$K$227="","",CHAR(10))&amp;"Note: "&amp;Checks!$O$227)</f>
        <v>Note: Preparation check at caterer - does NOT confirm loading.</v>
      </c>
      <c r="C40" s="112" t="str">
        <f aca="false">Checks!$N$227&amp;CHAR(10)&amp;IF(ISNUMBER(Checks!$R$227),TEXT(Checks!$R$227,"DD-MMM-YY HH:MM"),"")&amp;" "&amp;Checks!$P$227</f>
        <v>Required
08-Oct-26 23:00 LHR</v>
      </c>
      <c r="D40" s="112" t="str">
        <f aca="false">IF(Checks!$U$227="","",Checks!$U$227)&amp;IF(Checks!$AB$227="","",CHAR(10)&amp;"CA: "&amp;Checks!$AB$227)</f>
        <v/>
      </c>
      <c r="E40" s="112" t="str">
        <f aca="false">IF(Checks!$V$227="","",Checks!$V$227)&amp;IF(Checks!$AC$227="","",IF(Checks!$V$227="","",CHAR(10))&amp;"N/A just.: "&amp;Checks!$AC$227)&amp;IF(Checks!$W$227="","",CHAR(10)&amp;"Batch: "&amp;Checks!$W$227)&amp;IF(AND(Checks!$X$227="",Checks!$Y$227=""),"",CHAR(10)&amp;"Exp: "&amp;Checks!$X$227&amp;"  /  Act: "&amp;Checks!$Y$227)</f>
        <v/>
      </c>
      <c r="F40" s="112" t="str">
        <f aca="false">IF(Checks!$Z$227="","","Evidence: "&amp;Checks!$Z$227)&amp;IF(Checks!$AA$227="","",IF(Checks!$Z$227="","",CHAR(10))&amp;"CA: "&amp;Checks!$AA$227)</f>
        <v/>
      </c>
      <c r="G40" s="112" t="str">
        <f aca="false">IF(ISNUMBER(Checks!$AD$227),TEXT(Checks!$AD$227,"DD-MMM-YY HH:MM")&amp;" "&amp;Checks!$P$227,"")&amp;IF(Checks!$AE$227="","",CHAR(10)&amp;"Verifier: "&amp;Checks!$AE$227)&amp;IF(Checks!$T$227="","",CHAR(10)&amp;"PIC: "&amp;Checks!$T$227)</f>
        <v/>
      </c>
      <c r="H40" s="113" t="str">
        <f aca="false">IF(Checks!$AH$227="","",Checks!$AH$227)</f>
        <v>OPEN</v>
      </c>
    </row>
    <row r="41" customFormat="false" ht="114" hidden="false" customHeight="true" outlineLevel="0" collapsed="false">
      <c r="A41" s="112" t="str">
        <f aca="false">Checks!$A$228&amp;CHAR(10)&amp;IF(Checks!$I$228="","",Checks!$I$228&amp;": ")&amp;Checks!$J$228</f>
        <v>F07-T12-05
Equipment: Equipment serviceability vs GLD</v>
      </c>
      <c r="B41" s="112" t="str">
        <f aca="false">Checks!$K$228&amp;IF(Checks!$O$228="","",IF(Checks!$K$228="","",CHAR(10))&amp;"Note: "&amp;Checks!$O$228)</f>
        <v>Note: Preparation check at caterer - does NOT confirm loading.</v>
      </c>
      <c r="C41" s="112" t="str">
        <f aca="false">Checks!$N$228&amp;CHAR(10)&amp;IF(ISNUMBER(Checks!$R$228),TEXT(Checks!$R$228,"DD-MMM-YY HH:MM"),"")&amp;" "&amp;Checks!$P$228</f>
        <v>Required
08-Oct-26 23:00 LHR</v>
      </c>
      <c r="D41" s="112" t="str">
        <f aca="false">IF(Checks!$U$228="","",Checks!$U$228)&amp;IF(Checks!$AB$228="","",CHAR(10)&amp;"CA: "&amp;Checks!$AB$228)</f>
        <v/>
      </c>
      <c r="E41" s="112" t="str">
        <f aca="false">IF(Checks!$V$228="","",Checks!$V$228)&amp;IF(Checks!$AC$228="","",IF(Checks!$V$228="","",CHAR(10))&amp;"N/A just.: "&amp;Checks!$AC$228)&amp;IF(Checks!$W$228="","",CHAR(10)&amp;"Batch: "&amp;Checks!$W$228)&amp;IF(AND(Checks!$X$228="",Checks!$Y$228=""),"",CHAR(10)&amp;"Exp: "&amp;Checks!$X$228&amp;"  /  Act: "&amp;Checks!$Y$228)</f>
        <v/>
      </c>
      <c r="F41" s="112" t="str">
        <f aca="false">IF(Checks!$Z$228="","","Evidence: "&amp;Checks!$Z$228)&amp;IF(Checks!$AA$228="","",IF(Checks!$Z$228="","",CHAR(10))&amp;"CA: "&amp;Checks!$AA$228)</f>
        <v/>
      </c>
      <c r="G41" s="112" t="str">
        <f aca="false">IF(ISNUMBER(Checks!$AD$228),TEXT(Checks!$AD$228,"DD-MMM-YY HH:MM")&amp;" "&amp;Checks!$P$228,"")&amp;IF(Checks!$AE$228="","",CHAR(10)&amp;"Verifier: "&amp;Checks!$AE$228)&amp;IF(Checks!$T$228="","",CHAR(10)&amp;"PIC: "&amp;Checks!$T$228)</f>
        <v/>
      </c>
      <c r="H41" s="113" t="str">
        <f aca="false">IF(Checks!$AH$228="","",Checks!$AH$228)</f>
        <v>OPEN</v>
      </c>
    </row>
    <row r="42" customFormat="false" ht="322.5" hidden="false" customHeight="true" outlineLevel="0" collapsed="false">
      <c r="A42" s="112" t="str">
        <f aca="false">Checks!$A$229&amp;CHAR(10)&amp;IF(Checks!$I$229="","",Checks!$I$229&amp;": ")&amp;Checks!$J$229</f>
        <v>F07-T12-06
Equipment: Equipment quantities vs GLD</v>
      </c>
      <c r="B42" s="112"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2" t="str">
        <f aca="false">Checks!$N$229&amp;CHAR(10)&amp;IF(ISNUMBER(Checks!$R$229),TEXT(Checks!$R$229,"DD-MMM-YY HH:MM"),"")&amp;" "&amp;Checks!$P$229</f>
        <v>Required
08-Oct-26 23:00 LHR</v>
      </c>
      <c r="D42" s="112" t="str">
        <f aca="false">IF(Checks!$U$229="","",Checks!$U$229)&amp;IF(Checks!$AB$229="","",CHAR(10)&amp;"CA: "&amp;Checks!$AB$229)</f>
        <v/>
      </c>
      <c r="E42" s="112" t="str">
        <f aca="false">IF(Checks!$V$229="","",Checks!$V$229)&amp;IF(Checks!$AC$229="","",IF(Checks!$V$229="","",CHAR(10))&amp;"N/A just.: "&amp;Checks!$AC$229)&amp;IF(Checks!$W$229="","",CHAR(10)&amp;"Batch: "&amp;Checks!$W$229)&amp;IF(AND(Checks!$X$229="",Checks!$Y$229=""),"",CHAR(10)&amp;"Exp: "&amp;Checks!$X$229&amp;"  /  Act: "&amp;Checks!$Y$229)</f>
        <v/>
      </c>
      <c r="F42" s="112" t="str">
        <f aca="false">IF(Checks!$Z$229="","","Evidence: "&amp;Checks!$Z$229)&amp;IF(Checks!$AA$229="","",IF(Checks!$Z$229="","",CHAR(10))&amp;"CA: "&amp;Checks!$AA$229)</f>
        <v/>
      </c>
      <c r="G42" s="112" t="str">
        <f aca="false">IF(ISNUMBER(Checks!$AD$229),TEXT(Checks!$AD$229,"DD-MMM-YY HH:MM")&amp;" "&amp;Checks!$P$229,"")&amp;IF(Checks!$AE$229="","",CHAR(10)&amp;"Verifier: "&amp;Checks!$AE$229)&amp;IF(Checks!$T$229="","",CHAR(10)&amp;"PIC: "&amp;Checks!$T$229)</f>
        <v/>
      </c>
      <c r="H42" s="113" t="str">
        <f aca="false">IF(Checks!$AH$229="","",Checks!$AH$229)</f>
        <v>OPEN</v>
      </c>
    </row>
    <row r="43" customFormat="false" ht="114" hidden="false" customHeight="true" outlineLevel="0" collapsed="false">
      <c r="A43" s="112" t="str">
        <f aca="false">Checks!$A$230&amp;CHAR(10)&amp;IF(Checks!$I$230="","",Checks!$I$230&amp;": ")&amp;Checks!$J$230</f>
        <v>F07-T12-07
Equipment: Loading positions planned vs GLD</v>
      </c>
      <c r="B43" s="112" t="str">
        <f aca="false">Checks!$K$230&amp;IF(Checks!$O$230="","",IF(Checks!$K$230="","",CHAR(10))&amp;"Note: "&amp;Checks!$O$230)</f>
        <v>Note: Preparation check at caterer - does NOT confirm loading.</v>
      </c>
      <c r="C43" s="112" t="str">
        <f aca="false">Checks!$N$230&amp;CHAR(10)&amp;IF(ISNUMBER(Checks!$R$230),TEXT(Checks!$R$230,"DD-MMM-YY HH:MM"),"")&amp;" "&amp;Checks!$P$230</f>
        <v>Required
08-Oct-26 23:00 LHR</v>
      </c>
      <c r="D43" s="112" t="str">
        <f aca="false">IF(Checks!$U$230="","",Checks!$U$230)&amp;IF(Checks!$AB$230="","",CHAR(10)&amp;"CA: "&amp;Checks!$AB$230)</f>
        <v/>
      </c>
      <c r="E43" s="112" t="str">
        <f aca="false">IF(Checks!$V$230="","",Checks!$V$230)&amp;IF(Checks!$AC$230="","",IF(Checks!$V$230="","",CHAR(10))&amp;"N/A just.: "&amp;Checks!$AC$230)&amp;IF(Checks!$W$230="","",CHAR(10)&amp;"Batch: "&amp;Checks!$W$230)&amp;IF(AND(Checks!$X$230="",Checks!$Y$230=""),"",CHAR(10)&amp;"Exp: "&amp;Checks!$X$230&amp;"  /  Act: "&amp;Checks!$Y$230)</f>
        <v/>
      </c>
      <c r="F43" s="112" t="str">
        <f aca="false">IF(Checks!$Z$230="","","Evidence: "&amp;Checks!$Z$230)&amp;IF(Checks!$AA$230="","",IF(Checks!$Z$230="","",CHAR(10))&amp;"CA: "&amp;Checks!$AA$230)</f>
        <v/>
      </c>
      <c r="G43" s="112" t="str">
        <f aca="false">IF(ISNUMBER(Checks!$AD$230),TEXT(Checks!$AD$230,"DD-MMM-YY HH:MM")&amp;" "&amp;Checks!$P$230,"")&amp;IF(Checks!$AE$230="","",CHAR(10)&amp;"Verifier: "&amp;Checks!$AE$230)&amp;IF(Checks!$T$230="","",CHAR(10)&amp;"PIC: "&amp;Checks!$T$230)</f>
        <v/>
      </c>
      <c r="H43" s="113" t="str">
        <f aca="false">IF(Checks!$AH$230="","",Checks!$AH$230)</f>
        <v>OPEN</v>
      </c>
    </row>
    <row r="44" customFormat="false" ht="114" hidden="false" customHeight="true" outlineLevel="0" collapsed="false">
      <c r="A44" s="112" t="str">
        <f aca="false">Checks!$A$231&amp;CHAR(10)&amp;IF(Checks!$I$231="","",Checks!$I$231&amp;": ")&amp;Checks!$J$231</f>
        <v>F07-T12-08
Amenities: Toiletry kits - prepared</v>
      </c>
      <c r="B44" s="112" t="str">
        <f aca="false">Checks!$K$231&amp;IF(Checks!$O$231="","",IF(Checks!$K$231="","",CHAR(10))&amp;"Note: "&amp;Checks!$O$231)</f>
        <v>Available (ticked in reference)</v>
      </c>
      <c r="C44" s="112" t="str">
        <f aca="false">Checks!$N$231&amp;CHAR(10)&amp;IF(ISNUMBER(Checks!$R$231),TEXT(Checks!$R$231,"DD-MMM-YY HH:MM"),"")&amp;" "&amp;Checks!$P$231</f>
        <v>Required
08-Oct-26 23:00 LHR</v>
      </c>
      <c r="D44" s="112" t="str">
        <f aca="false">IF(Checks!$U$231="","",Checks!$U$231)&amp;IF(Checks!$AB$231="","",CHAR(10)&amp;"CA: "&amp;Checks!$AB$231)</f>
        <v/>
      </c>
      <c r="E44" s="112" t="str">
        <f aca="false">IF(Checks!$V$231="","",Checks!$V$231)&amp;IF(Checks!$AC$231="","",IF(Checks!$V$231="","",CHAR(10))&amp;"N/A just.: "&amp;Checks!$AC$231)&amp;IF(Checks!$W$231="","",CHAR(10)&amp;"Batch: "&amp;Checks!$W$231)&amp;IF(AND(Checks!$X$231="",Checks!$Y$231=""),"",CHAR(10)&amp;"Exp: "&amp;Checks!$X$231&amp;"  /  Act: "&amp;Checks!$Y$231)</f>
        <v/>
      </c>
      <c r="F44" s="112" t="str">
        <f aca="false">IF(Checks!$Z$231="","","Evidence: "&amp;Checks!$Z$231)&amp;IF(Checks!$AA$231="","",IF(Checks!$Z$231="","",CHAR(10))&amp;"CA: "&amp;Checks!$AA$231)</f>
        <v/>
      </c>
      <c r="G44" s="112" t="str">
        <f aca="false">IF(ISNUMBER(Checks!$AD$231),TEXT(Checks!$AD$231,"DD-MMM-YY HH:MM")&amp;" "&amp;Checks!$P$231,"")&amp;IF(Checks!$AE$231="","",CHAR(10)&amp;"Verifier: "&amp;Checks!$AE$231)&amp;IF(Checks!$T$231="","",CHAR(10)&amp;"PIC: "&amp;Checks!$T$231)</f>
        <v/>
      </c>
      <c r="H44" s="113" t="str">
        <f aca="false">IF(Checks!$AH$231="","",Checks!$AH$231)</f>
        <v>OPEN</v>
      </c>
    </row>
    <row r="45" customFormat="false" ht="180" hidden="false" customHeight="true" outlineLevel="0" collapsed="false">
      <c r="A45" s="112" t="str">
        <f aca="false">Checks!$A$232&amp;CHAR(10)&amp;IF(Checks!$I$232="","",Checks!$I$232&amp;": ")&amp;Checks!$J$232</f>
        <v>F07-T12-09
Amenities: Pajamas (BC) - prepared</v>
      </c>
      <c r="B45" s="112"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2" t="str">
        <f aca="false">Checks!$N$232&amp;CHAR(10)&amp;IF(ISNUMBER(Checks!$R$232),TEXT(Checks!$R$232,"DD-MMM-YY HH:MM"),"")&amp;" "&amp;Checks!$P$232</f>
        <v>Clarification required
08-Oct-26 22:25 KUL</v>
      </c>
      <c r="D45" s="112" t="str">
        <f aca="false">IF(Checks!$U$232="","",Checks!$U$232)&amp;IF(Checks!$AB$232="","",CHAR(10)&amp;"CA: "&amp;Checks!$AB$232)</f>
        <v/>
      </c>
      <c r="E45" s="112" t="str">
        <f aca="false">IF(Checks!$V$232="","",Checks!$V$232)&amp;IF(Checks!$AC$232="","",IF(Checks!$V$232="","",CHAR(10))&amp;"N/A just.: "&amp;Checks!$AC$232)&amp;IF(Checks!$W$232="","",CHAR(10)&amp;"Batch: "&amp;Checks!$W$232)&amp;IF(AND(Checks!$X$232="",Checks!$Y$232=""),"",CHAR(10)&amp;"Exp: "&amp;Checks!$X$232&amp;"  /  Act: "&amp;Checks!$Y$232)</f>
        <v/>
      </c>
      <c r="F45" s="112" t="str">
        <f aca="false">IF(Checks!$Z$232="","","Evidence: "&amp;Checks!$Z$232)&amp;IF(Checks!$AA$232="","",IF(Checks!$Z$232="","",CHAR(10))&amp;"CA: "&amp;Checks!$AA$232)</f>
        <v/>
      </c>
      <c r="G45" s="112" t="str">
        <f aca="false">IF(ISNUMBER(Checks!$AD$232),TEXT(Checks!$AD$232,"DD-MMM-YY HH:MM")&amp;" "&amp;Checks!$P$232,"")&amp;IF(Checks!$AE$232="","",CHAR(10)&amp;"Verifier: "&amp;Checks!$AE$232)&amp;IF(Checks!$T$232="","",CHAR(10)&amp;"PIC: "&amp;Checks!$T$232)</f>
        <v/>
      </c>
      <c r="H45" s="113" t="str">
        <f aca="false">IF(Checks!$AH$232="","",Checks!$AH$232)</f>
        <v>OPEN – CLARIFICATION</v>
      </c>
    </row>
    <row r="46" customFormat="false" ht="114" hidden="false" customHeight="true" outlineLevel="0" collapsed="false">
      <c r="A46" s="112" t="str">
        <f aca="false">Checks!$A$233&amp;CHAR(10)&amp;IF(Checks!$I$233="","",Checks!$I$233&amp;": ")&amp;Checks!$J$233</f>
        <v>F07-T12-10
Amenities: Slippers (BS/BC) - prepared</v>
      </c>
      <c r="B46" s="112" t="str">
        <f aca="false">Checks!$K$233&amp;IF(Checks!$O$233="","",IF(Checks!$K$233="","",CHAR(10))&amp;"Note: "&amp;Checks!$O$233)</f>
        <v>Available (ticked in reference)
Note: Loaded at KUL on the inbound KUL-LHR flight: due = that flight's KUL departure (Flights AX) minus the uplift window.</v>
      </c>
      <c r="C46" s="112" t="str">
        <f aca="false">Checks!$N$233&amp;CHAR(10)&amp;IF(ISNUMBER(Checks!$R$233),TEXT(Checks!$R$233,"DD-MMM-YY HH:MM"),"")&amp;" "&amp;Checks!$P$233</f>
        <v>Required
08-Oct-26 22:25 KUL</v>
      </c>
      <c r="D46" s="112" t="str">
        <f aca="false">IF(Checks!$U$233="","",Checks!$U$233)&amp;IF(Checks!$AB$233="","",CHAR(10)&amp;"CA: "&amp;Checks!$AB$233)</f>
        <v/>
      </c>
      <c r="E46" s="112" t="str">
        <f aca="false">IF(Checks!$V$233="","",Checks!$V$233)&amp;IF(Checks!$AC$233="","",IF(Checks!$V$233="","",CHAR(10))&amp;"N/A just.: "&amp;Checks!$AC$233)&amp;IF(Checks!$W$233="","",CHAR(10)&amp;"Batch: "&amp;Checks!$W$233)&amp;IF(AND(Checks!$X$233="",Checks!$Y$233=""),"",CHAR(10)&amp;"Exp: "&amp;Checks!$X$233&amp;"  /  Act: "&amp;Checks!$Y$233)</f>
        <v/>
      </c>
      <c r="F46" s="112" t="str">
        <f aca="false">IF(Checks!$Z$233="","","Evidence: "&amp;Checks!$Z$233)&amp;IF(Checks!$AA$233="","",IF(Checks!$Z$233="","",CHAR(10))&amp;"CA: "&amp;Checks!$AA$233)</f>
        <v/>
      </c>
      <c r="G46" s="112" t="str">
        <f aca="false">IF(ISNUMBER(Checks!$AD$233),TEXT(Checks!$AD$233,"DD-MMM-YY HH:MM")&amp;" "&amp;Checks!$P$233,"")&amp;IF(Checks!$AE$233="","",CHAR(10)&amp;"Verifier: "&amp;Checks!$AE$233)&amp;IF(Checks!$T$233="","",CHAR(10)&amp;"PIC: "&amp;Checks!$T$233)</f>
        <v/>
      </c>
      <c r="H46" s="113" t="str">
        <f aca="false">IF(Checks!$AH$233="","",Checks!$AH$233)</f>
        <v>OPEN</v>
      </c>
    </row>
    <row r="47" customFormat="false" ht="114" hidden="false" customHeight="true" outlineLevel="0" collapsed="false">
      <c r="A47" s="112" t="str">
        <f aca="false">Checks!$A$234&amp;CHAR(10)&amp;IF(Checks!$I$234="","",Checks!$I$234&amp;": ")&amp;Checks!$J$234</f>
        <v>F07-T12-11
F&amp;B Linen: Towel - prepared</v>
      </c>
      <c r="B47" s="112" t="str">
        <f aca="false">Checks!$K$234&amp;IF(Checks!$O$234="","",IF(Checks!$K$234="","",CHAR(10))&amp;"Note: "&amp;Checks!$O$234)</f>
        <v>Available (ticked in reference)
Note: Reference gives no uplift stn for this item: preparation checked at the meal uplift stn (LHR) - confirm with caterer.</v>
      </c>
      <c r="C47" s="112" t="str">
        <f aca="false">Checks!$N$234&amp;CHAR(10)&amp;IF(ISNUMBER(Checks!$R$234),TEXT(Checks!$R$234,"DD-MMM-YY HH:MM"),"")&amp;" "&amp;Checks!$P$234</f>
        <v>Required
08-Oct-26 23:00 LHR</v>
      </c>
      <c r="D47" s="112" t="str">
        <f aca="false">IF(Checks!$U$234="","",Checks!$U$234)&amp;IF(Checks!$AB$234="","",CHAR(10)&amp;"CA: "&amp;Checks!$AB$234)</f>
        <v/>
      </c>
      <c r="E47" s="112" t="str">
        <f aca="false">IF(Checks!$V$234="","",Checks!$V$234)&amp;IF(Checks!$AC$234="","",IF(Checks!$V$234="","",CHAR(10))&amp;"N/A just.: "&amp;Checks!$AC$234)&amp;IF(Checks!$W$234="","",CHAR(10)&amp;"Batch: "&amp;Checks!$W$234)&amp;IF(AND(Checks!$X$234="",Checks!$Y$234=""),"",CHAR(10)&amp;"Exp: "&amp;Checks!$X$234&amp;"  /  Act: "&amp;Checks!$Y$234)</f>
        <v/>
      </c>
      <c r="F47" s="112" t="str">
        <f aca="false">IF(Checks!$Z$234="","","Evidence: "&amp;Checks!$Z$234)&amp;IF(Checks!$AA$234="","",IF(Checks!$Z$234="","",CHAR(10))&amp;"CA: "&amp;Checks!$AA$234)</f>
        <v/>
      </c>
      <c r="G47" s="112" t="str">
        <f aca="false">IF(ISNUMBER(Checks!$AD$234),TEXT(Checks!$AD$234,"DD-MMM-YY HH:MM")&amp;" "&amp;Checks!$P$234,"")&amp;IF(Checks!$AE$234="","",CHAR(10)&amp;"Verifier: "&amp;Checks!$AE$234)&amp;IF(Checks!$T$234="","",CHAR(10)&amp;"PIC: "&amp;Checks!$T$234)</f>
        <v/>
      </c>
      <c r="H47" s="113" t="str">
        <f aca="false">IF(Checks!$AH$234="","",Checks!$AH$234)</f>
        <v>OPEN</v>
      </c>
    </row>
    <row r="48" customFormat="false" ht="114" hidden="false" customHeight="true" outlineLevel="0" collapsed="false">
      <c r="A48" s="112" t="str">
        <f aca="false">Checks!$A$235&amp;CHAR(10)&amp;IF(Checks!$I$235="","",Checks!$I$235&amp;": ")&amp;Checks!$J$235</f>
        <v>F07-T12-12
F&amp;B Linen: Tray cloth - prepared</v>
      </c>
      <c r="B48" s="112" t="str">
        <f aca="false">Checks!$K$235&amp;IF(Checks!$O$235="","",IF(Checks!$K$235="","",CHAR(10))&amp;"Note: "&amp;Checks!$O$235)</f>
        <v>Available (ticked in reference)
Note: Reference gives no uplift stn for this item: preparation checked at the meal uplift stn (LHR) - confirm with caterer.</v>
      </c>
      <c r="C48" s="112" t="str">
        <f aca="false">Checks!$N$235&amp;CHAR(10)&amp;IF(ISNUMBER(Checks!$R$235),TEXT(Checks!$R$235,"DD-MMM-YY HH:MM"),"")&amp;" "&amp;Checks!$P$235</f>
        <v>Required
08-Oct-26 23:00 LHR</v>
      </c>
      <c r="D48" s="112" t="str">
        <f aca="false">IF(Checks!$U$235="","",Checks!$U$235)&amp;IF(Checks!$AB$235="","",CHAR(10)&amp;"CA: "&amp;Checks!$AB$235)</f>
        <v/>
      </c>
      <c r="E48" s="112" t="str">
        <f aca="false">IF(Checks!$V$235="","",Checks!$V$235)&amp;IF(Checks!$AC$235="","",IF(Checks!$V$235="","",CHAR(10))&amp;"N/A just.: "&amp;Checks!$AC$235)&amp;IF(Checks!$W$235="","",CHAR(10)&amp;"Batch: "&amp;Checks!$W$235)&amp;IF(AND(Checks!$X$235="",Checks!$Y$235=""),"",CHAR(10)&amp;"Exp: "&amp;Checks!$X$235&amp;"  /  Act: "&amp;Checks!$Y$235)</f>
        <v/>
      </c>
      <c r="F48" s="112" t="str">
        <f aca="false">IF(Checks!$Z$235="","","Evidence: "&amp;Checks!$Z$235)&amp;IF(Checks!$AA$235="","",IF(Checks!$Z$235="","",CHAR(10))&amp;"CA: "&amp;Checks!$AA$235)</f>
        <v/>
      </c>
      <c r="G48" s="112" t="str">
        <f aca="false">IF(ISNUMBER(Checks!$AD$235),TEXT(Checks!$AD$235,"DD-MMM-YY HH:MM")&amp;" "&amp;Checks!$P$235,"")&amp;IF(Checks!$AE$235="","",CHAR(10)&amp;"Verifier: "&amp;Checks!$AE$235)&amp;IF(Checks!$T$235="","",CHAR(10)&amp;"PIC: "&amp;Checks!$T$235)</f>
        <v/>
      </c>
      <c r="H48" s="113" t="str">
        <f aca="false">IF(Checks!$AH$235="","",Checks!$AH$235)</f>
        <v>OPEN</v>
      </c>
    </row>
    <row r="49" customFormat="false" ht="114" hidden="false" customHeight="true" outlineLevel="0" collapsed="false">
      <c r="A49" s="112" t="str">
        <f aca="false">Checks!$A$236&amp;CHAR(10)&amp;IF(Checks!$I$236="","",Checks!$I$236&amp;": ")&amp;Checks!$J$236</f>
        <v>F07-T12-13
F&amp;B Linen: Napkin - prepared</v>
      </c>
      <c r="B49" s="112" t="str">
        <f aca="false">Checks!$K$236&amp;IF(Checks!$O$236="","",IF(Checks!$K$236="","",CHAR(10))&amp;"Note: "&amp;Checks!$O$236)</f>
        <v>Available (ticked in reference)
Note: Reference gives no uplift stn for this item: preparation checked at the meal uplift stn (LHR) - confirm with caterer.</v>
      </c>
      <c r="C49" s="112" t="str">
        <f aca="false">Checks!$N$236&amp;CHAR(10)&amp;IF(ISNUMBER(Checks!$R$236),TEXT(Checks!$R$236,"DD-MMM-YY HH:MM"),"")&amp;" "&amp;Checks!$P$236</f>
        <v>Required
08-Oct-26 23:00 LHR</v>
      </c>
      <c r="D49" s="112" t="str">
        <f aca="false">IF(Checks!$U$236="","",Checks!$U$236)&amp;IF(Checks!$AB$236="","",CHAR(10)&amp;"CA: "&amp;Checks!$AB$236)</f>
        <v/>
      </c>
      <c r="E49" s="112" t="str">
        <f aca="false">IF(Checks!$V$236="","",Checks!$V$236)&amp;IF(Checks!$AC$236="","",IF(Checks!$V$236="","",CHAR(10))&amp;"N/A just.: "&amp;Checks!$AC$236)&amp;IF(Checks!$W$236="","",CHAR(10)&amp;"Batch: "&amp;Checks!$W$236)&amp;IF(AND(Checks!$X$236="",Checks!$Y$236=""),"",CHAR(10)&amp;"Exp: "&amp;Checks!$X$236&amp;"  /  Act: "&amp;Checks!$Y$236)</f>
        <v/>
      </c>
      <c r="F49" s="112" t="str">
        <f aca="false">IF(Checks!$Z$236="","","Evidence: "&amp;Checks!$Z$236)&amp;IF(Checks!$AA$236="","",IF(Checks!$Z$236="","",CHAR(10))&amp;"CA: "&amp;Checks!$AA$236)</f>
        <v/>
      </c>
      <c r="G49" s="112" t="str">
        <f aca="false">IF(ISNUMBER(Checks!$AD$236),TEXT(Checks!$AD$236,"DD-MMM-YY HH:MM")&amp;" "&amp;Checks!$P$236,"")&amp;IF(Checks!$AE$236="","",CHAR(10)&amp;"Verifier: "&amp;Checks!$AE$236)&amp;IF(Checks!$T$236="","",CHAR(10)&amp;"PIC: "&amp;Checks!$T$236)</f>
        <v/>
      </c>
      <c r="H49" s="113" t="str">
        <f aca="false">IF(Checks!$AH$236="","",Checks!$AH$236)</f>
        <v>OPEN</v>
      </c>
    </row>
    <row r="50" customFormat="false" ht="114" hidden="false" customHeight="true" outlineLevel="0" collapsed="false">
      <c r="A50" s="112" t="str">
        <f aca="false">Checks!$A$237&amp;CHAR(10)&amp;IF(Checks!$I$237="","",Checks!$I$237&amp;": ")&amp;Checks!$J$237</f>
        <v>F07-T12-14
F&amp;B Linen: Table cloth - prepared</v>
      </c>
      <c r="B50" s="112" t="str">
        <f aca="false">Checks!$K$237&amp;IF(Checks!$O$237="","",IF(Checks!$K$237="","",CHAR(10))&amp;"Note: "&amp;Checks!$O$237)</f>
        <v>Available (ticked in reference)
Note: Reference gives no uplift stn for this item: preparation checked at the meal uplift stn (LHR) - confirm with caterer.</v>
      </c>
      <c r="C50" s="112" t="str">
        <f aca="false">Checks!$N$237&amp;CHAR(10)&amp;IF(ISNUMBER(Checks!$R$237),TEXT(Checks!$R$237,"DD-MMM-YY HH:MM"),"")&amp;" "&amp;Checks!$P$237</f>
        <v>Required
08-Oct-26 23:00 LHR</v>
      </c>
      <c r="D50" s="112" t="str">
        <f aca="false">IF(Checks!$U$237="","",Checks!$U$237)&amp;IF(Checks!$AB$237="","",CHAR(10)&amp;"CA: "&amp;Checks!$AB$237)</f>
        <v/>
      </c>
      <c r="E50" s="112" t="str">
        <f aca="false">IF(Checks!$V$237="","",Checks!$V$237)&amp;IF(Checks!$AC$237="","",IF(Checks!$V$237="","",CHAR(10))&amp;"N/A just.: "&amp;Checks!$AC$237)&amp;IF(Checks!$W$237="","",CHAR(10)&amp;"Batch: "&amp;Checks!$W$237)&amp;IF(AND(Checks!$X$237="",Checks!$Y$237=""),"",CHAR(10)&amp;"Exp: "&amp;Checks!$X$237&amp;"  /  Act: "&amp;Checks!$Y$237)</f>
        <v/>
      </c>
      <c r="F50" s="112" t="str">
        <f aca="false">IF(Checks!$Z$237="","","Evidence: "&amp;Checks!$Z$237)&amp;IF(Checks!$AA$237="","",IF(Checks!$Z$237="","",CHAR(10))&amp;"CA: "&amp;Checks!$AA$237)</f>
        <v/>
      </c>
      <c r="G50" s="112" t="str">
        <f aca="false">IF(ISNUMBER(Checks!$AD$237),TEXT(Checks!$AD$237,"DD-MMM-YY HH:MM")&amp;" "&amp;Checks!$P$237,"")&amp;IF(Checks!$AE$237="","",CHAR(10)&amp;"Verifier: "&amp;Checks!$AE$237)&amp;IF(Checks!$T$237="","",CHAR(10)&amp;"PIC: "&amp;Checks!$T$237)</f>
        <v/>
      </c>
      <c r="H50" s="113" t="str">
        <f aca="false">IF(Checks!$AH$237="","",Checks!$AH$237)</f>
        <v>OPEN</v>
      </c>
    </row>
    <row r="51" customFormat="false" ht="114" hidden="false" customHeight="true" outlineLevel="0" collapsed="false">
      <c r="A51" s="112" t="str">
        <f aca="false">Checks!$A$238&amp;CHAR(10)&amp;IF(Checks!$I$238="","",Checks!$I$238&amp;": ")&amp;Checks!$J$238</f>
        <v>F07-T12-15
F&amp;B Linen: Bread linen (using table cloth) - prepared</v>
      </c>
      <c r="B51" s="112" t="str">
        <f aca="false">Checks!$K$238&amp;IF(Checks!$O$238="","",IF(Checks!$K$238="","",CHAR(10))&amp;"Note: "&amp;Checks!$O$238)</f>
        <v>Available (ticked in reference)
Note: Reference gives no uplift stn for this item: preparation checked at the meal uplift stn (LHR) - confirm with caterer.</v>
      </c>
      <c r="C51" s="112" t="str">
        <f aca="false">Checks!$N$238&amp;CHAR(10)&amp;IF(ISNUMBER(Checks!$R$238),TEXT(Checks!$R$238,"DD-MMM-YY HH:MM"),"")&amp;" "&amp;Checks!$P$238</f>
        <v>Required
08-Oct-26 23:00 LHR</v>
      </c>
      <c r="D51" s="112" t="str">
        <f aca="false">IF(Checks!$U$238="","",Checks!$U$238)&amp;IF(Checks!$AB$238="","",CHAR(10)&amp;"CA: "&amp;Checks!$AB$238)</f>
        <v/>
      </c>
      <c r="E51" s="112" t="str">
        <f aca="false">IF(Checks!$V$238="","",Checks!$V$238)&amp;IF(Checks!$AC$238="","",IF(Checks!$V$238="","",CHAR(10))&amp;"N/A just.: "&amp;Checks!$AC$238)&amp;IF(Checks!$W$238="","",CHAR(10)&amp;"Batch: "&amp;Checks!$W$238)&amp;IF(AND(Checks!$X$238="",Checks!$Y$238=""),"",CHAR(10)&amp;"Exp: "&amp;Checks!$X$238&amp;"  /  Act: "&amp;Checks!$Y$238)</f>
        <v/>
      </c>
      <c r="F51" s="112" t="str">
        <f aca="false">IF(Checks!$Z$238="","","Evidence: "&amp;Checks!$Z$238)&amp;IF(Checks!$AA$238="","",IF(Checks!$Z$238="","",CHAR(10))&amp;"CA: "&amp;Checks!$AA$238)</f>
        <v/>
      </c>
      <c r="G51" s="112" t="str">
        <f aca="false">IF(ISNUMBER(Checks!$AD$238),TEXT(Checks!$AD$238,"DD-MMM-YY HH:MM")&amp;" "&amp;Checks!$P$238,"")&amp;IF(Checks!$AE$238="","",CHAR(10)&amp;"Verifier: "&amp;Checks!$AE$238)&amp;IF(Checks!$T$238="","",CHAR(10)&amp;"PIC: "&amp;Checks!$T$238)</f>
        <v/>
      </c>
      <c r="H51" s="113" t="str">
        <f aca="false">IF(Checks!$AH$238="","",Checks!$AH$238)</f>
        <v>OPEN</v>
      </c>
    </row>
    <row r="52" customFormat="false" ht="124.5" hidden="false" customHeight="true" outlineLevel="0" collapsed="false">
      <c r="A52" s="112" t="str">
        <f aca="false">Checks!$A$239&amp;CHAR(10)&amp;IF(Checks!$I$239="","",Checks!$I$239&amp;": ")&amp;Checks!$J$239</f>
        <v>F07-T12-16
F&amp;B Linen: Trolley cloth - prepared</v>
      </c>
      <c r="B52" s="112"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2" t="str">
        <f aca="false">Checks!$N$239&amp;CHAR(10)&amp;IF(ISNUMBER(Checks!$R$239),TEXT(Checks!$R$239,"DD-MMM-YY HH:MM"),"")&amp;" "&amp;Checks!$P$239</f>
        <v>Required
08-Oct-26 23:00 LHR</v>
      </c>
      <c r="D52" s="112" t="str">
        <f aca="false">IF(Checks!$U$239="","",Checks!$U$239)&amp;IF(Checks!$AB$239="","",CHAR(10)&amp;"CA: "&amp;Checks!$AB$239)</f>
        <v/>
      </c>
      <c r="E52" s="112" t="str">
        <f aca="false">IF(Checks!$V$239="","",Checks!$V$239)&amp;IF(Checks!$AC$239="","",IF(Checks!$V$239="","",CHAR(10))&amp;"N/A just.: "&amp;Checks!$AC$239)&amp;IF(Checks!$W$239="","",CHAR(10)&amp;"Batch: "&amp;Checks!$W$239)&amp;IF(AND(Checks!$X$239="",Checks!$Y$239=""),"",CHAR(10)&amp;"Exp: "&amp;Checks!$X$239&amp;"  /  Act: "&amp;Checks!$Y$239)</f>
        <v/>
      </c>
      <c r="F52" s="112" t="str">
        <f aca="false">IF(Checks!$Z$239="","","Evidence: "&amp;Checks!$Z$239)&amp;IF(Checks!$AA$239="","",IF(Checks!$Z$239="","",CHAR(10))&amp;"CA: "&amp;Checks!$AA$239)</f>
        <v/>
      </c>
      <c r="G52" s="112" t="str">
        <f aca="false">IF(ISNUMBER(Checks!$AD$239),TEXT(Checks!$AD$239,"DD-MMM-YY HH:MM")&amp;" "&amp;Checks!$P$239,"")&amp;IF(Checks!$AE$239="","",CHAR(10)&amp;"Verifier: "&amp;Checks!$AE$239)&amp;IF(Checks!$T$239="","",CHAR(10)&amp;"PIC: "&amp;Checks!$T$239)</f>
        <v/>
      </c>
      <c r="H52" s="113" t="str">
        <f aca="false">IF(Checks!$AH$239="","",Checks!$AH$239)</f>
        <v>OPEN</v>
      </c>
    </row>
    <row r="53" customFormat="false" ht="114" hidden="false" customHeight="true" outlineLevel="0" collapsed="false">
      <c r="A53" s="112" t="str">
        <f aca="false">Checks!$A$240&amp;CHAR(10)&amp;IF(Checks!$I$240="","",Checks!$I$240&amp;": ")&amp;Checks!$J$240</f>
        <v>F07-T12-17
F&amp;B Linen: Linen bag - prepared</v>
      </c>
      <c r="B53" s="112" t="str">
        <f aca="false">Checks!$K$240&amp;IF(Checks!$O$240="","",IF(Checks!$K$240="","",CHAR(10))&amp;"Note: "&amp;Checks!$O$240)</f>
        <v>Available (ticked in reference)
Note: Reference gives no uplift stn for this item: preparation checked at the meal uplift stn (LHR) - confirm with caterer.</v>
      </c>
      <c r="C53" s="112" t="str">
        <f aca="false">Checks!$N$240&amp;CHAR(10)&amp;IF(ISNUMBER(Checks!$R$240),TEXT(Checks!$R$240,"DD-MMM-YY HH:MM"),"")&amp;" "&amp;Checks!$P$240</f>
        <v>Required
08-Oct-26 23:00 LHR</v>
      </c>
      <c r="D53" s="112" t="str">
        <f aca="false">IF(Checks!$U$240="","",Checks!$U$240)&amp;IF(Checks!$AB$240="","",CHAR(10)&amp;"CA: "&amp;Checks!$AB$240)</f>
        <v/>
      </c>
      <c r="E53" s="112" t="str">
        <f aca="false">IF(Checks!$V$240="","",Checks!$V$240)&amp;IF(Checks!$AC$240="","",IF(Checks!$V$240="","",CHAR(10))&amp;"N/A just.: "&amp;Checks!$AC$240)&amp;IF(Checks!$W$240="","",CHAR(10)&amp;"Batch: "&amp;Checks!$W$240)&amp;IF(AND(Checks!$X$240="",Checks!$Y$240=""),"",CHAR(10)&amp;"Exp: "&amp;Checks!$X$240&amp;"  /  Act: "&amp;Checks!$Y$240)</f>
        <v/>
      </c>
      <c r="F53" s="112" t="str">
        <f aca="false">IF(Checks!$Z$240="","","Evidence: "&amp;Checks!$Z$240)&amp;IF(Checks!$AA$240="","",IF(Checks!$Z$240="","",CHAR(10))&amp;"CA: "&amp;Checks!$AA$240)</f>
        <v/>
      </c>
      <c r="G53" s="112" t="str">
        <f aca="false">IF(ISNUMBER(Checks!$AD$240),TEXT(Checks!$AD$240,"DD-MMM-YY HH:MM")&amp;" "&amp;Checks!$P$240,"")&amp;IF(Checks!$AE$240="","",CHAR(10)&amp;"Verifier: "&amp;Checks!$AE$240)&amp;IF(Checks!$T$240="","",CHAR(10)&amp;"PIC: "&amp;Checks!$T$240)</f>
        <v/>
      </c>
      <c r="H53" s="113" t="str">
        <f aca="false">IF(Checks!$AH$240="","",Checks!$AH$240)</f>
        <v>OPEN</v>
      </c>
    </row>
    <row r="54" customFormat="false" ht="114" hidden="false" customHeight="true" outlineLevel="0" collapsed="false">
      <c r="A54" s="112" t="str">
        <f aca="false">Checks!$A$241&amp;CHAR(10)&amp;IF(Checks!$I$241="","",Checks!$I$241&amp;": ")&amp;Checks!$J$241</f>
        <v>F07-T12-18
Seat Linen: Seat pillow (BS &amp; BC) - prepared</v>
      </c>
      <c r="B54" s="112" t="str">
        <f aca="false">Checks!$K$241&amp;IF(Checks!$O$241="","",IF(Checks!$K$241="","",CHAR(10))&amp;"Note: "&amp;Checks!$O$241)</f>
        <v>Available 100% (ticked in reference)
Note: Reference gives no uplift stn for this item: preparation checked at the meal uplift stn (LHR) - confirm with caterer.</v>
      </c>
      <c r="C54" s="112" t="str">
        <f aca="false">Checks!$N$241&amp;CHAR(10)&amp;IF(ISNUMBER(Checks!$R$241),TEXT(Checks!$R$241,"DD-MMM-YY HH:MM"),"")&amp;" "&amp;Checks!$P$241</f>
        <v>Required
08-Oct-26 23:00 LHR</v>
      </c>
      <c r="D54" s="112" t="str">
        <f aca="false">IF(Checks!$U$241="","",Checks!$U$241)&amp;IF(Checks!$AB$241="","",CHAR(10)&amp;"CA: "&amp;Checks!$AB$241)</f>
        <v/>
      </c>
      <c r="E54" s="112" t="str">
        <f aca="false">IF(Checks!$V$241="","",Checks!$V$241)&amp;IF(Checks!$AC$241="","",IF(Checks!$V$241="","",CHAR(10))&amp;"N/A just.: "&amp;Checks!$AC$241)&amp;IF(Checks!$W$241="","",CHAR(10)&amp;"Batch: "&amp;Checks!$W$241)&amp;IF(AND(Checks!$X$241="",Checks!$Y$241=""),"",CHAR(10)&amp;"Exp: "&amp;Checks!$X$241&amp;"  /  Act: "&amp;Checks!$Y$241)</f>
        <v/>
      </c>
      <c r="F54" s="112" t="str">
        <f aca="false">IF(Checks!$Z$241="","","Evidence: "&amp;Checks!$Z$241)&amp;IF(Checks!$AA$241="","",IF(Checks!$Z$241="","",CHAR(10))&amp;"CA: "&amp;Checks!$AA$241)</f>
        <v/>
      </c>
      <c r="G54" s="112" t="str">
        <f aca="false">IF(ISNUMBER(Checks!$AD$241),TEXT(Checks!$AD$241,"DD-MMM-YY HH:MM")&amp;" "&amp;Checks!$P$241,"")&amp;IF(Checks!$AE$241="","",CHAR(10)&amp;"Verifier: "&amp;Checks!$AE$241)&amp;IF(Checks!$T$241="","",CHAR(10)&amp;"PIC: "&amp;Checks!$T$241)</f>
        <v/>
      </c>
      <c r="H54" s="113" t="str">
        <f aca="false">IF(Checks!$AH$241="","",Checks!$AH$241)</f>
        <v>OPEN</v>
      </c>
    </row>
    <row r="55" customFormat="false" ht="114" hidden="false" customHeight="true" outlineLevel="0" collapsed="false">
      <c r="A55" s="112" t="str">
        <f aca="false">Checks!$A$242&amp;CHAR(10)&amp;IF(Checks!$I$242="","",Checks!$I$242&amp;": ")&amp;Checks!$J$242</f>
        <v>F07-T12-19
Seat Linen: Duvet (BS &amp; BC) - prepared</v>
      </c>
      <c r="B55" s="112" t="str">
        <f aca="false">Checks!$K$242&amp;IF(Checks!$O$242="","",IF(Checks!$K$242="","",CHAR(10))&amp;"Note: "&amp;Checks!$O$242)</f>
        <v>Available 100% (ticked in reference)
Note: Reference gives no uplift stn for this item: preparation checked at the meal uplift stn (LHR) - confirm with caterer.</v>
      </c>
      <c r="C55" s="112" t="str">
        <f aca="false">Checks!$N$242&amp;CHAR(10)&amp;IF(ISNUMBER(Checks!$R$242),TEXT(Checks!$R$242,"DD-MMM-YY HH:MM"),"")&amp;" "&amp;Checks!$P$242</f>
        <v>Required
08-Oct-26 23:00 LHR</v>
      </c>
      <c r="D55" s="112" t="str">
        <f aca="false">IF(Checks!$U$242="","",Checks!$U$242)&amp;IF(Checks!$AB$242="","",CHAR(10)&amp;"CA: "&amp;Checks!$AB$242)</f>
        <v/>
      </c>
      <c r="E55" s="112" t="str">
        <f aca="false">IF(Checks!$V$242="","",Checks!$V$242)&amp;IF(Checks!$AC$242="","",IF(Checks!$V$242="","",CHAR(10))&amp;"N/A just.: "&amp;Checks!$AC$242)&amp;IF(Checks!$W$242="","",CHAR(10)&amp;"Batch: "&amp;Checks!$W$242)&amp;IF(AND(Checks!$X$242="",Checks!$Y$242=""),"",CHAR(10)&amp;"Exp: "&amp;Checks!$X$242&amp;"  /  Act: "&amp;Checks!$Y$242)</f>
        <v/>
      </c>
      <c r="F55" s="112" t="str">
        <f aca="false">IF(Checks!$Z$242="","","Evidence: "&amp;Checks!$Z$242)&amp;IF(Checks!$AA$242="","",IF(Checks!$Z$242="","",CHAR(10))&amp;"CA: "&amp;Checks!$AA$242)</f>
        <v/>
      </c>
      <c r="G55" s="112" t="str">
        <f aca="false">IF(ISNUMBER(Checks!$AD$242),TEXT(Checks!$AD$242,"DD-MMM-YY HH:MM")&amp;" "&amp;Checks!$P$242,"")&amp;IF(Checks!$AE$242="","",CHAR(10)&amp;"Verifier: "&amp;Checks!$AE$242)&amp;IF(Checks!$T$242="","",CHAR(10)&amp;"PIC: "&amp;Checks!$T$242)</f>
        <v/>
      </c>
      <c r="H55" s="113" t="str">
        <f aca="false">IF(Checks!$AH$242="","",Checks!$AH$242)</f>
        <v>OPEN</v>
      </c>
    </row>
    <row r="56" customFormat="false" ht="114" hidden="false" customHeight="true" outlineLevel="0" collapsed="false">
      <c r="A56" s="112" t="str">
        <f aca="false">Checks!$A$243&amp;CHAR(10)&amp;IF(Checks!$I$243="","",Checks!$I$243&amp;": ")&amp;Checks!$J$243</f>
        <v>F07-T12-20
Seat Linen: Mattress (BS &amp; BC) - prepared</v>
      </c>
      <c r="B56" s="112" t="str">
        <f aca="false">Checks!$K$243&amp;IF(Checks!$O$243="","",IF(Checks!$K$243="","",CHAR(10))&amp;"Note: "&amp;Checks!$O$243)</f>
        <v>Available 100% (ticked in reference)
Note: Reference gives no uplift stn for this item: preparation checked at the meal uplift stn (LHR) - confirm with caterer.</v>
      </c>
      <c r="C56" s="112" t="str">
        <f aca="false">Checks!$N$243&amp;CHAR(10)&amp;IF(ISNUMBER(Checks!$R$243),TEXT(Checks!$R$243,"DD-MMM-YY HH:MM"),"")&amp;" "&amp;Checks!$P$243</f>
        <v>Required
08-Oct-26 23:00 LHR</v>
      </c>
      <c r="D56" s="112" t="str">
        <f aca="false">IF(Checks!$U$243="","",Checks!$U$243)&amp;IF(Checks!$AB$243="","",CHAR(10)&amp;"CA: "&amp;Checks!$AB$243)</f>
        <v/>
      </c>
      <c r="E56" s="112" t="str">
        <f aca="false">IF(Checks!$V$243="","",Checks!$V$243)&amp;IF(Checks!$AC$243="","",IF(Checks!$V$243="","",CHAR(10))&amp;"N/A just.: "&amp;Checks!$AC$243)&amp;IF(Checks!$W$243="","",CHAR(10)&amp;"Batch: "&amp;Checks!$W$243)&amp;IF(AND(Checks!$X$243="",Checks!$Y$243=""),"",CHAR(10)&amp;"Exp: "&amp;Checks!$X$243&amp;"  /  Act: "&amp;Checks!$Y$243)</f>
        <v/>
      </c>
      <c r="F56" s="112" t="str">
        <f aca="false">IF(Checks!$Z$243="","","Evidence: "&amp;Checks!$Z$243)&amp;IF(Checks!$AA$243="","",IF(Checks!$Z$243="","",CHAR(10))&amp;"CA: "&amp;Checks!$AA$243)</f>
        <v/>
      </c>
      <c r="G56" s="112" t="str">
        <f aca="false">IF(ISNUMBER(Checks!$AD$243),TEXT(Checks!$AD$243,"DD-MMM-YY HH:MM")&amp;" "&amp;Checks!$P$243,"")&amp;IF(Checks!$AE$243="","",CHAR(10)&amp;"Verifier: "&amp;Checks!$AE$243)&amp;IF(Checks!$T$243="","",CHAR(10)&amp;"PIC: "&amp;Checks!$T$243)</f>
        <v/>
      </c>
      <c r="H56" s="113" t="str">
        <f aca="false">IF(Checks!$AH$243="","",Checks!$AH$243)</f>
        <v>OPEN</v>
      </c>
    </row>
    <row r="57" customFormat="false" ht="147" hidden="false" customHeight="true" outlineLevel="0" collapsed="false">
      <c r="A57" s="112" t="str">
        <f aca="false">Checks!$A$244&amp;CHAR(10)&amp;IF(Checks!$I$244="","",Checks!$I$244&amp;": ")&amp;Checks!$J$244</f>
        <v>F07-T12-21
Signature Drinks: Signature drink &amp; garnish (BC) - prepared</v>
      </c>
      <c r="B57" s="112"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2" t="str">
        <f aca="false">Checks!$N$244&amp;CHAR(10)&amp;IF(ISNUMBER(Checks!$R$244),TEXT(Checks!$R$244,"DD-MMM-YY HH:MM"),"")&amp;" "&amp;Checks!$P$244</f>
        <v>Required
08-Oct-26 22:25 KUL</v>
      </c>
      <c r="D57" s="112" t="str">
        <f aca="false">IF(Checks!$U$244="","",Checks!$U$244)&amp;IF(Checks!$AB$244="","",CHAR(10)&amp;"CA: "&amp;Checks!$AB$244)</f>
        <v/>
      </c>
      <c r="E57" s="112" t="str">
        <f aca="false">IF(Checks!$V$244="","",Checks!$V$244)&amp;IF(Checks!$AC$244="","",IF(Checks!$V$244="","",CHAR(10))&amp;"N/A just.: "&amp;Checks!$AC$244)&amp;IF(Checks!$W$244="","",CHAR(10)&amp;"Batch: "&amp;Checks!$W$244)&amp;IF(AND(Checks!$X$244="",Checks!$Y$244=""),"",CHAR(10)&amp;"Exp: "&amp;Checks!$X$244&amp;"  /  Act: "&amp;Checks!$Y$244)</f>
        <v/>
      </c>
      <c r="F57" s="112" t="str">
        <f aca="false">IF(Checks!$Z$244="","","Evidence: "&amp;Checks!$Z$244)&amp;IF(Checks!$AA$244="","",IF(Checks!$Z$244="","",CHAR(10))&amp;"CA: "&amp;Checks!$AA$244)</f>
        <v/>
      </c>
      <c r="G57" s="112" t="str">
        <f aca="false">IF(ISNUMBER(Checks!$AD$244),TEXT(Checks!$AD$244,"DD-MMM-YY HH:MM")&amp;" "&amp;Checks!$P$244,"")&amp;IF(Checks!$AE$244="","",CHAR(10)&amp;"Verifier: "&amp;Checks!$AE$244)&amp;IF(Checks!$T$244="","",CHAR(10)&amp;"PIC: "&amp;Checks!$T$244)</f>
        <v/>
      </c>
      <c r="H57" s="113" t="str">
        <f aca="false">IF(Checks!$AH$244="","",Checks!$AH$244)</f>
        <v>OPEN</v>
      </c>
    </row>
    <row r="58" customFormat="false" ht="25.5" hidden="false" customHeight="true" outlineLevel="0" collapsed="false">
      <c r="A58" s="111"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1"/>
      <c r="C58" s="111"/>
      <c r="D58" s="111"/>
      <c r="E58" s="111"/>
      <c r="F58" s="111"/>
      <c r="G58" s="111"/>
      <c r="H58" s="111"/>
    </row>
    <row r="59" customFormat="false" ht="114" hidden="false" customHeight="true" outlineLevel="0" collapsed="false">
      <c r="A59" s="112" t="str">
        <f aca="false">Checks!$A$245&amp;CHAR(10)&amp;IF(Checks!$I$245="","",Checks!$I$245&amp;": ")&amp;Checks!$J$245</f>
        <v>F07-UPL-01
Meal: Meals physically uplifted on board - quantity vs menu checklist</v>
      </c>
      <c r="B59" s="112" t="str">
        <f aca="false">Checks!$K$245&amp;IF(Checks!$O$245="","",IF(Checks!$K$245="","",CHAR(10))&amp;"Note: "&amp;Checks!$O$245)</f>
        <v>Enter expected &amp; actual
Note: Confirm on board before departure; completion time must fall inside the uplift window.</v>
      </c>
      <c r="C59" s="112" t="str">
        <f aca="false">Checks!$N$245&amp;CHAR(10)&amp;IF(ISNUMBER(Checks!$R$245),TEXT(Checks!$R$245,"DD-MMM-YY HH:MM"),"")&amp;" "&amp;Checks!$P$245</f>
        <v>Required
09-Oct-26 11:00 LHR</v>
      </c>
      <c r="D59" s="112" t="str">
        <f aca="false">IF(Checks!$U$245="","",Checks!$U$245)&amp;IF(Checks!$AB$245="","",CHAR(10)&amp;"CA: "&amp;Checks!$AB$245)</f>
        <v/>
      </c>
      <c r="E59" s="112" t="str">
        <f aca="false">IF(Checks!$V$245="","",Checks!$V$245)&amp;IF(Checks!$AC$245="","",IF(Checks!$V$245="","",CHAR(10))&amp;"N/A just.: "&amp;Checks!$AC$245)&amp;IF(Checks!$W$245="","",CHAR(10)&amp;"Batch: "&amp;Checks!$W$245)&amp;IF(AND(Checks!$X$245="",Checks!$Y$245=""),"",CHAR(10)&amp;"Exp: "&amp;Checks!$X$245&amp;"  /  Act: "&amp;Checks!$Y$245)</f>
        <v/>
      </c>
      <c r="F59" s="112" t="str">
        <f aca="false">IF(Checks!$Z$245="","","Evidence: "&amp;Checks!$Z$245)&amp;IF(Checks!$AA$245="","",IF(Checks!$Z$245="","",CHAR(10))&amp;"CA: "&amp;Checks!$AA$245)</f>
        <v/>
      </c>
      <c r="G59" s="112" t="str">
        <f aca="false">IF(ISNUMBER(Checks!$AD$245),TEXT(Checks!$AD$245,"DD-MMM-YY HH:MM")&amp;" "&amp;Checks!$P$245,"")&amp;IF(Checks!$AE$245="","",CHAR(10)&amp;"Verifier: "&amp;Checks!$AE$245)&amp;IF(Checks!$T$245="","",CHAR(10)&amp;"PIC: "&amp;Checks!$T$245)</f>
        <v/>
      </c>
      <c r="H59" s="113" t="str">
        <f aca="false">IF(Checks!$AH$245="","",Checks!$AH$245)</f>
        <v>OPEN</v>
      </c>
    </row>
    <row r="60" customFormat="false" ht="114" hidden="false" customHeight="true" outlineLevel="0" collapsed="false">
      <c r="A60" s="112" t="str">
        <f aca="false">Checks!$A$246&amp;CHAR(10)&amp;IF(Checks!$I$246="","",Checks!$I$246&amp;": ")&amp;Checks!$J$246</f>
        <v>F07-UPL-02
Equipment: Equipment physically loaded at GLD positions - quantity &amp; positions</v>
      </c>
      <c r="B60" s="112" t="str">
        <f aca="false">Checks!$K$246&amp;IF(Checks!$O$246="","",IF(Checks!$K$246="","",CHAR(10))&amp;"Note: "&amp;Checks!$O$246)</f>
        <v>Enter expected &amp; actual
Note: Confirm on board before departure; completion time must fall inside the uplift window.</v>
      </c>
      <c r="C60" s="112" t="str">
        <f aca="false">Checks!$N$246&amp;CHAR(10)&amp;IF(ISNUMBER(Checks!$R$246),TEXT(Checks!$R$246,"DD-MMM-YY HH:MM"),"")&amp;" "&amp;Checks!$P$246</f>
        <v>Required
09-Oct-26 11:00 LHR</v>
      </c>
      <c r="D60" s="112" t="str">
        <f aca="false">IF(Checks!$U$246="","",Checks!$U$246)&amp;IF(Checks!$AB$246="","",CHAR(10)&amp;"CA: "&amp;Checks!$AB$246)</f>
        <v/>
      </c>
      <c r="E60" s="112" t="str">
        <f aca="false">IF(Checks!$V$246="","",Checks!$V$246)&amp;IF(Checks!$AC$246="","",IF(Checks!$V$246="","",CHAR(10))&amp;"N/A just.: "&amp;Checks!$AC$246)&amp;IF(Checks!$W$246="","",CHAR(10)&amp;"Batch: "&amp;Checks!$W$246)&amp;IF(AND(Checks!$X$246="",Checks!$Y$246=""),"",CHAR(10)&amp;"Exp: "&amp;Checks!$X$246&amp;"  /  Act: "&amp;Checks!$Y$246)</f>
        <v/>
      </c>
      <c r="F60" s="112" t="str">
        <f aca="false">IF(Checks!$Z$246="","","Evidence: "&amp;Checks!$Z$246)&amp;IF(Checks!$AA$246="","",IF(Checks!$Z$246="","",CHAR(10))&amp;"CA: "&amp;Checks!$AA$246)</f>
        <v/>
      </c>
      <c r="G60" s="112" t="str">
        <f aca="false">IF(ISNUMBER(Checks!$AD$246),TEXT(Checks!$AD$246,"DD-MMM-YY HH:MM")&amp;" "&amp;Checks!$P$246,"")&amp;IF(Checks!$AE$246="","",CHAR(10)&amp;"Verifier: "&amp;Checks!$AE$246)&amp;IF(Checks!$T$246="","",CHAR(10)&amp;"PIC: "&amp;Checks!$T$246)</f>
        <v/>
      </c>
      <c r="H60" s="113" t="str">
        <f aca="false">IF(Checks!$AH$246="","",Checks!$AH$246)</f>
        <v>OPEN</v>
      </c>
    </row>
    <row r="61" customFormat="false" ht="147" hidden="false" customHeight="true" outlineLevel="0" collapsed="false">
      <c r="A61" s="112" t="str">
        <f aca="false">Checks!$A$247&amp;CHAR(10)&amp;IF(Checks!$I$247="","",Checks!$I$247&amp;": ")&amp;Checks!$J$247</f>
        <v>F07-UPL-03
Uplift plan: KUL-sourced items physically loaded at KUL on the inbound KUL-LHR flight</v>
      </c>
      <c r="B61" s="112"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2" t="str">
        <f aca="false">Checks!$N$247&amp;CHAR(10)&amp;IF(ISNUMBER(Checks!$R$247),TEXT(Checks!$R$247,"DD-MMM-YY HH:MM"),"")&amp;" "&amp;Checks!$P$247</f>
        <v>Required
09-Oct-26 04:25 KUL</v>
      </c>
      <c r="D61" s="112" t="str">
        <f aca="false">IF(Checks!$U$247="","",Checks!$U$247)&amp;IF(Checks!$AB$247="","",CHAR(10)&amp;"CA: "&amp;Checks!$AB$247)</f>
        <v/>
      </c>
      <c r="E61" s="112" t="str">
        <f aca="false">IF(Checks!$V$247="","",Checks!$V$247)&amp;IF(Checks!$AC$247="","",IF(Checks!$V$247="","",CHAR(10))&amp;"N/A just.: "&amp;Checks!$AC$247)&amp;IF(Checks!$W$247="","",CHAR(10)&amp;"Batch: "&amp;Checks!$W$247)&amp;IF(AND(Checks!$X$247="",Checks!$Y$247=""),"",CHAR(10)&amp;"Exp: "&amp;Checks!$X$247&amp;"  /  Act: "&amp;Checks!$Y$247)</f>
        <v/>
      </c>
      <c r="F61" s="112" t="str">
        <f aca="false">IF(Checks!$Z$247="","","Evidence: "&amp;Checks!$Z$247)&amp;IF(Checks!$AA$247="","",IF(Checks!$Z$247="","",CHAR(10))&amp;"CA: "&amp;Checks!$AA$247)</f>
        <v/>
      </c>
      <c r="G61" s="112" t="str">
        <f aca="false">IF(ISNUMBER(Checks!$AD$247),TEXT(Checks!$AD$247,"DD-MMM-YY HH:MM")&amp;" "&amp;Checks!$P$247,"")&amp;IF(Checks!$AE$247="","",CHAR(10)&amp;"Verifier: "&amp;Checks!$AE$247)&amp;IF(Checks!$T$247="","",CHAR(10)&amp;"PIC: "&amp;Checks!$T$247)</f>
        <v/>
      </c>
      <c r="H61" s="113" t="str">
        <f aca="false">IF(Checks!$AH$247="","",Checks!$AH$247)</f>
        <v>OPEN</v>
      </c>
    </row>
    <row r="62" customFormat="false" ht="114" hidden="false" customHeight="true" outlineLevel="0" collapsed="false">
      <c r="A62" s="112" t="str">
        <f aca="false">Checks!$A$248&amp;CHAR(10)&amp;IF(Checks!$I$248="","",Checks!$I$248&amp;": ")&amp;Checks!$J$248</f>
        <v>F07-UPL-04
Amenities: Toiletry kits - on board</v>
      </c>
      <c r="B62" s="112" t="str">
        <f aca="false">Checks!$K$248&amp;IF(Checks!$O$248="","",IF(Checks!$K$248="","",CHAR(10))&amp;"Note: "&amp;Checks!$O$248)</f>
        <v>Available (ticked in reference)</v>
      </c>
      <c r="C62" s="112" t="str">
        <f aca="false">Checks!$N$248&amp;CHAR(10)&amp;IF(ISNUMBER(Checks!$R$248),TEXT(Checks!$R$248,"DD-MMM-YY HH:MM"),"")&amp;" "&amp;Checks!$P$248</f>
        <v>Required
09-Oct-26 11:00 LHR</v>
      </c>
      <c r="D62" s="112" t="str">
        <f aca="false">IF(Checks!$U$248="","",Checks!$U$248)&amp;IF(Checks!$AB$248="","",CHAR(10)&amp;"CA: "&amp;Checks!$AB$248)</f>
        <v/>
      </c>
      <c r="E62" s="112" t="str">
        <f aca="false">IF(Checks!$V$248="","",Checks!$V$248)&amp;IF(Checks!$AC$248="","",IF(Checks!$V$248="","",CHAR(10))&amp;"N/A just.: "&amp;Checks!$AC$248)&amp;IF(Checks!$W$248="","",CHAR(10)&amp;"Batch: "&amp;Checks!$W$248)&amp;IF(AND(Checks!$X$248="",Checks!$Y$248=""),"",CHAR(10)&amp;"Exp: "&amp;Checks!$X$248&amp;"  /  Act: "&amp;Checks!$Y$248)</f>
        <v/>
      </c>
      <c r="F62" s="112" t="str">
        <f aca="false">IF(Checks!$Z$248="","","Evidence: "&amp;Checks!$Z$248)&amp;IF(Checks!$AA$248="","",IF(Checks!$Z$248="","",CHAR(10))&amp;"CA: "&amp;Checks!$AA$248)</f>
        <v/>
      </c>
      <c r="G62" s="112" t="str">
        <f aca="false">IF(ISNUMBER(Checks!$AD$248),TEXT(Checks!$AD$248,"DD-MMM-YY HH:MM")&amp;" "&amp;Checks!$P$248,"")&amp;IF(Checks!$AE$248="","",CHAR(10)&amp;"Verifier: "&amp;Checks!$AE$248)&amp;IF(Checks!$T$248="","",CHAR(10)&amp;"PIC: "&amp;Checks!$T$248)</f>
        <v/>
      </c>
      <c r="H62" s="113" t="str">
        <f aca="false">IF(Checks!$AH$248="","",Checks!$AH$248)</f>
        <v>OPEN</v>
      </c>
    </row>
    <row r="63" customFormat="false" ht="114" hidden="false" customHeight="true" outlineLevel="0" collapsed="false">
      <c r="A63" s="112" t="str">
        <f aca="false">Checks!$A$249&amp;CHAR(10)&amp;IF(Checks!$I$249="","",Checks!$I$249&amp;": ")&amp;Checks!$J$249</f>
        <v>F07-UPL-05
Amenities: Pajamas (BC) - on board</v>
      </c>
      <c r="B63" s="112" t="str">
        <f aca="false">Checks!$K$249&amp;IF(Checks!$O$249="","",IF(Checks!$K$249="","",CHAR(10))&amp;"Note: "&amp;Checks!$O$249)</f>
        <v>Available - BC red-eye only
Note: Reference limits BC pajamas to red-eye flights; STD 1100 local arriving 0645+1 - confirm whether this leg counts as red-eye.</v>
      </c>
      <c r="C63" s="112" t="str">
        <f aca="false">Checks!$N$249&amp;CHAR(10)&amp;IF(ISNUMBER(Checks!$R$249),TEXT(Checks!$R$249,"DD-MMM-YY HH:MM"),"")&amp;" "&amp;Checks!$P$249</f>
        <v>Clarification required
09-Oct-26 11:00 LHR</v>
      </c>
      <c r="D63" s="112" t="str">
        <f aca="false">IF(Checks!$U$249="","",Checks!$U$249)&amp;IF(Checks!$AB$249="","",CHAR(10)&amp;"CA: "&amp;Checks!$AB$249)</f>
        <v/>
      </c>
      <c r="E63" s="112" t="str">
        <f aca="false">IF(Checks!$V$249="","",Checks!$V$249)&amp;IF(Checks!$AC$249="","",IF(Checks!$V$249="","",CHAR(10))&amp;"N/A just.: "&amp;Checks!$AC$249)&amp;IF(Checks!$W$249="","",CHAR(10)&amp;"Batch: "&amp;Checks!$W$249)&amp;IF(AND(Checks!$X$249="",Checks!$Y$249=""),"",CHAR(10)&amp;"Exp: "&amp;Checks!$X$249&amp;"  /  Act: "&amp;Checks!$Y$249)</f>
        <v/>
      </c>
      <c r="F63" s="112" t="str">
        <f aca="false">IF(Checks!$Z$249="","","Evidence: "&amp;Checks!$Z$249)&amp;IF(Checks!$AA$249="","",IF(Checks!$Z$249="","",CHAR(10))&amp;"CA: "&amp;Checks!$AA$249)</f>
        <v/>
      </c>
      <c r="G63" s="112" t="str">
        <f aca="false">IF(ISNUMBER(Checks!$AD$249),TEXT(Checks!$AD$249,"DD-MMM-YY HH:MM")&amp;" "&amp;Checks!$P$249,"")&amp;IF(Checks!$AE$249="","",CHAR(10)&amp;"Verifier: "&amp;Checks!$AE$249)&amp;IF(Checks!$T$249="","",CHAR(10)&amp;"PIC: "&amp;Checks!$T$249)</f>
        <v/>
      </c>
      <c r="H63" s="113" t="str">
        <f aca="false">IF(Checks!$AH$249="","",Checks!$AH$249)</f>
        <v>OPEN – CLARIFICATION</v>
      </c>
    </row>
    <row r="64" customFormat="false" ht="114" hidden="false" customHeight="true" outlineLevel="0" collapsed="false">
      <c r="A64" s="112" t="str">
        <f aca="false">Checks!$A$250&amp;CHAR(10)&amp;IF(Checks!$I$250="","",Checks!$I$250&amp;": ")&amp;Checks!$J$250</f>
        <v>F07-UPL-06
Amenities: Slippers (BS/BC) - on board</v>
      </c>
      <c r="B64" s="112" t="str">
        <f aca="false">Checks!$K$250&amp;IF(Checks!$O$250="","",IF(Checks!$K$250="","",CHAR(10))&amp;"Note: "&amp;Checks!$O$250)</f>
        <v>Available (ticked in reference)</v>
      </c>
      <c r="C64" s="112" t="str">
        <f aca="false">Checks!$N$250&amp;CHAR(10)&amp;IF(ISNUMBER(Checks!$R$250),TEXT(Checks!$R$250,"DD-MMM-YY HH:MM"),"")&amp;" "&amp;Checks!$P$250</f>
        <v>Required
09-Oct-26 11:00 LHR</v>
      </c>
      <c r="D64" s="112" t="str">
        <f aca="false">IF(Checks!$U$250="","",Checks!$U$250)&amp;IF(Checks!$AB$250="","",CHAR(10)&amp;"CA: "&amp;Checks!$AB$250)</f>
        <v/>
      </c>
      <c r="E64" s="112" t="str">
        <f aca="false">IF(Checks!$V$250="","",Checks!$V$250)&amp;IF(Checks!$AC$250="","",IF(Checks!$V$250="","",CHAR(10))&amp;"N/A just.: "&amp;Checks!$AC$250)&amp;IF(Checks!$W$250="","",CHAR(10)&amp;"Batch: "&amp;Checks!$W$250)&amp;IF(AND(Checks!$X$250="",Checks!$Y$250=""),"",CHAR(10)&amp;"Exp: "&amp;Checks!$X$250&amp;"  /  Act: "&amp;Checks!$Y$250)</f>
        <v/>
      </c>
      <c r="F64" s="112" t="str">
        <f aca="false">IF(Checks!$Z$250="","","Evidence: "&amp;Checks!$Z$250)&amp;IF(Checks!$AA$250="","",IF(Checks!$Z$250="","",CHAR(10))&amp;"CA: "&amp;Checks!$AA$250)</f>
        <v/>
      </c>
      <c r="G64" s="112" t="str">
        <f aca="false">IF(ISNUMBER(Checks!$AD$250),TEXT(Checks!$AD$250,"DD-MMM-YY HH:MM")&amp;" "&amp;Checks!$P$250,"")&amp;IF(Checks!$AE$250="","",CHAR(10)&amp;"Verifier: "&amp;Checks!$AE$250)&amp;IF(Checks!$T$250="","",CHAR(10)&amp;"PIC: "&amp;Checks!$T$250)</f>
        <v/>
      </c>
      <c r="H64" s="113" t="str">
        <f aca="false">IF(Checks!$AH$250="","",Checks!$AH$250)</f>
        <v>OPEN</v>
      </c>
    </row>
    <row r="65" customFormat="false" ht="114" hidden="false" customHeight="true" outlineLevel="0" collapsed="false">
      <c r="A65" s="112" t="str">
        <f aca="false">Checks!$A$251&amp;CHAR(10)&amp;IF(Checks!$I$251="","",Checks!$I$251&amp;": ")&amp;Checks!$J$251</f>
        <v>F07-UPL-07
F&amp;B Linen: Towel - on board</v>
      </c>
      <c r="B65" s="112" t="str">
        <f aca="false">Checks!$K$251&amp;IF(Checks!$O$251="","",IF(Checks!$K$251="","",CHAR(10))&amp;"Note: "&amp;Checks!$O$251)</f>
        <v>Available (ticked in reference)</v>
      </c>
      <c r="C65" s="112" t="str">
        <f aca="false">Checks!$N$251&amp;CHAR(10)&amp;IF(ISNUMBER(Checks!$R$251),TEXT(Checks!$R$251,"DD-MMM-YY HH:MM"),"")&amp;" "&amp;Checks!$P$251</f>
        <v>Required
09-Oct-26 11:00 LHR</v>
      </c>
      <c r="D65" s="112" t="str">
        <f aca="false">IF(Checks!$U$251="","",Checks!$U$251)&amp;IF(Checks!$AB$251="","",CHAR(10)&amp;"CA: "&amp;Checks!$AB$251)</f>
        <v/>
      </c>
      <c r="E65" s="112" t="str">
        <f aca="false">IF(Checks!$V$251="","",Checks!$V$251)&amp;IF(Checks!$AC$251="","",IF(Checks!$V$251="","",CHAR(10))&amp;"N/A just.: "&amp;Checks!$AC$251)&amp;IF(Checks!$W$251="","",CHAR(10)&amp;"Batch: "&amp;Checks!$W$251)&amp;IF(AND(Checks!$X$251="",Checks!$Y$251=""),"",CHAR(10)&amp;"Exp: "&amp;Checks!$X$251&amp;"  /  Act: "&amp;Checks!$Y$251)</f>
        <v/>
      </c>
      <c r="F65" s="112" t="str">
        <f aca="false">IF(Checks!$Z$251="","","Evidence: "&amp;Checks!$Z$251)&amp;IF(Checks!$AA$251="","",IF(Checks!$Z$251="","",CHAR(10))&amp;"CA: "&amp;Checks!$AA$251)</f>
        <v/>
      </c>
      <c r="G65" s="112" t="str">
        <f aca="false">IF(ISNUMBER(Checks!$AD$251),TEXT(Checks!$AD$251,"DD-MMM-YY HH:MM")&amp;" "&amp;Checks!$P$251,"")&amp;IF(Checks!$AE$251="","",CHAR(10)&amp;"Verifier: "&amp;Checks!$AE$251)&amp;IF(Checks!$T$251="","",CHAR(10)&amp;"PIC: "&amp;Checks!$T$251)</f>
        <v/>
      </c>
      <c r="H65" s="113" t="str">
        <f aca="false">IF(Checks!$AH$251="","",Checks!$AH$251)</f>
        <v>OPEN</v>
      </c>
    </row>
    <row r="66" customFormat="false" ht="114" hidden="false" customHeight="true" outlineLevel="0" collapsed="false">
      <c r="A66" s="112" t="str">
        <f aca="false">Checks!$A$252&amp;CHAR(10)&amp;IF(Checks!$I$252="","",Checks!$I$252&amp;": ")&amp;Checks!$J$252</f>
        <v>F07-UPL-08
F&amp;B Linen: Tray cloth - on board</v>
      </c>
      <c r="B66" s="112" t="str">
        <f aca="false">Checks!$K$252&amp;IF(Checks!$O$252="","",IF(Checks!$K$252="","",CHAR(10))&amp;"Note: "&amp;Checks!$O$252)</f>
        <v>Available (ticked in reference)</v>
      </c>
      <c r="C66" s="112" t="str">
        <f aca="false">Checks!$N$252&amp;CHAR(10)&amp;IF(ISNUMBER(Checks!$R$252),TEXT(Checks!$R$252,"DD-MMM-YY HH:MM"),"")&amp;" "&amp;Checks!$P$252</f>
        <v>Required
09-Oct-26 11:00 LHR</v>
      </c>
      <c r="D66" s="112" t="str">
        <f aca="false">IF(Checks!$U$252="","",Checks!$U$252)&amp;IF(Checks!$AB$252="","",CHAR(10)&amp;"CA: "&amp;Checks!$AB$252)</f>
        <v/>
      </c>
      <c r="E66" s="112" t="str">
        <f aca="false">IF(Checks!$V$252="","",Checks!$V$252)&amp;IF(Checks!$AC$252="","",IF(Checks!$V$252="","",CHAR(10))&amp;"N/A just.: "&amp;Checks!$AC$252)&amp;IF(Checks!$W$252="","",CHAR(10)&amp;"Batch: "&amp;Checks!$W$252)&amp;IF(AND(Checks!$X$252="",Checks!$Y$252=""),"",CHAR(10)&amp;"Exp: "&amp;Checks!$X$252&amp;"  /  Act: "&amp;Checks!$Y$252)</f>
        <v/>
      </c>
      <c r="F66" s="112" t="str">
        <f aca="false">IF(Checks!$Z$252="","","Evidence: "&amp;Checks!$Z$252)&amp;IF(Checks!$AA$252="","",IF(Checks!$Z$252="","",CHAR(10))&amp;"CA: "&amp;Checks!$AA$252)</f>
        <v/>
      </c>
      <c r="G66" s="112" t="str">
        <f aca="false">IF(ISNUMBER(Checks!$AD$252),TEXT(Checks!$AD$252,"DD-MMM-YY HH:MM")&amp;" "&amp;Checks!$P$252,"")&amp;IF(Checks!$AE$252="","",CHAR(10)&amp;"Verifier: "&amp;Checks!$AE$252)&amp;IF(Checks!$T$252="","",CHAR(10)&amp;"PIC: "&amp;Checks!$T$252)</f>
        <v/>
      </c>
      <c r="H66" s="113" t="str">
        <f aca="false">IF(Checks!$AH$252="","",Checks!$AH$252)</f>
        <v>OPEN</v>
      </c>
    </row>
    <row r="67" customFormat="false" ht="114" hidden="false" customHeight="true" outlineLevel="0" collapsed="false">
      <c r="A67" s="112" t="str">
        <f aca="false">Checks!$A$253&amp;CHAR(10)&amp;IF(Checks!$I$253="","",Checks!$I$253&amp;": ")&amp;Checks!$J$253</f>
        <v>F07-UPL-09
F&amp;B Linen: Napkin - on board</v>
      </c>
      <c r="B67" s="112" t="str">
        <f aca="false">Checks!$K$253&amp;IF(Checks!$O$253="","",IF(Checks!$K$253="","",CHAR(10))&amp;"Note: "&amp;Checks!$O$253)</f>
        <v>Available (ticked in reference)</v>
      </c>
      <c r="C67" s="112" t="str">
        <f aca="false">Checks!$N$253&amp;CHAR(10)&amp;IF(ISNUMBER(Checks!$R$253),TEXT(Checks!$R$253,"DD-MMM-YY HH:MM"),"")&amp;" "&amp;Checks!$P$253</f>
        <v>Required
09-Oct-26 11:00 LHR</v>
      </c>
      <c r="D67" s="112" t="str">
        <f aca="false">IF(Checks!$U$253="","",Checks!$U$253)&amp;IF(Checks!$AB$253="","",CHAR(10)&amp;"CA: "&amp;Checks!$AB$253)</f>
        <v/>
      </c>
      <c r="E67" s="112" t="str">
        <f aca="false">IF(Checks!$V$253="","",Checks!$V$253)&amp;IF(Checks!$AC$253="","",IF(Checks!$V$253="","",CHAR(10))&amp;"N/A just.: "&amp;Checks!$AC$253)&amp;IF(Checks!$W$253="","",CHAR(10)&amp;"Batch: "&amp;Checks!$W$253)&amp;IF(AND(Checks!$X$253="",Checks!$Y$253=""),"",CHAR(10)&amp;"Exp: "&amp;Checks!$X$253&amp;"  /  Act: "&amp;Checks!$Y$253)</f>
        <v/>
      </c>
      <c r="F67" s="112" t="str">
        <f aca="false">IF(Checks!$Z$253="","","Evidence: "&amp;Checks!$Z$253)&amp;IF(Checks!$AA$253="","",IF(Checks!$Z$253="","",CHAR(10))&amp;"CA: "&amp;Checks!$AA$253)</f>
        <v/>
      </c>
      <c r="G67" s="112" t="str">
        <f aca="false">IF(ISNUMBER(Checks!$AD$253),TEXT(Checks!$AD$253,"DD-MMM-YY HH:MM")&amp;" "&amp;Checks!$P$253,"")&amp;IF(Checks!$AE$253="","",CHAR(10)&amp;"Verifier: "&amp;Checks!$AE$253)&amp;IF(Checks!$T$253="","",CHAR(10)&amp;"PIC: "&amp;Checks!$T$253)</f>
        <v/>
      </c>
      <c r="H67" s="113" t="str">
        <f aca="false">IF(Checks!$AH$253="","",Checks!$AH$253)</f>
        <v>OPEN</v>
      </c>
    </row>
    <row r="68" customFormat="false" ht="114" hidden="false" customHeight="true" outlineLevel="0" collapsed="false">
      <c r="A68" s="112" t="str">
        <f aca="false">Checks!$A$254&amp;CHAR(10)&amp;IF(Checks!$I$254="","",Checks!$I$254&amp;": ")&amp;Checks!$J$254</f>
        <v>F07-UPL-10
F&amp;B Linen: Table cloth - on board</v>
      </c>
      <c r="B68" s="112" t="str">
        <f aca="false">Checks!$K$254&amp;IF(Checks!$O$254="","",IF(Checks!$K$254="","",CHAR(10))&amp;"Note: "&amp;Checks!$O$254)</f>
        <v>Available (ticked in reference)</v>
      </c>
      <c r="C68" s="112" t="str">
        <f aca="false">Checks!$N$254&amp;CHAR(10)&amp;IF(ISNUMBER(Checks!$R$254),TEXT(Checks!$R$254,"DD-MMM-YY HH:MM"),"")&amp;" "&amp;Checks!$P$254</f>
        <v>Required
09-Oct-26 11:00 LHR</v>
      </c>
      <c r="D68" s="112" t="str">
        <f aca="false">IF(Checks!$U$254="","",Checks!$U$254)&amp;IF(Checks!$AB$254="","",CHAR(10)&amp;"CA: "&amp;Checks!$AB$254)</f>
        <v/>
      </c>
      <c r="E68" s="112" t="str">
        <f aca="false">IF(Checks!$V$254="","",Checks!$V$254)&amp;IF(Checks!$AC$254="","",IF(Checks!$V$254="","",CHAR(10))&amp;"N/A just.: "&amp;Checks!$AC$254)&amp;IF(Checks!$W$254="","",CHAR(10)&amp;"Batch: "&amp;Checks!$W$254)&amp;IF(AND(Checks!$X$254="",Checks!$Y$254=""),"",CHAR(10)&amp;"Exp: "&amp;Checks!$X$254&amp;"  /  Act: "&amp;Checks!$Y$254)</f>
        <v/>
      </c>
      <c r="F68" s="112" t="str">
        <f aca="false">IF(Checks!$Z$254="","","Evidence: "&amp;Checks!$Z$254)&amp;IF(Checks!$AA$254="","",IF(Checks!$Z$254="","",CHAR(10))&amp;"CA: "&amp;Checks!$AA$254)</f>
        <v/>
      </c>
      <c r="G68" s="112" t="str">
        <f aca="false">IF(ISNUMBER(Checks!$AD$254),TEXT(Checks!$AD$254,"DD-MMM-YY HH:MM")&amp;" "&amp;Checks!$P$254,"")&amp;IF(Checks!$AE$254="","",CHAR(10)&amp;"Verifier: "&amp;Checks!$AE$254)&amp;IF(Checks!$T$254="","",CHAR(10)&amp;"PIC: "&amp;Checks!$T$254)</f>
        <v/>
      </c>
      <c r="H68" s="113" t="str">
        <f aca="false">IF(Checks!$AH$254="","",Checks!$AH$254)</f>
        <v>OPEN</v>
      </c>
    </row>
    <row r="69" customFormat="false" ht="114" hidden="false" customHeight="true" outlineLevel="0" collapsed="false">
      <c r="A69" s="112" t="str">
        <f aca="false">Checks!$A$255&amp;CHAR(10)&amp;IF(Checks!$I$255="","",Checks!$I$255&amp;": ")&amp;Checks!$J$255</f>
        <v>F07-UPL-11
F&amp;B Linen: Bread linen (using table cloth) - on board</v>
      </c>
      <c r="B69" s="112" t="str">
        <f aca="false">Checks!$K$255&amp;IF(Checks!$O$255="","",IF(Checks!$K$255="","",CHAR(10))&amp;"Note: "&amp;Checks!$O$255)</f>
        <v>Available (ticked in reference)</v>
      </c>
      <c r="C69" s="112" t="str">
        <f aca="false">Checks!$N$255&amp;CHAR(10)&amp;IF(ISNUMBER(Checks!$R$255),TEXT(Checks!$R$255,"DD-MMM-YY HH:MM"),"")&amp;" "&amp;Checks!$P$255</f>
        <v>Required
09-Oct-26 11:00 LHR</v>
      </c>
      <c r="D69" s="112" t="str">
        <f aca="false">IF(Checks!$U$255="","",Checks!$U$255)&amp;IF(Checks!$AB$255="","",CHAR(10)&amp;"CA: "&amp;Checks!$AB$255)</f>
        <v/>
      </c>
      <c r="E69" s="112" t="str">
        <f aca="false">IF(Checks!$V$255="","",Checks!$V$255)&amp;IF(Checks!$AC$255="","",IF(Checks!$V$255="","",CHAR(10))&amp;"N/A just.: "&amp;Checks!$AC$255)&amp;IF(Checks!$W$255="","",CHAR(10)&amp;"Batch: "&amp;Checks!$W$255)&amp;IF(AND(Checks!$X$255="",Checks!$Y$255=""),"",CHAR(10)&amp;"Exp: "&amp;Checks!$X$255&amp;"  /  Act: "&amp;Checks!$Y$255)</f>
        <v/>
      </c>
      <c r="F69" s="112" t="str">
        <f aca="false">IF(Checks!$Z$255="","","Evidence: "&amp;Checks!$Z$255)&amp;IF(Checks!$AA$255="","",IF(Checks!$Z$255="","",CHAR(10))&amp;"CA: "&amp;Checks!$AA$255)</f>
        <v/>
      </c>
      <c r="G69" s="112" t="str">
        <f aca="false">IF(ISNUMBER(Checks!$AD$255),TEXT(Checks!$AD$255,"DD-MMM-YY HH:MM")&amp;" "&amp;Checks!$P$255,"")&amp;IF(Checks!$AE$255="","",CHAR(10)&amp;"Verifier: "&amp;Checks!$AE$255)&amp;IF(Checks!$T$255="","",CHAR(10)&amp;"PIC: "&amp;Checks!$T$255)</f>
        <v/>
      </c>
      <c r="H69" s="113" t="str">
        <f aca="false">IF(Checks!$AH$255="","",Checks!$AH$255)</f>
        <v>OPEN</v>
      </c>
    </row>
    <row r="70" customFormat="false" ht="114" hidden="false" customHeight="true" outlineLevel="0" collapsed="false">
      <c r="A70" s="112" t="str">
        <f aca="false">Checks!$A$256&amp;CHAR(10)&amp;IF(Checks!$I$256="","",Checks!$I$256&amp;": ")&amp;Checks!$J$256</f>
        <v>F07-UPL-12
F&amp;B Linen: Trolley cloth - on board</v>
      </c>
      <c r="B70" s="112" t="str">
        <f aca="false">SUBSTITUTE(Checks!$K$256&amp;IF(Checks!$O$256="","",IF(Checks!$K$256="","",CHAR(10))&amp;"Note: "&amp;Checks!$O$256),"F&amp;B LINEN!","Ref: F&amp;B LINEN!")</f>
        <v>Wide body: Top/Middle &amp; Bottom
Note: Per note Ref: F&amp;B LINEN!B79:C80.</v>
      </c>
      <c r="C70" s="112" t="str">
        <f aca="false">Checks!$N$256&amp;CHAR(10)&amp;IF(ISNUMBER(Checks!$R$256),TEXT(Checks!$R$256,"DD-MMM-YY HH:MM"),"")&amp;" "&amp;Checks!$P$256</f>
        <v>Required
09-Oct-26 11:00 LHR</v>
      </c>
      <c r="D70" s="112" t="str">
        <f aca="false">IF(Checks!$U$256="","",Checks!$U$256)&amp;IF(Checks!$AB$256="","",CHAR(10)&amp;"CA: "&amp;Checks!$AB$256)</f>
        <v/>
      </c>
      <c r="E70" s="112" t="str">
        <f aca="false">IF(Checks!$V$256="","",Checks!$V$256)&amp;IF(Checks!$AC$256="","",IF(Checks!$V$256="","",CHAR(10))&amp;"N/A just.: "&amp;Checks!$AC$256)&amp;IF(Checks!$W$256="","",CHAR(10)&amp;"Batch: "&amp;Checks!$W$256)&amp;IF(AND(Checks!$X$256="",Checks!$Y$256=""),"",CHAR(10)&amp;"Exp: "&amp;Checks!$X$256&amp;"  /  Act: "&amp;Checks!$Y$256)</f>
        <v/>
      </c>
      <c r="F70" s="112" t="str">
        <f aca="false">IF(Checks!$Z$256="","","Evidence: "&amp;Checks!$Z$256)&amp;IF(Checks!$AA$256="","",IF(Checks!$Z$256="","",CHAR(10))&amp;"CA: "&amp;Checks!$AA$256)</f>
        <v/>
      </c>
      <c r="G70" s="112" t="str">
        <f aca="false">IF(ISNUMBER(Checks!$AD$256),TEXT(Checks!$AD$256,"DD-MMM-YY HH:MM")&amp;" "&amp;Checks!$P$256,"")&amp;IF(Checks!$AE$256="","",CHAR(10)&amp;"Verifier: "&amp;Checks!$AE$256)&amp;IF(Checks!$T$256="","",CHAR(10)&amp;"PIC: "&amp;Checks!$T$256)</f>
        <v/>
      </c>
      <c r="H70" s="113" t="str">
        <f aca="false">IF(Checks!$AH$256="","",Checks!$AH$256)</f>
        <v>OPEN</v>
      </c>
    </row>
    <row r="71" customFormat="false" ht="114" hidden="false" customHeight="true" outlineLevel="0" collapsed="false">
      <c r="A71" s="112" t="str">
        <f aca="false">Checks!$A$257&amp;CHAR(10)&amp;IF(Checks!$I$257="","",Checks!$I$257&amp;": ")&amp;Checks!$J$257</f>
        <v>F07-UPL-13
F&amp;B Linen: Linen bag - on board</v>
      </c>
      <c r="B71" s="112" t="str">
        <f aca="false">Checks!$K$257&amp;IF(Checks!$O$257="","",IF(Checks!$K$257="","",CHAR(10))&amp;"Note: "&amp;Checks!$O$257)</f>
        <v>Available (ticked in reference)</v>
      </c>
      <c r="C71" s="112" t="str">
        <f aca="false">Checks!$N$257&amp;CHAR(10)&amp;IF(ISNUMBER(Checks!$R$257),TEXT(Checks!$R$257,"DD-MMM-YY HH:MM"),"")&amp;" "&amp;Checks!$P$257</f>
        <v>Required
09-Oct-26 11:00 LHR</v>
      </c>
      <c r="D71" s="112" t="str">
        <f aca="false">IF(Checks!$U$257="","",Checks!$U$257)&amp;IF(Checks!$AB$257="","",CHAR(10)&amp;"CA: "&amp;Checks!$AB$257)</f>
        <v/>
      </c>
      <c r="E71" s="112" t="str">
        <f aca="false">IF(Checks!$V$257="","",Checks!$V$257)&amp;IF(Checks!$AC$257="","",IF(Checks!$V$257="","",CHAR(10))&amp;"N/A just.: "&amp;Checks!$AC$257)&amp;IF(Checks!$W$257="","",CHAR(10)&amp;"Batch: "&amp;Checks!$W$257)&amp;IF(AND(Checks!$X$257="",Checks!$Y$257=""),"",CHAR(10)&amp;"Exp: "&amp;Checks!$X$257&amp;"  /  Act: "&amp;Checks!$Y$257)</f>
        <v/>
      </c>
      <c r="F71" s="112" t="str">
        <f aca="false">IF(Checks!$Z$257="","","Evidence: "&amp;Checks!$Z$257)&amp;IF(Checks!$AA$257="","",IF(Checks!$Z$257="","",CHAR(10))&amp;"CA: "&amp;Checks!$AA$257)</f>
        <v/>
      </c>
      <c r="G71" s="112" t="str">
        <f aca="false">IF(ISNUMBER(Checks!$AD$257),TEXT(Checks!$AD$257,"DD-MMM-YY HH:MM")&amp;" "&amp;Checks!$P$257,"")&amp;IF(Checks!$AE$257="","",CHAR(10)&amp;"Verifier: "&amp;Checks!$AE$257)&amp;IF(Checks!$T$257="","",CHAR(10)&amp;"PIC: "&amp;Checks!$T$257)</f>
        <v/>
      </c>
      <c r="H71" s="113" t="str">
        <f aca="false">IF(Checks!$AH$257="","",Checks!$AH$257)</f>
        <v>OPEN</v>
      </c>
    </row>
    <row r="72" customFormat="false" ht="114" hidden="false" customHeight="true" outlineLevel="0" collapsed="false">
      <c r="A72" s="112" t="str">
        <f aca="false">Checks!$A$258&amp;CHAR(10)&amp;IF(Checks!$I$258="","",Checks!$I$258&amp;": ")&amp;Checks!$J$258</f>
        <v>F07-UPL-14
Seat Linen: Seat pillow (BS &amp; BC) - on board</v>
      </c>
      <c r="B72" s="112" t="str">
        <f aca="false">Checks!$K$258&amp;IF(Checks!$O$258="","",IF(Checks!$K$258="","",CHAR(10))&amp;"Note: "&amp;Checks!$O$258)</f>
        <v>Available 100% (ticked in reference)</v>
      </c>
      <c r="C72" s="112" t="str">
        <f aca="false">Checks!$N$258&amp;CHAR(10)&amp;IF(ISNUMBER(Checks!$R$258),TEXT(Checks!$R$258,"DD-MMM-YY HH:MM"),"")&amp;" "&amp;Checks!$P$258</f>
        <v>Required
09-Oct-26 11:00 LHR</v>
      </c>
      <c r="D72" s="112" t="str">
        <f aca="false">IF(Checks!$U$258="","",Checks!$U$258)&amp;IF(Checks!$AB$258="","",CHAR(10)&amp;"CA: "&amp;Checks!$AB$258)</f>
        <v/>
      </c>
      <c r="E72" s="112" t="str">
        <f aca="false">IF(Checks!$V$258="","",Checks!$V$258)&amp;IF(Checks!$AC$258="","",IF(Checks!$V$258="","",CHAR(10))&amp;"N/A just.: "&amp;Checks!$AC$258)&amp;IF(Checks!$W$258="","",CHAR(10)&amp;"Batch: "&amp;Checks!$W$258)&amp;IF(AND(Checks!$X$258="",Checks!$Y$258=""),"",CHAR(10)&amp;"Exp: "&amp;Checks!$X$258&amp;"  /  Act: "&amp;Checks!$Y$258)</f>
        <v/>
      </c>
      <c r="F72" s="112" t="str">
        <f aca="false">IF(Checks!$Z$258="","","Evidence: "&amp;Checks!$Z$258)&amp;IF(Checks!$AA$258="","",IF(Checks!$Z$258="","",CHAR(10))&amp;"CA: "&amp;Checks!$AA$258)</f>
        <v/>
      </c>
      <c r="G72" s="112" t="str">
        <f aca="false">IF(ISNUMBER(Checks!$AD$258),TEXT(Checks!$AD$258,"DD-MMM-YY HH:MM")&amp;" "&amp;Checks!$P$258,"")&amp;IF(Checks!$AE$258="","",CHAR(10)&amp;"Verifier: "&amp;Checks!$AE$258)&amp;IF(Checks!$T$258="","",CHAR(10)&amp;"PIC: "&amp;Checks!$T$258)</f>
        <v/>
      </c>
      <c r="H72" s="113" t="str">
        <f aca="false">IF(Checks!$AH$258="","",Checks!$AH$258)</f>
        <v>OPEN</v>
      </c>
    </row>
    <row r="73" customFormat="false" ht="114" hidden="false" customHeight="true" outlineLevel="0" collapsed="false">
      <c r="A73" s="112" t="str">
        <f aca="false">Checks!$A$259&amp;CHAR(10)&amp;IF(Checks!$I$259="","",Checks!$I$259&amp;": ")&amp;Checks!$J$259</f>
        <v>F07-UPL-15
Seat Linen: Duvet (BS &amp; BC) - on board</v>
      </c>
      <c r="B73" s="112" t="str">
        <f aca="false">Checks!$K$259&amp;IF(Checks!$O$259="","",IF(Checks!$K$259="","",CHAR(10))&amp;"Note: "&amp;Checks!$O$259)</f>
        <v>Available 100% (ticked in reference)</v>
      </c>
      <c r="C73" s="112" t="str">
        <f aca="false">Checks!$N$259&amp;CHAR(10)&amp;IF(ISNUMBER(Checks!$R$259),TEXT(Checks!$R$259,"DD-MMM-YY HH:MM"),"")&amp;" "&amp;Checks!$P$259</f>
        <v>Required
09-Oct-26 11:00 LHR</v>
      </c>
      <c r="D73" s="112" t="str">
        <f aca="false">IF(Checks!$U$259="","",Checks!$U$259)&amp;IF(Checks!$AB$259="","",CHAR(10)&amp;"CA: "&amp;Checks!$AB$259)</f>
        <v/>
      </c>
      <c r="E73" s="112" t="str">
        <f aca="false">IF(Checks!$V$259="","",Checks!$V$259)&amp;IF(Checks!$AC$259="","",IF(Checks!$V$259="","",CHAR(10))&amp;"N/A just.: "&amp;Checks!$AC$259)&amp;IF(Checks!$W$259="","",CHAR(10)&amp;"Batch: "&amp;Checks!$W$259)&amp;IF(AND(Checks!$X$259="",Checks!$Y$259=""),"",CHAR(10)&amp;"Exp: "&amp;Checks!$X$259&amp;"  /  Act: "&amp;Checks!$Y$259)</f>
        <v/>
      </c>
      <c r="F73" s="112" t="str">
        <f aca="false">IF(Checks!$Z$259="","","Evidence: "&amp;Checks!$Z$259)&amp;IF(Checks!$AA$259="","",IF(Checks!$Z$259="","",CHAR(10))&amp;"CA: "&amp;Checks!$AA$259)</f>
        <v/>
      </c>
      <c r="G73" s="112" t="str">
        <f aca="false">IF(ISNUMBER(Checks!$AD$259),TEXT(Checks!$AD$259,"DD-MMM-YY HH:MM")&amp;" "&amp;Checks!$P$259,"")&amp;IF(Checks!$AE$259="","",CHAR(10)&amp;"Verifier: "&amp;Checks!$AE$259)&amp;IF(Checks!$T$259="","",CHAR(10)&amp;"PIC: "&amp;Checks!$T$259)</f>
        <v/>
      </c>
      <c r="H73" s="113" t="str">
        <f aca="false">IF(Checks!$AH$259="","",Checks!$AH$259)</f>
        <v>OPEN</v>
      </c>
    </row>
    <row r="74" customFormat="false" ht="114" hidden="false" customHeight="true" outlineLevel="0" collapsed="false">
      <c r="A74" s="112" t="str">
        <f aca="false">Checks!$A$260&amp;CHAR(10)&amp;IF(Checks!$I$260="","",Checks!$I$260&amp;": ")&amp;Checks!$J$260</f>
        <v>F07-UPL-16
Seat Linen: Mattress (BS &amp; BC) - on board</v>
      </c>
      <c r="B74" s="112" t="str">
        <f aca="false">Checks!$K$260&amp;IF(Checks!$O$260="","",IF(Checks!$K$260="","",CHAR(10))&amp;"Note: "&amp;Checks!$O$260)</f>
        <v>Available 100% (ticked in reference)</v>
      </c>
      <c r="C74" s="112" t="str">
        <f aca="false">Checks!$N$260&amp;CHAR(10)&amp;IF(ISNUMBER(Checks!$R$260),TEXT(Checks!$R$260,"DD-MMM-YY HH:MM"),"")&amp;" "&amp;Checks!$P$260</f>
        <v>Required
09-Oct-26 11:00 LHR</v>
      </c>
      <c r="D74" s="112" t="str">
        <f aca="false">IF(Checks!$U$260="","",Checks!$U$260)&amp;IF(Checks!$AB$260="","",CHAR(10)&amp;"CA: "&amp;Checks!$AB$260)</f>
        <v/>
      </c>
      <c r="E74" s="112" t="str">
        <f aca="false">IF(Checks!$V$260="","",Checks!$V$260)&amp;IF(Checks!$AC$260="","",IF(Checks!$V$260="","",CHAR(10))&amp;"N/A just.: "&amp;Checks!$AC$260)&amp;IF(Checks!$W$260="","",CHAR(10)&amp;"Batch: "&amp;Checks!$W$260)&amp;IF(AND(Checks!$X$260="",Checks!$Y$260=""),"",CHAR(10)&amp;"Exp: "&amp;Checks!$X$260&amp;"  /  Act: "&amp;Checks!$Y$260)</f>
        <v/>
      </c>
      <c r="F74" s="112" t="str">
        <f aca="false">IF(Checks!$Z$260="","","Evidence: "&amp;Checks!$Z$260)&amp;IF(Checks!$AA$260="","",IF(Checks!$Z$260="","",CHAR(10))&amp;"CA: "&amp;Checks!$AA$260)</f>
        <v/>
      </c>
      <c r="G74" s="112" t="str">
        <f aca="false">IF(ISNUMBER(Checks!$AD$260),TEXT(Checks!$AD$260,"DD-MMM-YY HH:MM")&amp;" "&amp;Checks!$P$260,"")&amp;IF(Checks!$AE$260="","",CHAR(10)&amp;"Verifier: "&amp;Checks!$AE$260)&amp;IF(Checks!$T$260="","",CHAR(10)&amp;"PIC: "&amp;Checks!$T$260)</f>
        <v/>
      </c>
      <c r="H74" s="113" t="str">
        <f aca="false">IF(Checks!$AH$260="","",Checks!$AH$260)</f>
        <v>OPEN</v>
      </c>
    </row>
    <row r="75" customFormat="false" ht="114" hidden="false" customHeight="true" outlineLevel="0" collapsed="false">
      <c r="A75" s="112" t="str">
        <f aca="false">Checks!$A$261&amp;CHAR(10)&amp;IF(Checks!$I$261="","",Checks!$I$261&amp;": ")&amp;Checks!$J$261</f>
        <v>F07-UPL-17
Signature Drinks: Signature drink &amp; garnish (BC) - on board</v>
      </c>
      <c r="B75" s="112" t="str">
        <f aca="false">Checks!$K$261&amp;IF(Checks!$O$261="","",IF(Checks!$K$261="","",CHAR(10))&amp;"Note: "&amp;Checks!$O$261)</f>
        <v>Available (ticked in reference)
Note: Signature drinks &amp; garnish uplifted from KUL (note D79).</v>
      </c>
      <c r="C75" s="112" t="str">
        <f aca="false">Checks!$N$261&amp;CHAR(10)&amp;IF(ISNUMBER(Checks!$R$261),TEXT(Checks!$R$261,"DD-MMM-YY HH:MM"),"")&amp;" "&amp;Checks!$P$261</f>
        <v>Required
09-Oct-26 11:00 LHR</v>
      </c>
      <c r="D75" s="112" t="str">
        <f aca="false">IF(Checks!$U$261="","",Checks!$U$261)&amp;IF(Checks!$AB$261="","",CHAR(10)&amp;"CA: "&amp;Checks!$AB$261)</f>
        <v/>
      </c>
      <c r="E75" s="112" t="str">
        <f aca="false">IF(Checks!$V$261="","",Checks!$V$261)&amp;IF(Checks!$AC$261="","",IF(Checks!$V$261="","",CHAR(10))&amp;"N/A just.: "&amp;Checks!$AC$261)&amp;IF(Checks!$W$261="","",CHAR(10)&amp;"Batch: "&amp;Checks!$W$261)&amp;IF(AND(Checks!$X$261="",Checks!$Y$261=""),"",CHAR(10)&amp;"Exp: "&amp;Checks!$X$261&amp;"  /  Act: "&amp;Checks!$Y$261)</f>
        <v/>
      </c>
      <c r="F75" s="112" t="str">
        <f aca="false">IF(Checks!$Z$261="","","Evidence: "&amp;Checks!$Z$261)&amp;IF(Checks!$AA$261="","",IF(Checks!$Z$261="","",CHAR(10))&amp;"CA: "&amp;Checks!$AA$261)</f>
        <v/>
      </c>
      <c r="G75" s="112" t="str">
        <f aca="false">IF(ISNUMBER(Checks!$AD$261),TEXT(Checks!$AD$261,"DD-MMM-YY HH:MM")&amp;" "&amp;Checks!$P$261,"")&amp;IF(Checks!$AE$261="","",CHAR(10)&amp;"Verifier: "&amp;Checks!$AE$261)&amp;IF(Checks!$T$261="","",CHAR(10)&amp;"PIC: "&amp;Checks!$T$261)</f>
        <v/>
      </c>
      <c r="H75" s="113" t="str">
        <f aca="false">IF(Checks!$AH$261="","",Checks!$AH$261)</f>
        <v>OPEN</v>
      </c>
    </row>
    <row r="77" customFormat="false" ht="24" hidden="false" customHeight="true" outlineLevel="0" collapsed="false">
      <c r="A77" s="114" t="s">
        <v>1647</v>
      </c>
      <c r="B77" s="114"/>
      <c r="C77" s="114"/>
      <c r="D77" s="114"/>
      <c r="E77" s="114" t="s">
        <v>1648</v>
      </c>
      <c r="F77" s="114"/>
      <c r="G77" s="114"/>
      <c r="H77" s="114"/>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row r="83" customFormat="false" ht="21.75" hidden="false" customHeight="true" outlineLevel="0" collapsed="false">
      <c r="A83" s="115"/>
      <c r="B83" s="115"/>
      <c r="C83" s="115"/>
      <c r="D83" s="115"/>
      <c r="E83" s="115"/>
      <c r="F83" s="115"/>
      <c r="G83" s="115"/>
      <c r="H83" s="115"/>
    </row>
    <row r="84" customFormat="false" ht="21.75" hidden="false" customHeight="true" outlineLevel="0" collapsed="false">
      <c r="A84" s="115"/>
      <c r="B84" s="115"/>
      <c r="C84" s="115"/>
      <c r="D84" s="115"/>
      <c r="E84" s="115"/>
      <c r="F84" s="115"/>
      <c r="G84" s="115"/>
      <c r="H84" s="115"/>
    </row>
    <row r="85" customFormat="false" ht="21.75" hidden="false" customHeight="true" outlineLevel="0" collapsed="false">
      <c r="A85" s="115"/>
      <c r="B85" s="115"/>
      <c r="C85" s="115"/>
      <c r="D85" s="115"/>
      <c r="E85" s="115"/>
      <c r="F85" s="115"/>
      <c r="G85" s="115"/>
      <c r="H85" s="115"/>
    </row>
    <row r="86" customFormat="false" ht="21.75" hidden="false" customHeight="true" outlineLevel="0" collapsed="false">
      <c r="A86" s="115"/>
      <c r="B86" s="115"/>
      <c r="C86" s="115"/>
      <c r="D86" s="115"/>
      <c r="E86" s="115"/>
      <c r="F86" s="115"/>
      <c r="G86" s="115"/>
      <c r="H86" s="115"/>
    </row>
    <row r="87" customFormat="false" ht="21.75" hidden="false" customHeight="true" outlineLevel="0" collapsed="false">
      <c r="A87" s="115"/>
      <c r="B87" s="115"/>
      <c r="C87" s="115"/>
      <c r="D87" s="115"/>
      <c r="E87" s="115"/>
      <c r="F87" s="115"/>
      <c r="G87" s="115"/>
      <c r="H87" s="115"/>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75">
    <cfRule type="expression" priority="17" aboveAverage="0" equalAverage="0" bottom="0" percent="0" rank="0" text="" dxfId="34">
      <formula>LEFT($H24,3)="N/A"</formula>
    </cfRule>
  </conditionalFormatting>
  <conditionalFormatting sqref="D24:D7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F08  "&amp;Flights!$F$12&amp;"  "&amp;TEXT(Flights!$D$12,"DD-MMM-YY")&amp;" ("&amp;Flights!$E$12&amp;")  "&amp;Flights!$G$12&amp;" → "&amp;Flights!$H$12&amp;"  |  Class "&amp;Flights!$K$12</f>
        <v>SKYTRAX 2026 CATERING READINESS CHECKLIST  |  F08  MH0752  10-Oct-26 (SAT)  KUL → HAN  |  Class EY</v>
      </c>
      <c r="B1" s="90"/>
      <c r="C1" s="90"/>
      <c r="D1" s="90"/>
      <c r="E1" s="90"/>
      <c r="F1" s="90"/>
      <c r="G1" s="90"/>
      <c r="H1" s="90"/>
    </row>
    <row r="2" customFormat="false" ht="12.75" hidden="false" customHeight="true" outlineLevel="0" collapsed="false">
      <c r="A2" s="91" t="s">
        <v>1602</v>
      </c>
      <c r="B2" s="92" t="str">
        <f aca="false">Flights!$F$12&amp;"   "&amp;TEXT(Flights!$D$12,"DD-MMM-YY")&amp;" ("&amp;Flights!$E$12&amp;")"</f>
        <v>MH0752   10-Oct-26 (SAT)</v>
      </c>
      <c r="C2" s="92"/>
      <c r="D2" s="92"/>
      <c r="E2" s="93" t="s">
        <v>1603</v>
      </c>
      <c r="F2" s="94" t="str">
        <f aca="false">Flights!$AT$12</f>
        <v>NOT READY – DOCUMENTS</v>
      </c>
      <c r="G2" s="94"/>
      <c r="H2" s="94"/>
    </row>
    <row r="3" customFormat="false" ht="24" hidden="false" customHeight="true" outlineLevel="0" collapsed="false">
      <c r="A3" s="91" t="s">
        <v>1604</v>
      </c>
      <c r="B3" s="92" t="str">
        <f aca="false">Flights!$G$12&amp;" → "&amp;Flights!$H$12&amp;"   Class "&amp;Flights!$K$12&amp;"   Seat "&amp;Flights!$O$12</f>
        <v>KUL → HAN   Class EY   Seat 4A</v>
      </c>
      <c r="C3" s="92"/>
      <c r="D3" s="92"/>
      <c r="E3" s="93" t="s">
        <v>66</v>
      </c>
      <c r="F3" s="93" t="s">
        <v>1605</v>
      </c>
      <c r="G3" s="93" t="s">
        <v>1606</v>
      </c>
      <c r="H3" s="93"/>
    </row>
    <row r="4" customFormat="false" ht="24" hidden="false" customHeight="true" outlineLevel="0" collapsed="false">
      <c r="A4" s="91" t="s">
        <v>1607</v>
      </c>
      <c r="B4" s="92" t="str">
        <f aca="false">IF(ISNUMBER(Flights!$I$12),TEXT(Flights!$I$12,"DD-MMM-YY HH:MM"),"")&amp;" "&amp;Flights!$G$12&amp;"  →  "&amp;IF(ISNUMBER(Flights!$J$12),TEXT(Flights!$J$12,"DD-MMM-YY HH:MM"),"")&amp;" "&amp;Flights!$H$12</f>
        <v>10-Oct-26 09:35 KUL  →  10-Oct-26 12:15 HAN</v>
      </c>
      <c r="C4" s="92"/>
      <c r="D4" s="92"/>
      <c r="E4" s="91" t="s">
        <v>1608</v>
      </c>
      <c r="F4" s="95" t="str">
        <f aca="false">IF(ISNUMBER(Flights!$AG$12),TEXT(Flights!$AG$12,"DD-MMM-YY HH:MM"),"")&amp;" "&amp;Flights!$V$12</f>
        <v>03-Oct-26 09:35 KUL</v>
      </c>
      <c r="G4" s="96" t="n">
        <f aca="false">Flights!$AJ$12</f>
        <v>0</v>
      </c>
      <c r="H4" s="96"/>
    </row>
    <row r="5" customFormat="false" ht="24" hidden="false" customHeight="true" outlineLevel="0" collapsed="false">
      <c r="A5" s="91" t="s">
        <v>1609</v>
      </c>
      <c r="B5" s="92" t="str">
        <f aca="false">Flights!$L$12&amp;" – "&amp;Flights!$M$12</f>
        <v>B738MAX – B737-8 (B7M8)</v>
      </c>
      <c r="C5" s="92"/>
      <c r="D5" s="92"/>
      <c r="E5" s="91" t="s">
        <v>1610</v>
      </c>
      <c r="F5" s="95" t="str">
        <f aca="false">IF(ISNUMBER(Flights!$AH$12),TEXT(Flights!$AH$12,"DD-MMM-YY HH:MM"),"")&amp;" "&amp;Flights!$V$12</f>
        <v>09-Oct-26 09:35 KUL</v>
      </c>
      <c r="G5" s="96" t="n">
        <f aca="false">Flights!$AK$12</f>
        <v>0</v>
      </c>
      <c r="H5" s="96"/>
    </row>
    <row r="6" customFormat="false" ht="24" hidden="false" customHeight="true" outlineLevel="0" collapsed="false">
      <c r="A6" s="91" t="s">
        <v>1611</v>
      </c>
      <c r="B6" s="92" t="str">
        <f aca="false">IF(TRIM(Flights!$N$12)="","__________________",Flights!$N$12)</f>
        <v>__________________</v>
      </c>
      <c r="C6" s="92"/>
      <c r="D6" s="92"/>
      <c r="E6" s="91" t="s">
        <v>1612</v>
      </c>
      <c r="F6" s="95" t="str">
        <f aca="false">IF(ISNUMBER(Flights!$AI$12),TEXT(Flights!$AI$12,"DD-MMM-YY HH:MM"),"")&amp;" "&amp;Flights!$V$12&amp;IF(Flights!$AI$12=Flights!$AH$12,"  (= T-24H due)","")</f>
        <v>09-Oct-26 21:35 KUL</v>
      </c>
      <c r="G6" s="96" t="n">
        <f aca="false">Flights!$AL$12</f>
        <v>0</v>
      </c>
      <c r="H6" s="96"/>
    </row>
    <row r="7" customFormat="false" ht="24" hidden="false" customHeight="true" outlineLevel="0" collapsed="false">
      <c r="A7" s="91" t="s">
        <v>1613</v>
      </c>
      <c r="B7" s="92" t="str">
        <f aca="false">Flights!$T$12</f>
        <v>1 Meal (Meal)</v>
      </c>
      <c r="C7" s="92"/>
      <c r="D7" s="92"/>
      <c r="E7" s="91" t="s">
        <v>1614</v>
      </c>
      <c r="F7" s="95" t="str">
        <f aca="false">"STD "&amp;IF(ISNUMBER(Flights!$I$12),TEXT(Flights!$I$12,"DD-MMM-YY HH:MM"),"")&amp;" "&amp;Flights!$G$12&amp;" (dep stn)"</f>
        <v>STD 10-Oct-26 09:35 KUL (dep stn)</v>
      </c>
      <c r="G7" s="96" t="n">
        <f aca="false">Flights!$AM$12</f>
        <v>0</v>
      </c>
      <c r="H7" s="96"/>
    </row>
    <row r="8" customFormat="false" ht="12.75" hidden="false" customHeight="true" outlineLevel="0" collapsed="false">
      <c r="A8" s="91" t="s">
        <v>148</v>
      </c>
      <c r="B8" s="92" t="str">
        <f aca="false">Flights!$V$12&amp;"   (reference uplift stns: "&amp;Flights!$U$12&amp;")"</f>
        <v>KUL   (reference uplift stns: KUL/HAN)</v>
      </c>
      <c r="C8" s="92"/>
      <c r="D8" s="92"/>
      <c r="E8" s="91" t="s">
        <v>1615</v>
      </c>
      <c r="F8" s="97" t="s">
        <v>1616</v>
      </c>
      <c r="G8" s="96" t="n">
        <f aca="false">Flights!$AN$12</f>
        <v>0</v>
      </c>
      <c r="H8" s="96"/>
    </row>
    <row r="9" customFormat="false" ht="12.75" hidden="false" customHeight="true" outlineLevel="0" collapsed="false">
      <c r="A9" s="91" t="s">
        <v>1617</v>
      </c>
      <c r="B9" s="92" t="str">
        <f aca="false">TRIM(Flights!$P$12&amp;"  "&amp;Flights!$Q$12)</f>
        <v>2H 50M Overnight HAN</v>
      </c>
      <c r="C9" s="92"/>
      <c r="D9" s="92"/>
      <c r="E9" s="91" t="s">
        <v>1618</v>
      </c>
      <c r="F9" s="98" t="n">
        <f aca="false">Flights!$AP$12</f>
        <v>0</v>
      </c>
      <c r="G9" s="98" t="n">
        <f aca="false">Flights!$AQ$12</f>
        <v>0</v>
      </c>
      <c r="H9" s="98" t="n">
        <f aca="false">Flights!$AU$12</f>
        <v>0</v>
      </c>
    </row>
    <row r="10" customFormat="false" ht="24" hidden="false" customHeight="true" outlineLevel="0" collapsed="false">
      <c r="A10" s="91" t="s">
        <v>1619</v>
      </c>
      <c r="B10" s="92" t="str">
        <f aca="false">IF(TRIM(Flights!$X$12)="","__________________",Flights!$X$12)</f>
        <v>__________________</v>
      </c>
      <c r="C10" s="92"/>
      <c r="D10" s="92"/>
      <c r="E10" s="91" t="s">
        <v>1620</v>
      </c>
      <c r="F10" s="98" t="n">
        <f aca="false">Flights!$AO$12</f>
        <v>20</v>
      </c>
      <c r="G10" s="98" t="n">
        <f aca="false">Flights!$AS$12</f>
        <v>0</v>
      </c>
      <c r="H10" s="98" t="n">
        <f aca="false">Flights!$AR$12</f>
        <v>2</v>
      </c>
    </row>
    <row r="11" customFormat="false" ht="21" hidden="false" customHeight="true" outlineLevel="0" collapsed="false">
      <c r="A11" s="91" t="s">
        <v>1621</v>
      </c>
      <c r="B11" s="92" t="str">
        <f aca="false">IF(TRIM(Flights!$Y$12)="","__________________",Flights!$Y$12)</f>
        <v>__________________</v>
      </c>
      <c r="C11" s="92"/>
      <c r="D11" s="92"/>
      <c r="E11" s="91" t="s">
        <v>1622</v>
      </c>
      <c r="F11" s="98" t="str">
        <f aca="false">Flights!$AV$12&amp;" / "&amp;Flights!$AW$12</f>
        <v>0 / 20</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IF(Documents!$F$12="","",Documents!$F$12)</f>
        <v/>
      </c>
      <c r="C14" s="97" t="str">
        <f aca="false">IF(Documents!$G$12="","",Documents!$G$12)&amp;IF(ISNUMBER(Documents!$H$12),"  "&amp;TEXT(Documents!$H$12,"DD-MMM-YY"),"")</f>
        <v/>
      </c>
      <c r="D14" s="97"/>
      <c r="E14" s="105" t="str">
        <f aca="false">IF(Documents!$J$12="OUTSTANDING","OUTSTANDING – attach before T-7D (due "&amp;IF(ISNUMBER(Flights!$AG$12),TEXT(Flights!$AG$12,"DD-MMM-YY HH:MM"),"")&amp;" "&amp;Flights!$V$12&amp;")",IF(Documents!$J$12="","Status not recorded",Documents!$J$12))</f>
        <v>OUTSTANDING – attach before T-7D (due 03-Oct-26 09:35 KUL)</v>
      </c>
      <c r="F14" s="106" t="str">
        <f aca="false">"Staple behind this sheet as page A1."&amp;IF(Documents!$I$12="",""," Location: "&amp;Documents!$I$12)</f>
        <v>Staple behind this sheet as page A1.</v>
      </c>
      <c r="G14" s="106"/>
      <c r="H14" s="106"/>
    </row>
    <row r="15" customFormat="false" ht="36" hidden="false" customHeight="true" outlineLevel="0" collapsed="false">
      <c r="A15" s="91" t="s">
        <v>1633</v>
      </c>
      <c r="B15" s="92" t="str">
        <f aca="false">IF(Documents!$K$12="","",Documents!$K$12)</f>
        <v/>
      </c>
      <c r="C15" s="97" t="str">
        <f aca="false">IF(Documents!$L$12="","",Documents!$L$12)&amp;IF(ISNUMBER(Documents!$M$12),"  "&amp;TEXT(Documents!$M$12,"DD-MMM-YY"),"")</f>
        <v/>
      </c>
      <c r="D15" s="97"/>
      <c r="E15" s="105" t="str">
        <f aca="false">IF(Documents!$O$12="OUTSTANDING","OUTSTANDING – attach before T-7D (due "&amp;IF(ISNUMBER(Flights!$AG$12),TEXT(Flights!$AG$12,"DD-MMM-YY HH:MM"),"")&amp;" "&amp;Flights!$V$12&amp;")",IF(Documents!$O$12="","Status not recorded",Documents!$O$12))</f>
        <v>OUTSTANDING – attach before T-7D (due 03-Oct-26 09:35 KUL)</v>
      </c>
      <c r="F15" s="106" t="str">
        <f aca="false">"Staple behind this sheet as page A2."&amp;IF(Documents!$N$12="",""," Location: "&amp;Documents!$N$12)</f>
        <v>Staple behind this sheet as page A2.</v>
      </c>
      <c r="G15" s="106"/>
      <c r="H15" s="106"/>
    </row>
    <row r="16" customFormat="false" ht="22.5" hidden="false" customHeight="true" outlineLevel="0" collapsed="false">
      <c r="A16" s="91" t="s">
        <v>1634</v>
      </c>
      <c r="B16" s="107" t="str">
        <f aca="false">IF(Documents!$Q$12="","",Documents!$Q$12)</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"&amp;IF(TRIM(Flights!$Y$12)="","__________________",Flights!$Y$12)</f>
        <v>Name: __________________</v>
      </c>
      <c r="B18" s="92"/>
      <c r="C18" s="92" t="str">
        <f aca="false">"Name: __________________"</f>
        <v>Name: __________________</v>
      </c>
      <c r="D18" s="92"/>
      <c r="E18" s="92"/>
      <c r="F18" s="92" t="str">
        <f aca="false">"Name: __________________"&amp;"   Station: "&amp;Flights!$V$12</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Checks!$A$262&amp;CHAR(10)&amp;IF(Checks!$I$262="","",Checks!$I$262&amp;": ")&amp;Checks!$J$262</f>
        <v>F08-T7-01
Meal: Meal sensory testing completed for this flight's menu cycle (assessed class)</v>
      </c>
      <c r="B23" s="112" t="str">
        <f aca="false">Checks!$K$262&amp;IF(Checks!$O$262="","",IF(Checks!$K$262="","",CHAR(10))&amp;"Note: "&amp;Checks!$O$262)</f>
        <v>Record panel result / score in Result</v>
      </c>
      <c r="C23" s="112" t="str">
        <f aca="false">Checks!$N$262&amp;CHAR(10)&amp;IF(ISNUMBER(Checks!$R$262),TEXT(Checks!$R$262,"DD-MMM-YY HH:MM"),"")&amp;" "&amp;Checks!$P$262</f>
        <v>Required
03-Oct-26 09:35 KUL</v>
      </c>
      <c r="D23" s="112" t="str">
        <f aca="false">IF(Checks!$U$262="","",Checks!$U$262)&amp;IF(Checks!$AB$262="","",CHAR(10)&amp;"CA: "&amp;Checks!$AB$262)</f>
        <v/>
      </c>
      <c r="E23" s="112" t="str">
        <f aca="false">IF(Checks!$V$262="","",Checks!$V$262)&amp;IF(Checks!$AC$262="","",IF(Checks!$V$262="","",CHAR(10))&amp;"N/A just.: "&amp;Checks!$AC$262)&amp;IF(Checks!$W$262="","",CHAR(10)&amp;"Batch: "&amp;Checks!$W$262)&amp;IF(AND(Checks!$X$262="",Checks!$Y$262=""),"",CHAR(10)&amp;"Exp: "&amp;Checks!$X$262&amp;"  /  Act: "&amp;Checks!$Y$262)</f>
        <v/>
      </c>
      <c r="F23" s="112" t="str">
        <f aca="false">IF(Checks!$Z$262="","","Evidence: "&amp;Checks!$Z$262)&amp;IF(Checks!$AA$262="","",IF(Checks!$Z$262="","",CHAR(10))&amp;"CA: "&amp;Checks!$AA$262)</f>
        <v/>
      </c>
      <c r="G23" s="112" t="str">
        <f aca="false">IF(ISNUMBER(Checks!$AD$262),TEXT(Checks!$AD$262,"DD-MMM-YY HH:MM")&amp;" "&amp;Checks!$P$262,"")&amp;IF(Checks!$AE$262="","",CHAR(10)&amp;"Verifier: "&amp;Checks!$AE$262)&amp;IF(Checks!$T$262="","",CHAR(10)&amp;"PIC: "&amp;Checks!$T$262)</f>
        <v/>
      </c>
      <c r="H23" s="113" t="str">
        <f aca="false">IF(Checks!$AH$262="","",Checks!$AH$262)</f>
        <v>OPEN</v>
      </c>
    </row>
    <row r="24" customFormat="false" ht="114" hidden="false" customHeight="true" outlineLevel="0" collapsed="false">
      <c r="A24" s="112" t="str">
        <f aca="false">Checks!$A$263&amp;CHAR(10)&amp;IF(Checks!$I$263="","",Checks!$I$263&amp;": ")&amp;Checks!$J$263</f>
        <v>F08-T7-02
Menu: Printed menu cards confirmed (content, cycle, language, quantity)</v>
      </c>
      <c r="B24" s="112" t="str">
        <f aca="false">Checks!$K$263&amp;IF(Checks!$O$263="","",IF(Checks!$K$263="","",CHAR(10))&amp;"Note: "&amp;Checks!$O$263)</f>
        <v>Menu card matches approved menu for this flight</v>
      </c>
      <c r="C24" s="112" t="str">
        <f aca="false">Checks!$N$263&amp;CHAR(10)&amp;IF(ISNUMBER(Checks!$R$263),TEXT(Checks!$R$263,"DD-MMM-YY HH:MM"),"")&amp;" "&amp;Checks!$P$263</f>
        <v>Required
03-Oct-26 09:35 KUL</v>
      </c>
      <c r="D24" s="112" t="str">
        <f aca="false">IF(Checks!$U$263="","",Checks!$U$263)&amp;IF(Checks!$AB$263="","",CHAR(10)&amp;"CA: "&amp;Checks!$AB$263)</f>
        <v/>
      </c>
      <c r="E24" s="112" t="str">
        <f aca="false">IF(Checks!$V$263="","",Checks!$V$263)&amp;IF(Checks!$AC$263="","",IF(Checks!$V$263="","",CHAR(10))&amp;"N/A just.: "&amp;Checks!$AC$263)&amp;IF(Checks!$W$263="","",CHAR(10)&amp;"Batch: "&amp;Checks!$W$263)&amp;IF(AND(Checks!$X$263="",Checks!$Y$263=""),"",CHAR(10)&amp;"Exp: "&amp;Checks!$X$263&amp;"  /  Act: "&amp;Checks!$Y$263)</f>
        <v/>
      </c>
      <c r="F24" s="112" t="str">
        <f aca="false">IF(Checks!$Z$263="","","Evidence: "&amp;Checks!$Z$263)&amp;IF(Checks!$AA$263="","",IF(Checks!$Z$263="","",CHAR(10))&amp;"CA: "&amp;Checks!$AA$263)</f>
        <v/>
      </c>
      <c r="G24" s="112" t="str">
        <f aca="false">IF(ISNUMBER(Checks!$AD$263),TEXT(Checks!$AD$263,"DD-MMM-YY HH:MM")&amp;" "&amp;Checks!$P$263,"")&amp;IF(Checks!$AE$263="","",CHAR(10)&amp;"Verifier: "&amp;Checks!$AE$263)&amp;IF(Checks!$T$263="","",CHAR(10)&amp;"PIC: "&amp;Checks!$T$263)</f>
        <v/>
      </c>
      <c r="H24" s="113" t="str">
        <f aca="false">IF(Checks!$AH$263="","",Checks!$AH$263)</f>
        <v>OPEN</v>
      </c>
    </row>
    <row r="25" customFormat="false" ht="114" hidden="false" customHeight="true" outlineLevel="0" collapsed="false">
      <c r="A25" s="112" t="str">
        <f aca="false">Checks!$A$264&amp;CHAR(10)&amp;IF(Checks!$I$264="","",Checks!$I$264&amp;": ")&amp;Checks!$J$264</f>
        <v>F08-T7-03
IFE: Digital menu in IFE confirmed (A339 only)</v>
      </c>
      <c r="B25" s="112" t="str">
        <f aca="false">Checks!$K$264&amp;IF(Checks!$O$264="","",IF(Checks!$K$264="","",CHAR(10))&amp;"Note: "&amp;Checks!$O$264)</f>
        <v>Applies when fleet = A339
Note: Digital IFE menu applies to A339 only (user brief). Applicability follows the Fleet cell on Flights.</v>
      </c>
      <c r="C25" s="112" t="str">
        <f aca="false">Checks!$N$264&amp;CHAR(10)&amp;IF(ISNUMBER(Checks!$R$264),TEXT(Checks!$R$264,"DD-MMM-YY HH:MM"),"")&amp;" "&amp;Checks!$P$264</f>
        <v>N/A – rule
03-Oct-26 09:35 KUL</v>
      </c>
      <c r="D25" s="112" t="str">
        <f aca="false">IF(Checks!$U$264="","",Checks!$U$264)&amp;IF(Checks!$AB$264="","",CHAR(10)&amp;"CA: "&amp;Checks!$AB$264)</f>
        <v/>
      </c>
      <c r="E25" s="112" t="str">
        <f aca="false">IF(Checks!$V$264="","",Checks!$V$264)&amp;IF(Checks!$AC$264="","",IF(Checks!$V$264="","",CHAR(10))&amp;"N/A just.: "&amp;Checks!$AC$264)&amp;IF(Checks!$W$264="","",CHAR(10)&amp;"Batch: "&amp;Checks!$W$264)&amp;IF(AND(Checks!$X$264="",Checks!$Y$264=""),"",CHAR(10)&amp;"Exp: "&amp;Checks!$X$264&amp;"  /  Act: "&amp;Checks!$Y$264)</f>
        <v/>
      </c>
      <c r="F25" s="112" t="str">
        <f aca="false">IF(Checks!$Z$264="","","Evidence: "&amp;Checks!$Z$264)&amp;IF(Checks!$AA$264="","",IF(Checks!$Z$264="","",CHAR(10))&amp;"CA: "&amp;Checks!$AA$264)</f>
        <v/>
      </c>
      <c r="G25" s="112" t="str">
        <f aca="false">IF(ISNUMBER(Checks!$AD$264),TEXT(Checks!$AD$264,"DD-MMM-YY HH:MM")&amp;" "&amp;Checks!$P$264,"")&amp;IF(Checks!$AE$264="","",CHAR(10)&amp;"Verifier: "&amp;Checks!$AE$264)&amp;IF(Checks!$T$264="","",CHAR(10)&amp;"PIC: "&amp;Checks!$T$264)</f>
        <v/>
      </c>
      <c r="H25" s="113" t="str">
        <f aca="false">IF(Checks!$AH$264="","",Checks!$AH$264)</f>
        <v>N/A – RULE</v>
      </c>
    </row>
    <row r="26" customFormat="false" ht="114" hidden="false" customHeight="true" outlineLevel="0" collapsed="false">
      <c r="A26" s="112" t="str">
        <f aca="false">Checks!$A$265&amp;CHAR(10)&amp;IF(Checks!$I$265="","",Checks!$I$265&amp;": ")&amp;Checks!$J$265</f>
        <v>F08-T7-04
Staffing: Experienced catering officer assigned to this flight</v>
      </c>
      <c r="B26" s="112" t="str">
        <f aca="false">Checks!$K$265&amp;IF(Checks!$O$265="","",IF(Checks!$K$265="","",CHAR(10))&amp;"Note: "&amp;Checks!$O$265)</f>
        <v>Record officer name in Result</v>
      </c>
      <c r="C26" s="112" t="str">
        <f aca="false">Checks!$N$265&amp;CHAR(10)&amp;IF(ISNUMBER(Checks!$R$265),TEXT(Checks!$R$265,"DD-MMM-YY HH:MM"),"")&amp;" "&amp;Checks!$P$265</f>
        <v>Required
03-Oct-26 09:35 KUL</v>
      </c>
      <c r="D26" s="112" t="str">
        <f aca="false">IF(Checks!$U$265="","",Checks!$U$265)&amp;IF(Checks!$AB$265="","",CHAR(10)&amp;"CA: "&amp;Checks!$AB$265)</f>
        <v/>
      </c>
      <c r="E26" s="112" t="str">
        <f aca="false">IF(Checks!$V$265="","",Checks!$V$265)&amp;IF(Checks!$AC$265="","",IF(Checks!$V$265="","",CHAR(10))&amp;"N/A just.: "&amp;Checks!$AC$265)&amp;IF(Checks!$W$265="","",CHAR(10)&amp;"Batch: "&amp;Checks!$W$265)&amp;IF(AND(Checks!$X$265="",Checks!$Y$265=""),"",CHAR(10)&amp;"Exp: "&amp;Checks!$X$265&amp;"  /  Act: "&amp;Checks!$Y$265)</f>
        <v/>
      </c>
      <c r="F26" s="112" t="str">
        <f aca="false">IF(Checks!$Z$265="","","Evidence: "&amp;Checks!$Z$265)&amp;IF(Checks!$AA$265="","",IF(Checks!$Z$265="","",CHAR(10))&amp;"CA: "&amp;Checks!$AA$265)</f>
        <v/>
      </c>
      <c r="G26" s="112" t="str">
        <f aca="false">IF(ISNUMBER(Checks!$AD$265),TEXT(Checks!$AD$265,"DD-MMM-YY HH:MM")&amp;" "&amp;Checks!$P$265,"")&amp;IF(Checks!$AE$265="","",CHAR(10)&amp;"Verifier: "&amp;Checks!$AE$265)&amp;IF(Checks!$T$265="","",CHAR(10)&amp;"PIC: "&amp;Checks!$T$265)</f>
        <v/>
      </c>
      <c r="H26" s="113" t="str">
        <f aca="false">IF(Checks!$AH$265="","",Checks!$AH$265)</f>
        <v>OPEN</v>
      </c>
    </row>
    <row r="27" customFormat="false" ht="114" hidden="false" customHeight="true" outlineLevel="0" collapsed="false">
      <c r="A27" s="112" t="str">
        <f aca="false">Checks!$A$266&amp;CHAR(10)&amp;IF(Checks!$I$266="","",Checks!$I$266&amp;": ")&amp;Checks!$J$266</f>
        <v>F08-T7-05
ISOP: All latest applicable ISOP revisions communicated to caterer</v>
      </c>
      <c r="B27" s="112" t="str">
        <f aca="false">Checks!$K$266&amp;IF(Checks!$O$266="","",IF(Checks!$K$266="","",CHAR(10))&amp;"Note: "&amp;Checks!$O$266)</f>
        <v>List revision numbers in Result (see ISOP register)</v>
      </c>
      <c r="C27" s="112" t="str">
        <f aca="false">Checks!$N$266&amp;CHAR(10)&amp;IF(ISNUMBER(Checks!$R$266),TEXT(Checks!$R$266,"DD-MMM-YY HH:MM"),"")&amp;" "&amp;Checks!$P$266</f>
        <v>Required
03-Oct-26 09:35 KUL</v>
      </c>
      <c r="D27" s="112" t="str">
        <f aca="false">IF(Checks!$U$266="","",Checks!$U$266)&amp;IF(Checks!$AB$266="","",CHAR(10)&amp;"CA: "&amp;Checks!$AB$266)</f>
        <v/>
      </c>
      <c r="E27" s="112" t="str">
        <f aca="false">IF(Checks!$V$266="","",Checks!$V$266)&amp;IF(Checks!$AC$266="","",IF(Checks!$V$266="","",CHAR(10))&amp;"N/A just.: "&amp;Checks!$AC$266)&amp;IF(Checks!$W$266="","",CHAR(10)&amp;"Batch: "&amp;Checks!$W$266)&amp;IF(AND(Checks!$X$266="",Checks!$Y$266=""),"",CHAR(10)&amp;"Exp: "&amp;Checks!$X$266&amp;"  /  Act: "&amp;Checks!$Y$266)</f>
        <v/>
      </c>
      <c r="F27" s="112" t="str">
        <f aca="false">IF(Checks!$Z$266="","","Evidence: "&amp;Checks!$Z$266)&amp;IF(Checks!$AA$266="","",IF(Checks!$Z$266="","",CHAR(10))&amp;"CA: "&amp;Checks!$AA$266)</f>
        <v/>
      </c>
      <c r="G27" s="112" t="str">
        <f aca="false">IF(ISNUMBER(Checks!$AD$266),TEXT(Checks!$AD$266,"DD-MMM-YY HH:MM")&amp;" "&amp;Checks!$P$266,"")&amp;IF(Checks!$AE$266="","",CHAR(10)&amp;"Verifier: "&amp;Checks!$AE$266)&amp;IF(Checks!$T$266="","",CHAR(10)&amp;"PIC: "&amp;Checks!$T$266)</f>
        <v/>
      </c>
      <c r="H27" s="113" t="str">
        <f aca="false">IF(Checks!$AH$266="","",Checks!$AH$266)</f>
        <v>OPEN</v>
      </c>
    </row>
    <row r="28" customFormat="false" ht="114" hidden="false" customHeight="true" outlineLevel="0" collapsed="false">
      <c r="A28" s="112" t="str">
        <f aca="false">Checks!$A$267&amp;CHAR(10)&amp;IF(Checks!$I$267="","",Checks!$I$267&amp;": ")&amp;Checks!$J$267</f>
        <v>F08-T7-06
ISOP: Caterer acknowledgement of ISOP revisions recorded</v>
      </c>
      <c r="B28" s="112" t="str">
        <f aca="false">Checks!$K$267&amp;IF(Checks!$O$267="","",IF(Checks!$K$267="","",CHAR(10))&amp;"Note: "&amp;Checks!$O$267)</f>
        <v>Record acknowledgement ref in Evidence</v>
      </c>
      <c r="C28" s="112" t="str">
        <f aca="false">Checks!$N$267&amp;CHAR(10)&amp;IF(ISNUMBER(Checks!$R$267),TEXT(Checks!$R$267,"DD-MMM-YY HH:MM"),"")&amp;" "&amp;Checks!$P$267</f>
        <v>Required
03-Oct-26 09:35 KUL</v>
      </c>
      <c r="D28" s="112" t="str">
        <f aca="false">IF(Checks!$U$267="","",Checks!$U$267)&amp;IF(Checks!$AB$267="","",CHAR(10)&amp;"CA: "&amp;Checks!$AB$267)</f>
        <v/>
      </c>
      <c r="E28" s="112" t="str">
        <f aca="false">IF(Checks!$V$267="","",Checks!$V$267)&amp;IF(Checks!$AC$267="","",IF(Checks!$V$267="","",CHAR(10))&amp;"N/A just.: "&amp;Checks!$AC$267)&amp;IF(Checks!$W$267="","",CHAR(10)&amp;"Batch: "&amp;Checks!$W$267)&amp;IF(AND(Checks!$X$267="",Checks!$Y$267=""),"",CHAR(10)&amp;"Exp: "&amp;Checks!$X$267&amp;"  /  Act: "&amp;Checks!$Y$267)</f>
        <v/>
      </c>
      <c r="F28" s="112" t="str">
        <f aca="false">IF(Checks!$Z$267="","","Evidence: "&amp;Checks!$Z$267)&amp;IF(Checks!$AA$267="","",IF(Checks!$Z$267="","",CHAR(10))&amp;"CA: "&amp;Checks!$AA$267)</f>
        <v/>
      </c>
      <c r="G28" s="112" t="str">
        <f aca="false">IF(ISNUMBER(Checks!$AD$267),TEXT(Checks!$AD$267,"DD-MMM-YY HH:MM")&amp;" "&amp;Checks!$P$267,"")&amp;IF(Checks!$AE$267="","",CHAR(10)&amp;"Verifier: "&amp;Checks!$AE$267)&amp;IF(Checks!$T$267="","",CHAR(10)&amp;"PIC: "&amp;Checks!$T$267)</f>
        <v/>
      </c>
      <c r="H28" s="113" t="str">
        <f aca="false">IF(Checks!$AH$267="","",Checks!$AH$267)</f>
        <v>OPEN</v>
      </c>
    </row>
    <row r="29" customFormat="false" ht="114" hidden="false" customHeight="true" outlineLevel="0" collapsed="false">
      <c r="A29" s="112" t="str">
        <f aca="false">Checks!$A$268&amp;CHAR(10)&amp;IF(Checks!$I$268="","",Checks!$I$268&amp;": ")&amp;Checks!$J$268</f>
        <v>F08-T7-07
Documents: Galley loading diagram (GLD) received, revision recorded &amp; attached</v>
      </c>
      <c r="B29" s="112" t="str">
        <f aca="false">Checks!$K$268&amp;IF(Checks!$O$268="","",IF(Checks!$K$268="","",CHAR(10))&amp;"Note: "&amp;Checks!$O$268)</f>
        <v>Documents sheet row complete</v>
      </c>
      <c r="C29" s="112" t="str">
        <f aca="false">Checks!$N$268&amp;CHAR(10)&amp;IF(ISNUMBER(Checks!$R$268),TEXT(Checks!$R$268,"DD-MMM-YY HH:MM"),"")&amp;" "&amp;Checks!$P$268</f>
        <v>Required
03-Oct-26 09:35 KUL</v>
      </c>
      <c r="D29" s="112" t="str">
        <f aca="false">IF(Checks!$U$268="","",Checks!$U$268)&amp;IF(Checks!$AB$268="","",CHAR(10)&amp;"CA: "&amp;Checks!$AB$268)</f>
        <v/>
      </c>
      <c r="E29" s="112" t="str">
        <f aca="false">IF(Checks!$V$268="","",Checks!$V$268)&amp;IF(Checks!$AC$268="","",IF(Checks!$V$268="","",CHAR(10))&amp;"N/A just.: "&amp;Checks!$AC$268)&amp;IF(Checks!$W$268="","",CHAR(10)&amp;"Batch: "&amp;Checks!$W$268)&amp;IF(AND(Checks!$X$268="",Checks!$Y$268=""),"",CHAR(10)&amp;"Exp: "&amp;Checks!$X$268&amp;"  /  Act: "&amp;Checks!$Y$268)</f>
        <v/>
      </c>
      <c r="F29" s="112" t="str">
        <f aca="false">IF(Checks!$Z$268="","","Evidence: "&amp;Checks!$Z$268)&amp;IF(Checks!$AA$268="","",IF(Checks!$Z$268="","",CHAR(10))&amp;"CA: "&amp;Checks!$AA$268)</f>
        <v/>
      </c>
      <c r="G29" s="112" t="str">
        <f aca="false">IF(ISNUMBER(Checks!$AD$268),TEXT(Checks!$AD$268,"DD-MMM-YY HH:MM")&amp;" "&amp;Checks!$P$268,"")&amp;IF(Checks!$AE$268="","",CHAR(10)&amp;"Verifier: "&amp;Checks!$AE$268)&amp;IF(Checks!$T$268="","",CHAR(10)&amp;"PIC: "&amp;Checks!$T$268)</f>
        <v/>
      </c>
      <c r="H29" s="113" t="str">
        <f aca="false">IF(Checks!$AH$268="","",Checks!$AH$268)</f>
        <v>OPEN</v>
      </c>
    </row>
    <row r="30" customFormat="false" ht="114" hidden="false" customHeight="true" outlineLevel="0" collapsed="false">
      <c r="A30" s="112" t="str">
        <f aca="false">Checks!$A$269&amp;CHAR(10)&amp;IF(Checks!$I$269="","",Checks!$I$269&amp;": ")&amp;Checks!$J$269</f>
        <v>F08-T7-08
Documents: Menu checklist received, revision recorded &amp; attached</v>
      </c>
      <c r="B30" s="112" t="str">
        <f aca="false">Checks!$K$269&amp;IF(Checks!$O$269="","",IF(Checks!$K$269="","",CHAR(10))&amp;"Note: "&amp;Checks!$O$269)</f>
        <v>Documents sheet row complete</v>
      </c>
      <c r="C30" s="112" t="str">
        <f aca="false">Checks!$N$269&amp;CHAR(10)&amp;IF(ISNUMBER(Checks!$R$269),TEXT(Checks!$R$269,"DD-MMM-YY HH:MM"),"")&amp;" "&amp;Checks!$P$269</f>
        <v>Required
03-Oct-26 09:35 KUL</v>
      </c>
      <c r="D30" s="112" t="str">
        <f aca="false">IF(Checks!$U$269="","",Checks!$U$269)&amp;IF(Checks!$AB$269="","",CHAR(10)&amp;"CA: "&amp;Checks!$AB$269)</f>
        <v/>
      </c>
      <c r="E30" s="112" t="str">
        <f aca="false">IF(Checks!$V$269="","",Checks!$V$269)&amp;IF(Checks!$AC$269="","",IF(Checks!$V$269="","",CHAR(10))&amp;"N/A just.: "&amp;Checks!$AC$269)&amp;IF(Checks!$W$269="","",CHAR(10)&amp;"Batch: "&amp;Checks!$W$269)&amp;IF(AND(Checks!$X$269="",Checks!$Y$269=""),"",CHAR(10)&amp;"Exp: "&amp;Checks!$X$269&amp;"  /  Act: "&amp;Checks!$Y$269)</f>
        <v/>
      </c>
      <c r="F30" s="112" t="str">
        <f aca="false">IF(Checks!$Z$269="","","Evidence: "&amp;Checks!$Z$269)&amp;IF(Checks!$AA$269="","",IF(Checks!$Z$269="","",CHAR(10))&amp;"CA: "&amp;Checks!$AA$269)</f>
        <v/>
      </c>
      <c r="G30" s="112" t="str">
        <f aca="false">IF(ISNUMBER(Checks!$AD$269),TEXT(Checks!$AD$269,"DD-MMM-YY HH:MM")&amp;" "&amp;Checks!$P$269,"")&amp;IF(Checks!$AE$269="","",CHAR(10)&amp;"Verifier: "&amp;Checks!$AE$269)&amp;IF(Checks!$T$269="","",CHAR(10)&amp;"PIC: "&amp;Checks!$T$269)</f>
        <v/>
      </c>
      <c r="H30" s="113" t="str">
        <f aca="false">IF(Checks!$AH$269="","",Checks!$AH$269)</f>
        <v>OPEN</v>
      </c>
    </row>
    <row r="31" customFormat="false" ht="114" hidden="false" customHeight="true" outlineLevel="0" collapsed="false">
      <c r="A31" s="112" t="str">
        <f aca="false">Checks!$A$270&amp;CHAR(10)&amp;IF(Checks!$I$270="","",Checks!$I$270&amp;": ")&amp;Checks!$J$270</f>
        <v>F08-T7-09
Uplift plan: Uplift plan confirmed with caterer vs STD Uplift Information</v>
      </c>
      <c r="B31" s="112" t="str">
        <f aca="false">Checks!$K$270&amp;IF(Checks!$O$270="","",IF(Checks!$K$270="","",CHAR(10))&amp;"Note: "&amp;Checks!$O$270)</f>
        <v>Service: 1 Meal (Meal); meal uplift stn KUL (ref lists KUL/HAN)</v>
      </c>
      <c r="C31" s="112" t="str">
        <f aca="false">Checks!$N$270&amp;CHAR(10)&amp;IF(ISNUMBER(Checks!$R$270),TEXT(Checks!$R$270,"DD-MMM-YY HH:MM"),"")&amp;" "&amp;Checks!$P$270</f>
        <v>Required
03-Oct-26 09:35 KUL</v>
      </c>
      <c r="D31" s="112" t="str">
        <f aca="false">IF(Checks!$U$270="","",Checks!$U$270)&amp;IF(Checks!$AB$270="","",CHAR(10)&amp;"CA: "&amp;Checks!$AB$270)</f>
        <v/>
      </c>
      <c r="E31" s="112" t="str">
        <f aca="false">IF(Checks!$V$270="","",Checks!$V$270)&amp;IF(Checks!$AC$270="","",IF(Checks!$V$270="","",CHAR(10))&amp;"N/A just.: "&amp;Checks!$AC$270)&amp;IF(Checks!$W$270="","",CHAR(10)&amp;"Batch: "&amp;Checks!$W$270)&amp;IF(AND(Checks!$X$270="",Checks!$Y$270=""),"",CHAR(10)&amp;"Exp: "&amp;Checks!$X$270&amp;"  /  Act: "&amp;Checks!$Y$270)</f>
        <v/>
      </c>
      <c r="F31" s="112" t="str">
        <f aca="false">IF(Checks!$Z$270="","","Evidence: "&amp;Checks!$Z$270)&amp;IF(Checks!$AA$270="","",IF(Checks!$Z$270="","",CHAR(10))&amp;"CA: "&amp;Checks!$AA$270)</f>
        <v/>
      </c>
      <c r="G31" s="112" t="str">
        <f aca="false">IF(ISNUMBER(Checks!$AD$270),TEXT(Checks!$AD$270,"DD-MMM-YY HH:MM")&amp;" "&amp;Checks!$P$270,"")&amp;IF(Checks!$AE$270="","",CHAR(10)&amp;"Verifier: "&amp;Checks!$AE$270)&amp;IF(Checks!$T$270="","",CHAR(10)&amp;"PIC: "&amp;Checks!$T$270)</f>
        <v/>
      </c>
      <c r="H31" s="113" t="str">
        <f aca="false">IF(Checks!$AH$270="","",Checks!$AH$270)</f>
        <v>OPEN</v>
      </c>
    </row>
    <row r="32" customFormat="false" ht="25.5" hidden="false" customHeight="true" outlineLevel="0" collapsed="false">
      <c r="A32" s="111"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Checks!$A$271&amp;CHAR(10)&amp;IF(Checks!$I$271="","",Checks!$I$271&amp;": ")&amp;Checks!$J$271</f>
        <v>F08-T24-01
Meal: Sensory test repeated on ACTUAL production batch for this flight</v>
      </c>
      <c r="B33" s="112" t="str">
        <f aca="false">Checks!$K$271&amp;IF(Checks!$O$271="","",IF(Checks!$K$271="","",CHAR(10))&amp;"Note: "&amp;Checks!$O$271)</f>
        <v>Batch ID, result, CA and acceptance mandatory</v>
      </c>
      <c r="C33" s="112" t="str">
        <f aca="false">Checks!$N$271&amp;CHAR(10)&amp;IF(ISNUMBER(Checks!$R$271),TEXT(Checks!$R$271,"DD-MMM-YY HH:MM"),"")&amp;" "&amp;Checks!$P$271</f>
        <v>Required
09-Oct-26 09:35 KUL</v>
      </c>
      <c r="D33" s="112" t="str">
        <f aca="false">IF(Checks!$U$271="","",Checks!$U$271)&amp;IF(Checks!$AB$271="","",CHAR(10)&amp;"CA: "&amp;Checks!$AB$271)</f>
        <v/>
      </c>
      <c r="E33" s="112" t="str">
        <f aca="false">IF(Checks!$V$271="","",Checks!$V$271)&amp;IF(Checks!$AC$271="","",IF(Checks!$V$271="","",CHAR(10))&amp;"N/A just.: "&amp;Checks!$AC$271)&amp;IF(Checks!$W$271="","",CHAR(10)&amp;"Batch: "&amp;Checks!$W$271)&amp;IF(AND(Checks!$X$271="",Checks!$Y$271=""),"",CHAR(10)&amp;"Exp: "&amp;Checks!$X$271&amp;"  /  Act: "&amp;Checks!$Y$271)</f>
        <v/>
      </c>
      <c r="F33" s="112" t="str">
        <f aca="false">IF(Checks!$Z$271="","","Evidence: "&amp;Checks!$Z$271)&amp;IF(Checks!$AA$271="","",IF(Checks!$Z$271="","",CHAR(10))&amp;"CA: "&amp;Checks!$AA$271)</f>
        <v/>
      </c>
      <c r="G33" s="112" t="str">
        <f aca="false">IF(ISNUMBER(Checks!$AD$271),TEXT(Checks!$AD$271,"DD-MMM-YY HH:MM")&amp;" "&amp;Checks!$P$271,"")&amp;IF(Checks!$AE$271="","",CHAR(10)&amp;"Verifier: "&amp;Checks!$AE$271)&amp;IF(Checks!$T$271="","",CHAR(10)&amp;"PIC: "&amp;Checks!$T$271)</f>
        <v/>
      </c>
      <c r="H33" s="113" t="str">
        <f aca="false">IF(Checks!$AH$271="","",Checks!$AH$271)</f>
        <v>OPEN</v>
      </c>
    </row>
    <row r="34" customFormat="false" ht="25.5" hidden="false" customHeight="true" outlineLevel="0" collapsed="false">
      <c r="A34" s="111"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1"/>
      <c r="C34" s="111"/>
      <c r="D34" s="111"/>
      <c r="E34" s="111"/>
      <c r="F34" s="111"/>
      <c r="G34" s="111"/>
      <c r="H34" s="111"/>
    </row>
    <row r="35" customFormat="false" ht="114" hidden="false" customHeight="true" outlineLevel="0" collapsed="false">
      <c r="A35" s="112" t="str">
        <f aca="false">Checks!$A$272&amp;CHAR(10)&amp;IF(Checks!$I$272="","",Checks!$I$272&amp;": ")&amp;Checks!$J$272</f>
        <v>F08-T12-01
Meal: Meal quality vs menu checklist</v>
      </c>
      <c r="B35" s="112" t="str">
        <f aca="false">Checks!$K$272&amp;IF(Checks!$O$272="","",IF(Checks!$K$272="","",CHAR(10))&amp;"Note: "&amp;Checks!$O$272)</f>
        <v>Note: Preparation check at caterer - does NOT confirm loading.</v>
      </c>
      <c r="C35" s="112" t="str">
        <f aca="false">Checks!$N$272&amp;CHAR(10)&amp;IF(ISNUMBER(Checks!$R$272),TEXT(Checks!$R$272,"DD-MMM-YY HH:MM"),"")&amp;" "&amp;Checks!$P$272</f>
        <v>Required
09-Oct-26 21:35 KUL</v>
      </c>
      <c r="D35" s="112" t="str">
        <f aca="false">IF(Checks!$U$272="","",Checks!$U$272)&amp;IF(Checks!$AB$272="","",CHAR(10)&amp;"CA: "&amp;Checks!$AB$272)</f>
        <v/>
      </c>
      <c r="E35" s="112" t="str">
        <f aca="false">IF(Checks!$V$272="","",Checks!$V$272)&amp;IF(Checks!$AC$272="","",IF(Checks!$V$272="","",CHAR(10))&amp;"N/A just.: "&amp;Checks!$AC$272)&amp;IF(Checks!$W$272="","",CHAR(10)&amp;"Batch: "&amp;Checks!$W$272)&amp;IF(AND(Checks!$X$272="",Checks!$Y$272=""),"",CHAR(10)&amp;"Exp: "&amp;Checks!$X$272&amp;"  /  Act: "&amp;Checks!$Y$272)</f>
        <v/>
      </c>
      <c r="F35" s="112" t="str">
        <f aca="false">IF(Checks!$Z$272="","","Evidence: "&amp;Checks!$Z$272)&amp;IF(Checks!$AA$272="","",IF(Checks!$Z$272="","",CHAR(10))&amp;"CA: "&amp;Checks!$AA$272)</f>
        <v/>
      </c>
      <c r="G35" s="112" t="str">
        <f aca="false">IF(ISNUMBER(Checks!$AD$272),TEXT(Checks!$AD$272,"DD-MMM-YY HH:MM")&amp;" "&amp;Checks!$P$272,"")&amp;IF(Checks!$AE$272="","",CHAR(10)&amp;"Verifier: "&amp;Checks!$AE$272)&amp;IF(Checks!$T$272="","",CHAR(10)&amp;"PIC: "&amp;Checks!$T$272)</f>
        <v/>
      </c>
      <c r="H35" s="113" t="str">
        <f aca="false">IF(Checks!$AH$272="","",Checks!$AH$272)</f>
        <v>OPEN</v>
      </c>
    </row>
    <row r="36" customFormat="false" ht="114" hidden="false" customHeight="true" outlineLevel="0" collapsed="false">
      <c r="A36" s="112" t="str">
        <f aca="false">Checks!$A$273&amp;CHAR(10)&amp;IF(Checks!$I$273="","",Checks!$I$273&amp;": ")&amp;Checks!$J$273</f>
        <v>F08-T12-02
Meal: Meal quantities vs menu checklist</v>
      </c>
      <c r="B36" s="112" t="str">
        <f aca="false">Checks!$K$273&amp;IF(Checks!$O$273="","",IF(Checks!$K$273="","",CHAR(10))&amp;"Note: "&amp;Checks!$O$273)</f>
        <v>Enter expected &amp; actual
Note: Preparation check at caterer - does NOT confirm loading.</v>
      </c>
      <c r="C36" s="112" t="str">
        <f aca="false">Checks!$N$273&amp;CHAR(10)&amp;IF(ISNUMBER(Checks!$R$273),TEXT(Checks!$R$273,"DD-MMM-YY HH:MM"),"")&amp;" "&amp;Checks!$P$273</f>
        <v>Required
09-Oct-26 21:35 KUL</v>
      </c>
      <c r="D36" s="112" t="str">
        <f aca="false">IF(Checks!$U$273="","",Checks!$U$273)&amp;IF(Checks!$AB$273="","",CHAR(10)&amp;"CA: "&amp;Checks!$AB$273)</f>
        <v/>
      </c>
      <c r="E36" s="112" t="str">
        <f aca="false">IF(Checks!$V$273="","",Checks!$V$273)&amp;IF(Checks!$AC$273="","",IF(Checks!$V$273="","",CHAR(10))&amp;"N/A just.: "&amp;Checks!$AC$273)&amp;IF(Checks!$W$273="","",CHAR(10)&amp;"Batch: "&amp;Checks!$W$273)&amp;IF(AND(Checks!$X$273="",Checks!$Y$273=""),"",CHAR(10)&amp;"Exp: "&amp;Checks!$X$273&amp;"  /  Act: "&amp;Checks!$Y$273)</f>
        <v/>
      </c>
      <c r="F36" s="112" t="str">
        <f aca="false">IF(Checks!$Z$273="","","Evidence: "&amp;Checks!$Z$273)&amp;IF(Checks!$AA$273="","",IF(Checks!$Z$273="","",CHAR(10))&amp;"CA: "&amp;Checks!$AA$273)</f>
        <v/>
      </c>
      <c r="G36" s="112" t="str">
        <f aca="false">IF(ISNUMBER(Checks!$AD$273),TEXT(Checks!$AD$273,"DD-MMM-YY HH:MM")&amp;" "&amp;Checks!$P$273,"")&amp;IF(Checks!$AE$273="","",CHAR(10)&amp;"Verifier: "&amp;Checks!$AE$273)&amp;IF(Checks!$T$273="","",CHAR(10)&amp;"PIC: "&amp;Checks!$T$273)</f>
        <v/>
      </c>
      <c r="H36" s="113" t="str">
        <f aca="false">IF(Checks!$AH$273="","",Checks!$AH$273)</f>
        <v>OPEN</v>
      </c>
    </row>
    <row r="37" customFormat="false" ht="114" hidden="false" customHeight="true" outlineLevel="0" collapsed="false">
      <c r="A37" s="112" t="str">
        <f aca="false">Checks!$A$274&amp;CHAR(10)&amp;IF(Checks!$I$274="","",Checks!$I$274&amp;": ")&amp;Checks!$J$274</f>
        <v>F08-T12-03
Equipment: Equipment cleanliness vs GLD</v>
      </c>
      <c r="B37" s="112" t="str">
        <f aca="false">Checks!$K$274&amp;IF(Checks!$O$274="","",IF(Checks!$K$274="","",CHAR(10))&amp;"Note: "&amp;Checks!$O$274)</f>
        <v>Note: Preparation check at caterer - does NOT confirm loading.</v>
      </c>
      <c r="C37" s="112" t="str">
        <f aca="false">Checks!$N$274&amp;CHAR(10)&amp;IF(ISNUMBER(Checks!$R$274),TEXT(Checks!$R$274,"DD-MMM-YY HH:MM"),"")&amp;" "&amp;Checks!$P$274</f>
        <v>Required
09-Oct-26 21:35 KUL</v>
      </c>
      <c r="D37" s="112" t="str">
        <f aca="false">IF(Checks!$U$274="","",Checks!$U$274)&amp;IF(Checks!$AB$274="","",CHAR(10)&amp;"CA: "&amp;Checks!$AB$274)</f>
        <v/>
      </c>
      <c r="E37" s="112" t="str">
        <f aca="false">IF(Checks!$V$274="","",Checks!$V$274)&amp;IF(Checks!$AC$274="","",IF(Checks!$V$274="","",CHAR(10))&amp;"N/A just.: "&amp;Checks!$AC$274)&amp;IF(Checks!$W$274="","",CHAR(10)&amp;"Batch: "&amp;Checks!$W$274)&amp;IF(AND(Checks!$X$274="",Checks!$Y$274=""),"",CHAR(10)&amp;"Exp: "&amp;Checks!$X$274&amp;"  /  Act: "&amp;Checks!$Y$274)</f>
        <v/>
      </c>
      <c r="F37" s="112" t="str">
        <f aca="false">IF(Checks!$Z$274="","","Evidence: "&amp;Checks!$Z$274)&amp;IF(Checks!$AA$274="","",IF(Checks!$Z$274="","",CHAR(10))&amp;"CA: "&amp;Checks!$AA$274)</f>
        <v/>
      </c>
      <c r="G37" s="112" t="str">
        <f aca="false">IF(ISNUMBER(Checks!$AD$274),TEXT(Checks!$AD$274,"DD-MMM-YY HH:MM")&amp;" "&amp;Checks!$P$274,"")&amp;IF(Checks!$AE$274="","",CHAR(10)&amp;"Verifier: "&amp;Checks!$AE$274)&amp;IF(Checks!$T$274="","",CHAR(10)&amp;"PIC: "&amp;Checks!$T$274)</f>
        <v/>
      </c>
      <c r="H37" s="113" t="str">
        <f aca="false">IF(Checks!$AH$274="","",Checks!$AH$274)</f>
        <v>OPEN</v>
      </c>
    </row>
    <row r="38" customFormat="false" ht="114" hidden="false" customHeight="true" outlineLevel="0" collapsed="false">
      <c r="A38" s="112" t="str">
        <f aca="false">Checks!$A$275&amp;CHAR(10)&amp;IF(Checks!$I$275="","",Checks!$I$275&amp;": ")&amp;Checks!$J$275</f>
        <v>F08-T12-04
Equipment: Equipment presentation vs GLD</v>
      </c>
      <c r="B38" s="112" t="str">
        <f aca="false">Checks!$K$275&amp;IF(Checks!$O$275="","",IF(Checks!$K$275="","",CHAR(10))&amp;"Note: "&amp;Checks!$O$275)</f>
        <v>Note: Preparation check at caterer - does NOT confirm loading.</v>
      </c>
      <c r="C38" s="112" t="str">
        <f aca="false">Checks!$N$275&amp;CHAR(10)&amp;IF(ISNUMBER(Checks!$R$275),TEXT(Checks!$R$275,"DD-MMM-YY HH:MM"),"")&amp;" "&amp;Checks!$P$275</f>
        <v>Required
09-Oct-26 21:35 KUL</v>
      </c>
      <c r="D38" s="112" t="str">
        <f aca="false">IF(Checks!$U$275="","",Checks!$U$275)&amp;IF(Checks!$AB$275="","",CHAR(10)&amp;"CA: "&amp;Checks!$AB$275)</f>
        <v/>
      </c>
      <c r="E38" s="112" t="str">
        <f aca="false">IF(Checks!$V$275="","",Checks!$V$275)&amp;IF(Checks!$AC$275="","",IF(Checks!$V$275="","",CHAR(10))&amp;"N/A just.: "&amp;Checks!$AC$275)&amp;IF(Checks!$W$275="","",CHAR(10)&amp;"Batch: "&amp;Checks!$W$275)&amp;IF(AND(Checks!$X$275="",Checks!$Y$275=""),"",CHAR(10)&amp;"Exp: "&amp;Checks!$X$275&amp;"  /  Act: "&amp;Checks!$Y$275)</f>
        <v/>
      </c>
      <c r="F38" s="112" t="str">
        <f aca="false">IF(Checks!$Z$275="","","Evidence: "&amp;Checks!$Z$275)&amp;IF(Checks!$AA$275="","",IF(Checks!$Z$275="","",CHAR(10))&amp;"CA: "&amp;Checks!$AA$275)</f>
        <v/>
      </c>
      <c r="G38" s="112" t="str">
        <f aca="false">IF(ISNUMBER(Checks!$AD$275),TEXT(Checks!$AD$275,"DD-MMM-YY HH:MM")&amp;" "&amp;Checks!$P$275,"")&amp;IF(Checks!$AE$275="","",CHAR(10)&amp;"Verifier: "&amp;Checks!$AE$275)&amp;IF(Checks!$T$275="","",CHAR(10)&amp;"PIC: "&amp;Checks!$T$275)</f>
        <v/>
      </c>
      <c r="H38" s="113" t="str">
        <f aca="false">IF(Checks!$AH$275="","",Checks!$AH$275)</f>
        <v>OPEN</v>
      </c>
    </row>
    <row r="39" customFormat="false" ht="114" hidden="false" customHeight="true" outlineLevel="0" collapsed="false">
      <c r="A39" s="112" t="str">
        <f aca="false">Checks!$A$276&amp;CHAR(10)&amp;IF(Checks!$I$276="","",Checks!$I$276&amp;": ")&amp;Checks!$J$276</f>
        <v>F08-T12-05
Equipment: Equipment serviceability vs GLD</v>
      </c>
      <c r="B39" s="112" t="str">
        <f aca="false">Checks!$K$276&amp;IF(Checks!$O$276="","",IF(Checks!$K$276="","",CHAR(10))&amp;"Note: "&amp;Checks!$O$276)</f>
        <v>Note: Preparation check at caterer - does NOT confirm loading.</v>
      </c>
      <c r="C39" s="112" t="str">
        <f aca="false">Checks!$N$276&amp;CHAR(10)&amp;IF(ISNUMBER(Checks!$R$276),TEXT(Checks!$R$276,"DD-MMM-YY HH:MM"),"")&amp;" "&amp;Checks!$P$276</f>
        <v>Required
09-Oct-26 21:35 KUL</v>
      </c>
      <c r="D39" s="112" t="str">
        <f aca="false">IF(Checks!$U$276="","",Checks!$U$276)&amp;IF(Checks!$AB$276="","",CHAR(10)&amp;"CA: "&amp;Checks!$AB$276)</f>
        <v/>
      </c>
      <c r="E39" s="112" t="str">
        <f aca="false">IF(Checks!$V$276="","",Checks!$V$276)&amp;IF(Checks!$AC$276="","",IF(Checks!$V$276="","",CHAR(10))&amp;"N/A just.: "&amp;Checks!$AC$276)&amp;IF(Checks!$W$276="","",CHAR(10)&amp;"Batch: "&amp;Checks!$W$276)&amp;IF(AND(Checks!$X$276="",Checks!$Y$276=""),"",CHAR(10)&amp;"Exp: "&amp;Checks!$X$276&amp;"  /  Act: "&amp;Checks!$Y$276)</f>
        <v/>
      </c>
      <c r="F39" s="112" t="str">
        <f aca="false">IF(Checks!$Z$276="","","Evidence: "&amp;Checks!$Z$276)&amp;IF(Checks!$AA$276="","",IF(Checks!$Z$276="","",CHAR(10))&amp;"CA: "&amp;Checks!$AA$276)</f>
        <v/>
      </c>
      <c r="G39" s="112" t="str">
        <f aca="false">IF(ISNUMBER(Checks!$AD$276),TEXT(Checks!$AD$276,"DD-MMM-YY HH:MM")&amp;" "&amp;Checks!$P$276,"")&amp;IF(Checks!$AE$276="","",CHAR(10)&amp;"Verifier: "&amp;Checks!$AE$276)&amp;IF(Checks!$T$276="","",CHAR(10)&amp;"PIC: "&amp;Checks!$T$276)</f>
        <v/>
      </c>
      <c r="H39" s="113" t="str">
        <f aca="false">IF(Checks!$AH$276="","",Checks!$AH$276)</f>
        <v>OPEN</v>
      </c>
    </row>
    <row r="40" customFormat="false" ht="190.5" hidden="false" customHeight="true" outlineLevel="0" collapsed="false">
      <c r="A40" s="112" t="str">
        <f aca="false">Checks!$A$277&amp;CHAR(10)&amp;IF(Checks!$I$277="","",Checks!$I$277&amp;": ")&amp;Checks!$J$277</f>
        <v>F08-T12-06
Equipment: Equipment quantities vs GLD</v>
      </c>
      <c r="B40" s="112"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2" t="str">
        <f aca="false">Checks!$N$277&amp;CHAR(10)&amp;IF(ISNUMBER(Checks!$R$277),TEXT(Checks!$R$277,"DD-MMM-YY HH:MM"),"")&amp;" "&amp;Checks!$P$277</f>
        <v>Required
09-Oct-26 21:35 KUL</v>
      </c>
      <c r="D40" s="112" t="str">
        <f aca="false">IF(Checks!$U$277="","",Checks!$U$277)&amp;IF(Checks!$AB$277="","",CHAR(10)&amp;"CA: "&amp;Checks!$AB$277)</f>
        <v/>
      </c>
      <c r="E40" s="112" t="str">
        <f aca="false">IF(Checks!$V$277="","",Checks!$V$277)&amp;IF(Checks!$AC$277="","",IF(Checks!$V$277="","",CHAR(10))&amp;"N/A just.: "&amp;Checks!$AC$277)&amp;IF(Checks!$W$277="","",CHAR(10)&amp;"Batch: "&amp;Checks!$W$277)&amp;IF(AND(Checks!$X$277="",Checks!$Y$277=""),"",CHAR(10)&amp;"Exp: "&amp;Checks!$X$277&amp;"  /  Act: "&amp;Checks!$Y$277)</f>
        <v/>
      </c>
      <c r="F40" s="112" t="str">
        <f aca="false">IF(Checks!$Z$277="","","Evidence: "&amp;Checks!$Z$277)&amp;IF(Checks!$AA$277="","",IF(Checks!$Z$277="","",CHAR(10))&amp;"CA: "&amp;Checks!$AA$277)</f>
        <v/>
      </c>
      <c r="G40" s="112" t="str">
        <f aca="false">IF(ISNUMBER(Checks!$AD$277),TEXT(Checks!$AD$277,"DD-MMM-YY HH:MM")&amp;" "&amp;Checks!$P$277,"")&amp;IF(Checks!$AE$277="","",CHAR(10)&amp;"Verifier: "&amp;Checks!$AE$277)&amp;IF(Checks!$T$277="","",CHAR(10)&amp;"PIC: "&amp;Checks!$T$277)</f>
        <v/>
      </c>
      <c r="H40" s="113" t="str">
        <f aca="false">IF(Checks!$AH$277="","",Checks!$AH$277)</f>
        <v>OPEN</v>
      </c>
    </row>
    <row r="41" customFormat="false" ht="114" hidden="false" customHeight="true" outlineLevel="0" collapsed="false">
      <c r="A41" s="112" t="str">
        <f aca="false">Checks!$A$278&amp;CHAR(10)&amp;IF(Checks!$I$278="","",Checks!$I$278&amp;": ")&amp;Checks!$J$278</f>
        <v>F08-T12-07
Equipment: Loading positions planned vs GLD</v>
      </c>
      <c r="B41" s="112" t="str">
        <f aca="false">Checks!$K$278&amp;IF(Checks!$O$278="","",IF(Checks!$K$278="","",CHAR(10))&amp;"Note: "&amp;Checks!$O$278)</f>
        <v>Note: Preparation check at caterer - does NOT confirm loading.</v>
      </c>
      <c r="C41" s="112" t="str">
        <f aca="false">Checks!$N$278&amp;CHAR(10)&amp;IF(ISNUMBER(Checks!$R$278),TEXT(Checks!$R$278,"DD-MMM-YY HH:MM"),"")&amp;" "&amp;Checks!$P$278</f>
        <v>Required
09-Oct-26 21:35 KUL</v>
      </c>
      <c r="D41" s="112" t="str">
        <f aca="false">IF(Checks!$U$278="","",Checks!$U$278)&amp;IF(Checks!$AB$278="","",CHAR(10)&amp;"CA: "&amp;Checks!$AB$278)</f>
        <v/>
      </c>
      <c r="E41" s="112" t="str">
        <f aca="false">IF(Checks!$V$278="","",Checks!$V$278)&amp;IF(Checks!$AC$278="","",IF(Checks!$V$278="","",CHAR(10))&amp;"N/A just.: "&amp;Checks!$AC$278)&amp;IF(Checks!$W$278="","",CHAR(10)&amp;"Batch: "&amp;Checks!$W$278)&amp;IF(AND(Checks!$X$278="",Checks!$Y$278=""),"",CHAR(10)&amp;"Exp: "&amp;Checks!$X$278&amp;"  /  Act: "&amp;Checks!$Y$278)</f>
        <v/>
      </c>
      <c r="F41" s="112" t="str">
        <f aca="false">IF(Checks!$Z$278="","","Evidence: "&amp;Checks!$Z$278)&amp;IF(Checks!$AA$278="","",IF(Checks!$Z$278="","",CHAR(10))&amp;"CA: "&amp;Checks!$AA$278)</f>
        <v/>
      </c>
      <c r="G41" s="112" t="str">
        <f aca="false">IF(ISNUMBER(Checks!$AD$278),TEXT(Checks!$AD$278,"DD-MMM-YY HH:MM")&amp;" "&amp;Checks!$P$278,"")&amp;IF(Checks!$AE$278="","",CHAR(10)&amp;"Verifier: "&amp;Checks!$AE$278)&amp;IF(Checks!$T$278="","",CHAR(10)&amp;"PIC: "&amp;Checks!$T$278)</f>
        <v/>
      </c>
      <c r="H41" s="113" t="str">
        <f aca="false">IF(Checks!$AH$278="","",Checks!$AH$278)</f>
        <v>OPEN</v>
      </c>
    </row>
    <row r="42" customFormat="false" ht="114" hidden="false" customHeight="true" outlineLevel="0" collapsed="false">
      <c r="A42" s="112" t="str">
        <f aca="false">Checks!$A$279&amp;CHAR(10)&amp;IF(Checks!$I$279="","",Checks!$I$279&amp;": ")&amp;Checks!$J$279</f>
        <v>F08-T12-08
Seat Linen: Seat pillow (EY) - prepared</v>
      </c>
      <c r="B42" s="112" t="str">
        <f aca="false">Checks!$K$279&amp;IF(Checks!$O$279="","",IF(Checks!$K$279="","",CHAR(10))&amp;"Note: "&amp;Checks!$O$279)</f>
        <v>Available 100% (ticked in reference)
Note: Reference gives no uplift stn for this item: preparation checked at the meal uplift stn (KUL) - confirm with caterer.</v>
      </c>
      <c r="C42" s="112" t="str">
        <f aca="false">Checks!$N$279&amp;CHAR(10)&amp;IF(ISNUMBER(Checks!$R$279),TEXT(Checks!$R$279,"DD-MMM-YY HH:MM"),"")&amp;" "&amp;Checks!$P$279</f>
        <v>Required
09-Oct-26 21:35 KUL</v>
      </c>
      <c r="D42" s="112" t="str">
        <f aca="false">IF(Checks!$U$279="","",Checks!$U$279)&amp;IF(Checks!$AB$279="","",CHAR(10)&amp;"CA: "&amp;Checks!$AB$279)</f>
        <v/>
      </c>
      <c r="E42" s="112" t="str">
        <f aca="false">IF(Checks!$V$279="","",Checks!$V$279)&amp;IF(Checks!$AC$279="","",IF(Checks!$V$279="","",CHAR(10))&amp;"N/A just.: "&amp;Checks!$AC$279)&amp;IF(Checks!$W$279="","",CHAR(10)&amp;"Batch: "&amp;Checks!$W$279)&amp;IF(AND(Checks!$X$279="",Checks!$Y$279=""),"",CHAR(10)&amp;"Exp: "&amp;Checks!$X$279&amp;"  /  Act: "&amp;Checks!$Y$279)</f>
        <v/>
      </c>
      <c r="F42" s="112" t="str">
        <f aca="false">IF(Checks!$Z$279="","","Evidence: "&amp;Checks!$Z$279)&amp;IF(Checks!$AA$279="","",IF(Checks!$Z$279="","",CHAR(10))&amp;"CA: "&amp;Checks!$AA$279)</f>
        <v/>
      </c>
      <c r="G42" s="112" t="str">
        <f aca="false">IF(ISNUMBER(Checks!$AD$279),TEXT(Checks!$AD$279,"DD-MMM-YY HH:MM")&amp;" "&amp;Checks!$P$279,"")&amp;IF(Checks!$AE$279="","",CHAR(10)&amp;"Verifier: "&amp;Checks!$AE$279)&amp;IF(Checks!$T$279="","",CHAR(10)&amp;"PIC: "&amp;Checks!$T$279)</f>
        <v/>
      </c>
      <c r="H42" s="113" t="str">
        <f aca="false">IF(Checks!$AH$279="","",Checks!$AH$279)</f>
        <v>OPEN</v>
      </c>
    </row>
    <row r="43" customFormat="false" ht="25.5" hidden="false" customHeight="true" outlineLevel="0" collapsed="false">
      <c r="A43" s="111"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1"/>
      <c r="C43" s="111"/>
      <c r="D43" s="111"/>
      <c r="E43" s="111"/>
      <c r="F43" s="111"/>
      <c r="G43" s="111"/>
      <c r="H43" s="111"/>
    </row>
    <row r="44" customFormat="false" ht="114" hidden="false" customHeight="true" outlineLevel="0" collapsed="false">
      <c r="A44" s="112" t="str">
        <f aca="false">Checks!$A$280&amp;CHAR(10)&amp;IF(Checks!$I$280="","",Checks!$I$280&amp;": ")&amp;Checks!$J$280</f>
        <v>F08-UPL-01
Meal: Meals physically uplifted on board - quantity vs menu checklist</v>
      </c>
      <c r="B44" s="112" t="str">
        <f aca="false">Checks!$K$280&amp;IF(Checks!$O$280="","",IF(Checks!$K$280="","",CHAR(10))&amp;"Note: "&amp;Checks!$O$280)</f>
        <v>Enter expected &amp; actual
Note: Confirm on board before departure; completion time must fall inside the uplift window.</v>
      </c>
      <c r="C44" s="112" t="str">
        <f aca="false">Checks!$N$280&amp;CHAR(10)&amp;IF(ISNUMBER(Checks!$R$280),TEXT(Checks!$R$280,"DD-MMM-YY HH:MM"),"")&amp;" "&amp;Checks!$P$280</f>
        <v>Required
10-Oct-26 09:35 KUL</v>
      </c>
      <c r="D44" s="112" t="str">
        <f aca="false">IF(Checks!$U$280="","",Checks!$U$280)&amp;IF(Checks!$AB$280="","",CHAR(10)&amp;"CA: "&amp;Checks!$AB$280)</f>
        <v/>
      </c>
      <c r="E44" s="112" t="str">
        <f aca="false">IF(Checks!$V$280="","",Checks!$V$280)&amp;IF(Checks!$AC$280="","",IF(Checks!$V$280="","",CHAR(10))&amp;"N/A just.: "&amp;Checks!$AC$280)&amp;IF(Checks!$W$280="","",CHAR(10)&amp;"Batch: "&amp;Checks!$W$280)&amp;IF(AND(Checks!$X$280="",Checks!$Y$280=""),"",CHAR(10)&amp;"Exp: "&amp;Checks!$X$280&amp;"  /  Act: "&amp;Checks!$Y$280)</f>
        <v/>
      </c>
      <c r="F44" s="112" t="str">
        <f aca="false">IF(Checks!$Z$280="","","Evidence: "&amp;Checks!$Z$280)&amp;IF(Checks!$AA$280="","",IF(Checks!$Z$280="","",CHAR(10))&amp;"CA: "&amp;Checks!$AA$280)</f>
        <v/>
      </c>
      <c r="G44" s="112" t="str">
        <f aca="false">IF(ISNUMBER(Checks!$AD$280),TEXT(Checks!$AD$280,"DD-MMM-YY HH:MM")&amp;" "&amp;Checks!$P$280,"")&amp;IF(Checks!$AE$280="","",CHAR(10)&amp;"Verifier: "&amp;Checks!$AE$280)&amp;IF(Checks!$T$280="","",CHAR(10)&amp;"PIC: "&amp;Checks!$T$280)</f>
        <v/>
      </c>
      <c r="H44" s="113" t="str">
        <f aca="false">IF(Checks!$AH$280="","",Checks!$AH$280)</f>
        <v>OPEN</v>
      </c>
    </row>
    <row r="45" customFormat="false" ht="114" hidden="false" customHeight="true" outlineLevel="0" collapsed="false">
      <c r="A45" s="112" t="str">
        <f aca="false">Checks!$A$281&amp;CHAR(10)&amp;IF(Checks!$I$281="","",Checks!$I$281&amp;": ")&amp;Checks!$J$281</f>
        <v>F08-UPL-02
Equipment: Equipment physically loaded at GLD positions - quantity &amp; positions</v>
      </c>
      <c r="B45" s="112" t="str">
        <f aca="false">Checks!$K$281&amp;IF(Checks!$O$281="","",IF(Checks!$K$281="","",CHAR(10))&amp;"Note: "&amp;Checks!$O$281)</f>
        <v>Enter expected &amp; actual
Note: Confirm on board before departure; completion time must fall inside the uplift window.</v>
      </c>
      <c r="C45" s="112" t="str">
        <f aca="false">Checks!$N$281&amp;CHAR(10)&amp;IF(ISNUMBER(Checks!$R$281),TEXT(Checks!$R$281,"DD-MMM-YY HH:MM"),"")&amp;" "&amp;Checks!$P$281</f>
        <v>Required
10-Oct-26 09:35 KUL</v>
      </c>
      <c r="D45" s="112" t="str">
        <f aca="false">IF(Checks!$U$281="","",Checks!$U$281)&amp;IF(Checks!$AB$281="","",CHAR(10)&amp;"CA: "&amp;Checks!$AB$281)</f>
        <v/>
      </c>
      <c r="E45" s="112" t="str">
        <f aca="false">IF(Checks!$V$281="","",Checks!$V$281)&amp;IF(Checks!$AC$281="","",IF(Checks!$V$281="","",CHAR(10))&amp;"N/A just.: "&amp;Checks!$AC$281)&amp;IF(Checks!$W$281="","",CHAR(10)&amp;"Batch: "&amp;Checks!$W$281)&amp;IF(AND(Checks!$X$281="",Checks!$Y$281=""),"",CHAR(10)&amp;"Exp: "&amp;Checks!$X$281&amp;"  /  Act: "&amp;Checks!$Y$281)</f>
        <v/>
      </c>
      <c r="F45" s="112" t="str">
        <f aca="false">IF(Checks!$Z$281="","","Evidence: "&amp;Checks!$Z$281)&amp;IF(Checks!$AA$281="","",IF(Checks!$Z$281="","",CHAR(10))&amp;"CA: "&amp;Checks!$AA$281)</f>
        <v/>
      </c>
      <c r="G45" s="112" t="str">
        <f aca="false">IF(ISNUMBER(Checks!$AD$281),TEXT(Checks!$AD$281,"DD-MMM-YY HH:MM")&amp;" "&amp;Checks!$P$281,"")&amp;IF(Checks!$AE$281="","",CHAR(10)&amp;"Verifier: "&amp;Checks!$AE$281)&amp;IF(Checks!$T$281="","",CHAR(10)&amp;"PIC: "&amp;Checks!$T$281)</f>
        <v/>
      </c>
      <c r="H45" s="113" t="str">
        <f aca="false">IF(Checks!$AH$281="","",Checks!$AH$281)</f>
        <v>OPEN</v>
      </c>
    </row>
    <row r="46" customFormat="false" ht="114" hidden="false" customHeight="true" outlineLevel="0" collapsed="false">
      <c r="A46" s="112" t="str">
        <f aca="false">Checks!$A$282&amp;CHAR(10)&amp;IF(Checks!$I$282="","",Checks!$I$282&amp;": ")&amp;Checks!$J$282</f>
        <v>F08-UPL-03
Seat Linen: Seat pillow (EY) - on board</v>
      </c>
      <c r="B46" s="112" t="str">
        <f aca="false">Checks!$K$282&amp;IF(Checks!$O$282="","",IF(Checks!$K$282="","",CHAR(10))&amp;"Note: "&amp;Checks!$O$282)</f>
        <v>Available 100% (ticked in reference)</v>
      </c>
      <c r="C46" s="112" t="str">
        <f aca="false">Checks!$N$282&amp;CHAR(10)&amp;IF(ISNUMBER(Checks!$R$282),TEXT(Checks!$R$282,"DD-MMM-YY HH:MM"),"")&amp;" "&amp;Checks!$P$282</f>
        <v>Required
10-Oct-26 09:35 KUL</v>
      </c>
      <c r="D46" s="112" t="str">
        <f aca="false">IF(Checks!$U$282="","",Checks!$U$282)&amp;IF(Checks!$AB$282="","",CHAR(10)&amp;"CA: "&amp;Checks!$AB$282)</f>
        <v/>
      </c>
      <c r="E46" s="112" t="str">
        <f aca="false">IF(Checks!$V$282="","",Checks!$V$282)&amp;IF(Checks!$AC$282="","",IF(Checks!$V$282="","",CHAR(10))&amp;"N/A just.: "&amp;Checks!$AC$282)&amp;IF(Checks!$W$282="","",CHAR(10)&amp;"Batch: "&amp;Checks!$W$282)&amp;IF(AND(Checks!$X$282="",Checks!$Y$282=""),"",CHAR(10)&amp;"Exp: "&amp;Checks!$X$282&amp;"  /  Act: "&amp;Checks!$Y$282)</f>
        <v/>
      </c>
      <c r="F46" s="112" t="str">
        <f aca="false">IF(Checks!$Z$282="","","Evidence: "&amp;Checks!$Z$282)&amp;IF(Checks!$AA$282="","",IF(Checks!$Z$282="","",CHAR(10))&amp;"CA: "&amp;Checks!$AA$282)</f>
        <v/>
      </c>
      <c r="G46" s="112" t="str">
        <f aca="false">IF(ISNUMBER(Checks!$AD$282),TEXT(Checks!$AD$282,"DD-MMM-YY HH:MM")&amp;" "&amp;Checks!$P$282,"")&amp;IF(Checks!$AE$282="","",CHAR(10)&amp;"Verifier: "&amp;Checks!$AE$282)&amp;IF(Checks!$T$282="","",CHAR(10)&amp;"PIC: "&amp;Checks!$T$282)</f>
        <v/>
      </c>
      <c r="H46" s="113" t="str">
        <f aca="false">IF(Checks!$AH$282="","",Checks!$AH$282)</f>
        <v>OPEN</v>
      </c>
    </row>
    <row r="48" customFormat="false" ht="24" hidden="false" customHeight="true" outlineLevel="0" collapsed="false">
      <c r="A48" s="114" t="s">
        <v>1647</v>
      </c>
      <c r="B48" s="114"/>
      <c r="C48" s="114"/>
      <c r="D48" s="114"/>
      <c r="E48" s="114" t="s">
        <v>1648</v>
      </c>
      <c r="F48" s="114"/>
      <c r="G48" s="114"/>
      <c r="H48" s="114"/>
    </row>
    <row r="49" customFormat="false" ht="21.75" hidden="false" customHeight="true" outlineLevel="0" collapsed="false">
      <c r="A49" s="115"/>
      <c r="B49" s="115"/>
      <c r="C49" s="115"/>
      <c r="D49" s="115"/>
      <c r="E49" s="115"/>
      <c r="F49" s="115"/>
      <c r="G49" s="115"/>
      <c r="H49" s="115"/>
    </row>
    <row r="50" customFormat="false" ht="21.75" hidden="false" customHeight="true" outlineLevel="0" collapsed="false">
      <c r="A50" s="115"/>
      <c r="B50" s="115"/>
      <c r="C50" s="115"/>
      <c r="D50" s="115"/>
      <c r="E50" s="115"/>
      <c r="F50" s="115"/>
      <c r="G50" s="115"/>
      <c r="H50" s="115"/>
    </row>
    <row r="51" customFormat="false" ht="21.75" hidden="false" customHeight="true" outlineLevel="0" collapsed="false">
      <c r="A51" s="115"/>
      <c r="B51" s="115"/>
      <c r="C51" s="115"/>
      <c r="D51" s="115"/>
      <c r="E51" s="115"/>
      <c r="F51" s="115"/>
      <c r="G51" s="115"/>
      <c r="H51" s="115"/>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F09  "&amp;Flights!$F$13&amp;"  "&amp;TEXT(Flights!$D$13,"DD-MMM-YY")&amp;" ("&amp;Flights!$E$13&amp;")  "&amp;Flights!$G$13&amp;" → "&amp;Flights!$H$13&amp;"  |  Class "&amp;Flights!$K$13</f>
        <v>SKYTRAX 2026 CATERING READINESS CHECKLIST  |  F09  MH0753  11-Oct-26 (SUN)  HAN → KUL  |  Class BC</v>
      </c>
      <c r="B1" s="90"/>
      <c r="C1" s="90"/>
      <c r="D1" s="90"/>
      <c r="E1" s="90"/>
      <c r="F1" s="90"/>
      <c r="G1" s="90"/>
      <c r="H1" s="90"/>
    </row>
    <row r="2" customFormat="false" ht="12.75" hidden="false" customHeight="true" outlineLevel="0" collapsed="false">
      <c r="A2" s="91" t="s">
        <v>1602</v>
      </c>
      <c r="B2" s="92" t="str">
        <f aca="false">Flights!$F$13&amp;"   "&amp;TEXT(Flights!$D$13,"DD-MMM-YY")&amp;" ("&amp;Flights!$E$13&amp;")"</f>
        <v>MH0753   11-Oct-26 (SUN)</v>
      </c>
      <c r="C2" s="92"/>
      <c r="D2" s="92"/>
      <c r="E2" s="93" t="s">
        <v>1603</v>
      </c>
      <c r="F2" s="94" t="str">
        <f aca="false">Flights!$AT$13</f>
        <v>NOT READY – DOCUMENTS</v>
      </c>
      <c r="G2" s="94"/>
      <c r="H2" s="94"/>
    </row>
    <row r="3" customFormat="false" ht="24" hidden="false" customHeight="true" outlineLevel="0" collapsed="false">
      <c r="A3" s="91" t="s">
        <v>1604</v>
      </c>
      <c r="B3" s="92" t="str">
        <f aca="false">Flights!$G$13&amp;" → "&amp;Flights!$H$13&amp;"   Class "&amp;Flights!$K$13&amp;"   Seat "&amp;Flights!$O$13</f>
        <v>HAN → KUL   Class BC   Seat 1F</v>
      </c>
      <c r="C3" s="92"/>
      <c r="D3" s="92"/>
      <c r="E3" s="93" t="s">
        <v>66</v>
      </c>
      <c r="F3" s="93" t="s">
        <v>1605</v>
      </c>
      <c r="G3" s="93" t="s">
        <v>1606</v>
      </c>
      <c r="H3" s="93"/>
    </row>
    <row r="4" customFormat="false" ht="24" hidden="false" customHeight="true" outlineLevel="0" collapsed="false">
      <c r="A4" s="91" t="s">
        <v>1607</v>
      </c>
      <c r="B4" s="92" t="str">
        <f aca="false">IF(ISNUMBER(Flights!$I$13),TEXT(Flights!$I$13,"DD-MMM-YY HH:MM"),"")&amp;" "&amp;Flights!$G$13&amp;"  →  "&amp;IF(ISNUMBER(Flights!$J$13),TEXT(Flights!$J$13,"DD-MMM-YY HH:MM"),"")&amp;" "&amp;Flights!$H$13</f>
        <v>11-Oct-26 13:05 HAN  →  11-Oct-26 17:30 KUL</v>
      </c>
      <c r="C4" s="92"/>
      <c r="D4" s="92"/>
      <c r="E4" s="91" t="s">
        <v>1608</v>
      </c>
      <c r="F4" s="95" t="str">
        <f aca="false">IF(ISNUMBER(Flights!$AG$13),TEXT(Flights!$AG$13,"DD-MMM-YY HH:MM"),"")&amp;" "&amp;Flights!$V$13</f>
        <v>04-Oct-26 13:05 HAN</v>
      </c>
      <c r="G4" s="96" t="n">
        <f aca="false">Flights!$AJ$13</f>
        <v>0</v>
      </c>
      <c r="H4" s="96"/>
    </row>
    <row r="5" customFormat="false" ht="24" hidden="false" customHeight="true" outlineLevel="0" collapsed="false">
      <c r="A5" s="91" t="s">
        <v>1609</v>
      </c>
      <c r="B5" s="92" t="str">
        <f aca="false">Flights!$L$13&amp;" – "&amp;Flights!$M$13</f>
        <v>B738MAX – B737-8 (B7M8)</v>
      </c>
      <c r="C5" s="92"/>
      <c r="D5" s="92"/>
      <c r="E5" s="91" t="s">
        <v>1610</v>
      </c>
      <c r="F5" s="95" t="str">
        <f aca="false">IF(ISNUMBER(Flights!$AH$13),TEXT(Flights!$AH$13,"DD-MMM-YY HH:MM"),"")&amp;" "&amp;Flights!$V$13</f>
        <v>10-Oct-26 13:05 HAN</v>
      </c>
      <c r="G5" s="96" t="n">
        <f aca="false">Flights!$AK$13</f>
        <v>0</v>
      </c>
      <c r="H5" s="96"/>
    </row>
    <row r="6" customFormat="false" ht="24" hidden="false" customHeight="true" outlineLevel="0" collapsed="false">
      <c r="A6" s="91" t="s">
        <v>1611</v>
      </c>
      <c r="B6" s="92" t="str">
        <f aca="false">IF(TRIM(Flights!$N$13)="","__________________",Flights!$N$13)</f>
        <v>__________________</v>
      </c>
      <c r="C6" s="92"/>
      <c r="D6" s="92"/>
      <c r="E6" s="91" t="s">
        <v>1612</v>
      </c>
      <c r="F6" s="95" t="str">
        <f aca="false">IF(ISNUMBER(Flights!$AI$13),TEXT(Flights!$AI$13,"DD-MMM-YY HH:MM"),"")&amp;" "&amp;Flights!$V$13&amp;IF(Flights!$AI$13=Flights!$AH$13,"  (= T-24H due)","")</f>
        <v>11-Oct-26 01:05 HAN</v>
      </c>
      <c r="G6" s="96" t="n">
        <f aca="false">Flights!$AL$13</f>
        <v>0</v>
      </c>
      <c r="H6" s="96"/>
    </row>
    <row r="7" customFormat="false" ht="24" hidden="false" customHeight="true" outlineLevel="0" collapsed="false">
      <c r="A7" s="91" t="s">
        <v>1613</v>
      </c>
      <c r="B7" s="92" t="str">
        <f aca="false">Flights!$T$13</f>
        <v>1 Meal (Meal)</v>
      </c>
      <c r="C7" s="92"/>
      <c r="D7" s="92"/>
      <c r="E7" s="91" t="s">
        <v>1614</v>
      </c>
      <c r="F7" s="95" t="str">
        <f aca="false">"STD "&amp;IF(ISNUMBER(Flights!$I$13),TEXT(Flights!$I$13,"DD-MMM-YY HH:MM"),"")&amp;" "&amp;Flights!$G$13&amp;" (dep stn)"</f>
        <v>STD 11-Oct-26 13:05 HAN (dep stn)</v>
      </c>
      <c r="G7" s="96" t="n">
        <f aca="false">Flights!$AM$13</f>
        <v>0</v>
      </c>
      <c r="H7" s="96"/>
    </row>
    <row r="8" customFormat="false" ht="12.75" hidden="false" customHeight="true" outlineLevel="0" collapsed="false">
      <c r="A8" s="91" t="s">
        <v>148</v>
      </c>
      <c r="B8" s="92" t="str">
        <f aca="false">Flights!$V$13&amp;"   (reference uplift stns: "&amp;Flights!$U$13&amp;")"</f>
        <v>HAN   (reference uplift stns: KUL/HAN)</v>
      </c>
      <c r="C8" s="92"/>
      <c r="D8" s="92"/>
      <c r="E8" s="91" t="s">
        <v>1615</v>
      </c>
      <c r="F8" s="97" t="s">
        <v>1616</v>
      </c>
      <c r="G8" s="96" t="n">
        <f aca="false">Flights!$AN$13</f>
        <v>0</v>
      </c>
      <c r="H8" s="96"/>
    </row>
    <row r="9" customFormat="false" ht="12.75" hidden="false" customHeight="true" outlineLevel="0" collapsed="false">
      <c r="A9" s="91" t="s">
        <v>1617</v>
      </c>
      <c r="B9" s="92" t="str">
        <f aca="false">TRIM(Flights!$P$13&amp;"  "&amp;Flights!$Q$13)</f>
        <v>- Overnight KUL</v>
      </c>
      <c r="C9" s="92"/>
      <c r="D9" s="92"/>
      <c r="E9" s="91" t="s">
        <v>1618</v>
      </c>
      <c r="F9" s="98" t="n">
        <f aca="false">Flights!$AP$13</f>
        <v>0</v>
      </c>
      <c r="G9" s="98" t="n">
        <f aca="false">Flights!$AQ$13</f>
        <v>0</v>
      </c>
      <c r="H9" s="98" t="n">
        <f aca="false">Flights!$AU$13</f>
        <v>0</v>
      </c>
    </row>
    <row r="10" customFormat="false" ht="24" hidden="false" customHeight="true" outlineLevel="0" collapsed="false">
      <c r="A10" s="91" t="s">
        <v>1619</v>
      </c>
      <c r="B10" s="92" t="str">
        <f aca="false">IF(TRIM(Flights!$X$13)="","__________________",Flights!$X$13)</f>
        <v>__________________</v>
      </c>
      <c r="C10" s="92"/>
      <c r="D10" s="92"/>
      <c r="E10" s="91" t="s">
        <v>1620</v>
      </c>
      <c r="F10" s="98" t="n">
        <f aca="false">Flights!$AO$13</f>
        <v>38</v>
      </c>
      <c r="G10" s="98" t="n">
        <f aca="false">Flights!$AS$13</f>
        <v>4</v>
      </c>
      <c r="H10" s="98" t="n">
        <f aca="false">Flights!$AR$13</f>
        <v>2</v>
      </c>
    </row>
    <row r="11" customFormat="false" ht="21" hidden="false" customHeight="true" outlineLevel="0" collapsed="false">
      <c r="A11" s="91" t="s">
        <v>1621</v>
      </c>
      <c r="B11" s="92" t="str">
        <f aca="false">IF(TRIM(Flights!$Y$13)="","__________________",Flights!$Y$13)</f>
        <v>__________________</v>
      </c>
      <c r="C11" s="92"/>
      <c r="D11" s="92"/>
      <c r="E11" s="91" t="s">
        <v>1622</v>
      </c>
      <c r="F11" s="98" t="str">
        <f aca="false">Flights!$AV$13&amp;" / "&amp;Flights!$AW$13</f>
        <v>0 / 38</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IF(Documents!$F$13="","",Documents!$F$13)</f>
        <v/>
      </c>
      <c r="C14" s="97" t="str">
        <f aca="false">IF(Documents!$G$13="","",Documents!$G$13)&amp;IF(ISNUMBER(Documents!$H$13),"  "&amp;TEXT(Documents!$H$13,"DD-MMM-YY"),"")</f>
        <v/>
      </c>
      <c r="D14" s="97"/>
      <c r="E14" s="105" t="str">
        <f aca="false">IF(Documents!$J$13="OUTSTANDING","OUTSTANDING – attach before T-7D (due "&amp;IF(ISNUMBER(Flights!$AG$13),TEXT(Flights!$AG$13,"DD-MMM-YY HH:MM"),"")&amp;" "&amp;Flights!$V$13&amp;")",IF(Documents!$J$13="","Status not recorded",Documents!$J$13))</f>
        <v>OUTSTANDING – attach before T-7D (due 04-Oct-26 13:05 HAN)</v>
      </c>
      <c r="F14" s="106" t="str">
        <f aca="false">"Staple behind this sheet as page A1."&amp;IF(Documents!$I$13="",""," Location: "&amp;Documents!$I$13)</f>
        <v>Staple behind this sheet as page A1.</v>
      </c>
      <c r="G14" s="106"/>
      <c r="H14" s="106"/>
    </row>
    <row r="15" customFormat="false" ht="36" hidden="false" customHeight="true" outlineLevel="0" collapsed="false">
      <c r="A15" s="91" t="s">
        <v>1633</v>
      </c>
      <c r="B15" s="92" t="str">
        <f aca="false">IF(Documents!$K$13="","",Documents!$K$13)</f>
        <v/>
      </c>
      <c r="C15" s="97" t="str">
        <f aca="false">IF(Documents!$L$13="","",Documents!$L$13)&amp;IF(ISNUMBER(Documents!$M$13),"  "&amp;TEXT(Documents!$M$13,"DD-MMM-YY"),"")</f>
        <v/>
      </c>
      <c r="D15" s="97"/>
      <c r="E15" s="105" t="str">
        <f aca="false">IF(Documents!$O$13="OUTSTANDING","OUTSTANDING – attach before T-7D (due "&amp;IF(ISNUMBER(Flights!$AG$13),TEXT(Flights!$AG$13,"DD-MMM-YY HH:MM"),"")&amp;" "&amp;Flights!$V$13&amp;")",IF(Documents!$O$13="","Status not recorded",Documents!$O$13))</f>
        <v>OUTSTANDING – attach before T-7D (due 04-Oct-26 13:05 HAN)</v>
      </c>
      <c r="F15" s="106" t="str">
        <f aca="false">"Staple behind this sheet as page A2."&amp;IF(Documents!$N$13="",""," Location: "&amp;Documents!$N$13)</f>
        <v>Staple behind this sheet as page A2.</v>
      </c>
      <c r="G15" s="106"/>
      <c r="H15" s="106"/>
    </row>
    <row r="16" customFormat="false" ht="22.5" hidden="false" customHeight="true" outlineLevel="0" collapsed="false">
      <c r="A16" s="91" t="s">
        <v>1634</v>
      </c>
      <c r="B16" s="107" t="str">
        <f aca="false">IF(Documents!$Q$13="","",Documents!$Q$13)</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"&amp;IF(TRIM(Flights!$Y$13)="","__________________",Flights!$Y$13)</f>
        <v>Name: __________________</v>
      </c>
      <c r="B18" s="92"/>
      <c r="C18" s="92" t="str">
        <f aca="false">"Name: __________________"</f>
        <v>Name: __________________</v>
      </c>
      <c r="D18" s="92"/>
      <c r="E18" s="92"/>
      <c r="F18" s="92" t="str">
        <f aca="false">"Name: __________________"&amp;"   Station: "&amp;Flights!$V$13</f>
        <v>Name: __________________   Station: HAN</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Checks!$A$283&amp;CHAR(10)&amp;IF(Checks!$I$283="","",Checks!$I$283&amp;": ")&amp;Checks!$J$283</f>
        <v>F09-T7-01
Meal: Meal sensory testing completed for this flight's menu cycle (assessed class)</v>
      </c>
      <c r="B23" s="112" t="str">
        <f aca="false">Checks!$K$283&amp;IF(Checks!$O$283="","",IF(Checks!$K$283="","",CHAR(10))&amp;"Note: "&amp;Checks!$O$283)</f>
        <v>Record panel result / score in Result</v>
      </c>
      <c r="C23" s="112" t="str">
        <f aca="false">Checks!$N$283&amp;CHAR(10)&amp;IF(ISNUMBER(Checks!$R$283),TEXT(Checks!$R$283,"DD-MMM-YY HH:MM"),"")&amp;" "&amp;Checks!$P$283</f>
        <v>Required
04-Oct-26 13:05 HAN</v>
      </c>
      <c r="D23" s="112" t="str">
        <f aca="false">IF(Checks!$U$283="","",Checks!$U$283)&amp;IF(Checks!$AB$283="","",CHAR(10)&amp;"CA: "&amp;Checks!$AB$283)</f>
        <v/>
      </c>
      <c r="E23" s="112" t="str">
        <f aca="false">IF(Checks!$V$283="","",Checks!$V$283)&amp;IF(Checks!$AC$283="","",IF(Checks!$V$283="","",CHAR(10))&amp;"N/A just.: "&amp;Checks!$AC$283)&amp;IF(Checks!$W$283="","",CHAR(10)&amp;"Batch: "&amp;Checks!$W$283)&amp;IF(AND(Checks!$X$283="",Checks!$Y$283=""),"",CHAR(10)&amp;"Exp: "&amp;Checks!$X$283&amp;"  /  Act: "&amp;Checks!$Y$283)</f>
        <v/>
      </c>
      <c r="F23" s="112" t="str">
        <f aca="false">IF(Checks!$Z$283="","","Evidence: "&amp;Checks!$Z$283)&amp;IF(Checks!$AA$283="","",IF(Checks!$Z$283="","",CHAR(10))&amp;"CA: "&amp;Checks!$AA$283)</f>
        <v/>
      </c>
      <c r="G23" s="112" t="str">
        <f aca="false">IF(ISNUMBER(Checks!$AD$283),TEXT(Checks!$AD$283,"DD-MMM-YY HH:MM")&amp;" "&amp;Checks!$P$283,"")&amp;IF(Checks!$AE$283="","",CHAR(10)&amp;"Verifier: "&amp;Checks!$AE$283)&amp;IF(Checks!$T$283="","",CHAR(10)&amp;"PIC: "&amp;Checks!$T$283)</f>
        <v/>
      </c>
      <c r="H23" s="113" t="str">
        <f aca="false">IF(Checks!$AH$283="","",Checks!$AH$283)</f>
        <v>OPEN</v>
      </c>
    </row>
    <row r="24" customFormat="false" ht="114" hidden="false" customHeight="true" outlineLevel="0" collapsed="false">
      <c r="A24" s="112" t="str">
        <f aca="false">Checks!$A$284&amp;CHAR(10)&amp;IF(Checks!$I$284="","",Checks!$I$284&amp;": ")&amp;Checks!$J$284</f>
        <v>F09-T7-02
Menu: Printed menu cards confirmed (content, cycle, language, quantity)</v>
      </c>
      <c r="B24" s="112" t="str">
        <f aca="false">Checks!$K$284&amp;IF(Checks!$O$284="","",IF(Checks!$K$284="","",CHAR(10))&amp;"Note: "&amp;Checks!$O$284)</f>
        <v>Menu card matches approved menu for this flight</v>
      </c>
      <c r="C24" s="112" t="str">
        <f aca="false">Checks!$N$284&amp;CHAR(10)&amp;IF(ISNUMBER(Checks!$R$284),TEXT(Checks!$R$284,"DD-MMM-YY HH:MM"),"")&amp;" "&amp;Checks!$P$284</f>
        <v>Required
04-Oct-26 13:05 HAN</v>
      </c>
      <c r="D24" s="112" t="str">
        <f aca="false">IF(Checks!$U$284="","",Checks!$U$284)&amp;IF(Checks!$AB$284="","",CHAR(10)&amp;"CA: "&amp;Checks!$AB$284)</f>
        <v/>
      </c>
      <c r="E24" s="112" t="str">
        <f aca="false">IF(Checks!$V$284="","",Checks!$V$284)&amp;IF(Checks!$AC$284="","",IF(Checks!$V$284="","",CHAR(10))&amp;"N/A just.: "&amp;Checks!$AC$284)&amp;IF(Checks!$W$284="","",CHAR(10)&amp;"Batch: "&amp;Checks!$W$284)&amp;IF(AND(Checks!$X$284="",Checks!$Y$284=""),"",CHAR(10)&amp;"Exp: "&amp;Checks!$X$284&amp;"  /  Act: "&amp;Checks!$Y$284)</f>
        <v/>
      </c>
      <c r="F24" s="112" t="str">
        <f aca="false">IF(Checks!$Z$284="","","Evidence: "&amp;Checks!$Z$284)&amp;IF(Checks!$AA$284="","",IF(Checks!$Z$284="","",CHAR(10))&amp;"CA: "&amp;Checks!$AA$284)</f>
        <v/>
      </c>
      <c r="G24" s="112" t="str">
        <f aca="false">IF(ISNUMBER(Checks!$AD$284),TEXT(Checks!$AD$284,"DD-MMM-YY HH:MM")&amp;" "&amp;Checks!$P$284,"")&amp;IF(Checks!$AE$284="","",CHAR(10)&amp;"Verifier: "&amp;Checks!$AE$284)&amp;IF(Checks!$T$284="","",CHAR(10)&amp;"PIC: "&amp;Checks!$T$284)</f>
        <v/>
      </c>
      <c r="H24" s="113" t="str">
        <f aca="false">IF(Checks!$AH$284="","",Checks!$AH$284)</f>
        <v>OPEN</v>
      </c>
    </row>
    <row r="25" customFormat="false" ht="114" hidden="false" customHeight="true" outlineLevel="0" collapsed="false">
      <c r="A25" s="112" t="str">
        <f aca="false">Checks!$A$285&amp;CHAR(10)&amp;IF(Checks!$I$285="","",Checks!$I$285&amp;": ")&amp;Checks!$J$285</f>
        <v>F09-T7-03
IFE: Digital menu in IFE confirmed (A339 only)</v>
      </c>
      <c r="B25" s="112" t="str">
        <f aca="false">Checks!$K$285&amp;IF(Checks!$O$285="","",IF(Checks!$K$285="","",CHAR(10))&amp;"Note: "&amp;Checks!$O$285)</f>
        <v>Applies when fleet = A339
Note: Digital IFE menu applies to A339 only (user brief). Applicability follows the Fleet cell on Flights.</v>
      </c>
      <c r="C25" s="112" t="str">
        <f aca="false">Checks!$N$285&amp;CHAR(10)&amp;IF(ISNUMBER(Checks!$R$285),TEXT(Checks!$R$285,"DD-MMM-YY HH:MM"),"")&amp;" "&amp;Checks!$P$285</f>
        <v>N/A – rule
04-Oct-26 13:05 HAN</v>
      </c>
      <c r="D25" s="112" t="str">
        <f aca="false">IF(Checks!$U$285="","",Checks!$U$285)&amp;IF(Checks!$AB$285="","",CHAR(10)&amp;"CA: "&amp;Checks!$AB$285)</f>
        <v/>
      </c>
      <c r="E25" s="112" t="str">
        <f aca="false">IF(Checks!$V$285="","",Checks!$V$285)&amp;IF(Checks!$AC$285="","",IF(Checks!$V$285="","",CHAR(10))&amp;"N/A just.: "&amp;Checks!$AC$285)&amp;IF(Checks!$W$285="","",CHAR(10)&amp;"Batch: "&amp;Checks!$W$285)&amp;IF(AND(Checks!$X$285="",Checks!$Y$285=""),"",CHAR(10)&amp;"Exp: "&amp;Checks!$X$285&amp;"  /  Act: "&amp;Checks!$Y$285)</f>
        <v/>
      </c>
      <c r="F25" s="112" t="str">
        <f aca="false">IF(Checks!$Z$285="","","Evidence: "&amp;Checks!$Z$285)&amp;IF(Checks!$AA$285="","",IF(Checks!$Z$285="","",CHAR(10))&amp;"CA: "&amp;Checks!$AA$285)</f>
        <v/>
      </c>
      <c r="G25" s="112" t="str">
        <f aca="false">IF(ISNUMBER(Checks!$AD$285),TEXT(Checks!$AD$285,"DD-MMM-YY HH:MM")&amp;" "&amp;Checks!$P$285,"")&amp;IF(Checks!$AE$285="","",CHAR(10)&amp;"Verifier: "&amp;Checks!$AE$285)&amp;IF(Checks!$T$285="","",CHAR(10)&amp;"PIC: "&amp;Checks!$T$285)</f>
        <v/>
      </c>
      <c r="H25" s="113" t="str">
        <f aca="false">IF(Checks!$AH$285="","",Checks!$AH$285)</f>
        <v>N/A – RULE</v>
      </c>
    </row>
    <row r="26" customFormat="false" ht="114" hidden="false" customHeight="true" outlineLevel="0" collapsed="false">
      <c r="A26" s="112" t="str">
        <f aca="false">Checks!$A$286&amp;CHAR(10)&amp;IF(Checks!$I$286="","",Checks!$I$286&amp;": ")&amp;Checks!$J$286</f>
        <v>F09-T7-04
Staffing: Experienced catering officer assigned to this flight</v>
      </c>
      <c r="B26" s="112" t="str">
        <f aca="false">Checks!$K$286&amp;IF(Checks!$O$286="","",IF(Checks!$K$286="","",CHAR(10))&amp;"Note: "&amp;Checks!$O$286)</f>
        <v>Record officer name in Result</v>
      </c>
      <c r="C26" s="112" t="str">
        <f aca="false">Checks!$N$286&amp;CHAR(10)&amp;IF(ISNUMBER(Checks!$R$286),TEXT(Checks!$R$286,"DD-MMM-YY HH:MM"),"")&amp;" "&amp;Checks!$P$286</f>
        <v>Required
04-Oct-26 13:05 HAN</v>
      </c>
      <c r="D26" s="112" t="str">
        <f aca="false">IF(Checks!$U$286="","",Checks!$U$286)&amp;IF(Checks!$AB$286="","",CHAR(10)&amp;"CA: "&amp;Checks!$AB$286)</f>
        <v/>
      </c>
      <c r="E26" s="112" t="str">
        <f aca="false">IF(Checks!$V$286="","",Checks!$V$286)&amp;IF(Checks!$AC$286="","",IF(Checks!$V$286="","",CHAR(10))&amp;"N/A just.: "&amp;Checks!$AC$286)&amp;IF(Checks!$W$286="","",CHAR(10)&amp;"Batch: "&amp;Checks!$W$286)&amp;IF(AND(Checks!$X$286="",Checks!$Y$286=""),"",CHAR(10)&amp;"Exp: "&amp;Checks!$X$286&amp;"  /  Act: "&amp;Checks!$Y$286)</f>
        <v/>
      </c>
      <c r="F26" s="112" t="str">
        <f aca="false">IF(Checks!$Z$286="","","Evidence: "&amp;Checks!$Z$286)&amp;IF(Checks!$AA$286="","",IF(Checks!$Z$286="","",CHAR(10))&amp;"CA: "&amp;Checks!$AA$286)</f>
        <v/>
      </c>
      <c r="G26" s="112" t="str">
        <f aca="false">IF(ISNUMBER(Checks!$AD$286),TEXT(Checks!$AD$286,"DD-MMM-YY HH:MM")&amp;" "&amp;Checks!$P$286,"")&amp;IF(Checks!$AE$286="","",CHAR(10)&amp;"Verifier: "&amp;Checks!$AE$286)&amp;IF(Checks!$T$286="","",CHAR(10)&amp;"PIC: "&amp;Checks!$T$286)</f>
        <v/>
      </c>
      <c r="H26" s="113" t="str">
        <f aca="false">IF(Checks!$AH$286="","",Checks!$AH$286)</f>
        <v>OPEN</v>
      </c>
    </row>
    <row r="27" customFormat="false" ht="114" hidden="false" customHeight="true" outlineLevel="0" collapsed="false">
      <c r="A27" s="112" t="str">
        <f aca="false">Checks!$A$287&amp;CHAR(10)&amp;IF(Checks!$I$287="","",Checks!$I$287&amp;": ")&amp;Checks!$J$287</f>
        <v>F09-T7-05
ISOP: All latest applicable ISOP revisions communicated to caterer</v>
      </c>
      <c r="B27" s="112" t="str">
        <f aca="false">Checks!$K$287&amp;IF(Checks!$O$287="","",IF(Checks!$K$287="","",CHAR(10))&amp;"Note: "&amp;Checks!$O$287)</f>
        <v>List revision numbers in Result (see ISOP register)</v>
      </c>
      <c r="C27" s="112" t="str">
        <f aca="false">Checks!$N$287&amp;CHAR(10)&amp;IF(ISNUMBER(Checks!$R$287),TEXT(Checks!$R$287,"DD-MMM-YY HH:MM"),"")&amp;" "&amp;Checks!$P$287</f>
        <v>Required
04-Oct-26 13:05 HAN</v>
      </c>
      <c r="D27" s="112" t="str">
        <f aca="false">IF(Checks!$U$287="","",Checks!$U$287)&amp;IF(Checks!$AB$287="","",CHAR(10)&amp;"CA: "&amp;Checks!$AB$287)</f>
        <v/>
      </c>
      <c r="E27" s="112" t="str">
        <f aca="false">IF(Checks!$V$287="","",Checks!$V$287)&amp;IF(Checks!$AC$287="","",IF(Checks!$V$287="","",CHAR(10))&amp;"N/A just.: "&amp;Checks!$AC$287)&amp;IF(Checks!$W$287="","",CHAR(10)&amp;"Batch: "&amp;Checks!$W$287)&amp;IF(AND(Checks!$X$287="",Checks!$Y$287=""),"",CHAR(10)&amp;"Exp: "&amp;Checks!$X$287&amp;"  /  Act: "&amp;Checks!$Y$287)</f>
        <v/>
      </c>
      <c r="F27" s="112" t="str">
        <f aca="false">IF(Checks!$Z$287="","","Evidence: "&amp;Checks!$Z$287)&amp;IF(Checks!$AA$287="","",IF(Checks!$Z$287="","",CHAR(10))&amp;"CA: "&amp;Checks!$AA$287)</f>
        <v/>
      </c>
      <c r="G27" s="112" t="str">
        <f aca="false">IF(ISNUMBER(Checks!$AD$287),TEXT(Checks!$AD$287,"DD-MMM-YY HH:MM")&amp;" "&amp;Checks!$P$287,"")&amp;IF(Checks!$AE$287="","",CHAR(10)&amp;"Verifier: "&amp;Checks!$AE$287)&amp;IF(Checks!$T$287="","",CHAR(10)&amp;"PIC: "&amp;Checks!$T$287)</f>
        <v/>
      </c>
      <c r="H27" s="113" t="str">
        <f aca="false">IF(Checks!$AH$287="","",Checks!$AH$287)</f>
        <v>OPEN</v>
      </c>
    </row>
    <row r="28" customFormat="false" ht="114" hidden="false" customHeight="true" outlineLevel="0" collapsed="false">
      <c r="A28" s="112" t="str">
        <f aca="false">Checks!$A$288&amp;CHAR(10)&amp;IF(Checks!$I$288="","",Checks!$I$288&amp;": ")&amp;Checks!$J$288</f>
        <v>F09-T7-06
ISOP: Caterer acknowledgement of ISOP revisions recorded</v>
      </c>
      <c r="B28" s="112" t="str">
        <f aca="false">Checks!$K$288&amp;IF(Checks!$O$288="","",IF(Checks!$K$288="","",CHAR(10))&amp;"Note: "&amp;Checks!$O$288)</f>
        <v>Record acknowledgement ref in Evidence</v>
      </c>
      <c r="C28" s="112" t="str">
        <f aca="false">Checks!$N$288&amp;CHAR(10)&amp;IF(ISNUMBER(Checks!$R$288),TEXT(Checks!$R$288,"DD-MMM-YY HH:MM"),"")&amp;" "&amp;Checks!$P$288</f>
        <v>Required
04-Oct-26 13:05 HAN</v>
      </c>
      <c r="D28" s="112" t="str">
        <f aca="false">IF(Checks!$U$288="","",Checks!$U$288)&amp;IF(Checks!$AB$288="","",CHAR(10)&amp;"CA: "&amp;Checks!$AB$288)</f>
        <v/>
      </c>
      <c r="E28" s="112" t="str">
        <f aca="false">IF(Checks!$V$288="","",Checks!$V$288)&amp;IF(Checks!$AC$288="","",IF(Checks!$V$288="","",CHAR(10))&amp;"N/A just.: "&amp;Checks!$AC$288)&amp;IF(Checks!$W$288="","",CHAR(10)&amp;"Batch: "&amp;Checks!$W$288)&amp;IF(AND(Checks!$X$288="",Checks!$Y$288=""),"",CHAR(10)&amp;"Exp: "&amp;Checks!$X$288&amp;"  /  Act: "&amp;Checks!$Y$288)</f>
        <v/>
      </c>
      <c r="F28" s="112" t="str">
        <f aca="false">IF(Checks!$Z$288="","","Evidence: "&amp;Checks!$Z$288)&amp;IF(Checks!$AA$288="","",IF(Checks!$Z$288="","",CHAR(10))&amp;"CA: "&amp;Checks!$AA$288)</f>
        <v/>
      </c>
      <c r="G28" s="112" t="str">
        <f aca="false">IF(ISNUMBER(Checks!$AD$288),TEXT(Checks!$AD$288,"DD-MMM-YY HH:MM")&amp;" "&amp;Checks!$P$288,"")&amp;IF(Checks!$AE$288="","",CHAR(10)&amp;"Verifier: "&amp;Checks!$AE$288)&amp;IF(Checks!$T$288="","",CHAR(10)&amp;"PIC: "&amp;Checks!$T$288)</f>
        <v/>
      </c>
      <c r="H28" s="113" t="str">
        <f aca="false">IF(Checks!$AH$288="","",Checks!$AH$288)</f>
        <v>OPEN</v>
      </c>
    </row>
    <row r="29" customFormat="false" ht="114" hidden="false" customHeight="true" outlineLevel="0" collapsed="false">
      <c r="A29" s="112" t="str">
        <f aca="false">Checks!$A$289&amp;CHAR(10)&amp;IF(Checks!$I$289="","",Checks!$I$289&amp;": ")&amp;Checks!$J$289</f>
        <v>F09-T7-07
Documents: Galley loading diagram (GLD) received, revision recorded &amp; attached</v>
      </c>
      <c r="B29" s="112" t="str">
        <f aca="false">Checks!$K$289&amp;IF(Checks!$O$289="","",IF(Checks!$K$289="","",CHAR(10))&amp;"Note: "&amp;Checks!$O$289)</f>
        <v>Documents sheet row complete</v>
      </c>
      <c r="C29" s="112" t="str">
        <f aca="false">Checks!$N$289&amp;CHAR(10)&amp;IF(ISNUMBER(Checks!$R$289),TEXT(Checks!$R$289,"DD-MMM-YY HH:MM"),"")&amp;" "&amp;Checks!$P$289</f>
        <v>Required
04-Oct-26 13:05 HAN</v>
      </c>
      <c r="D29" s="112" t="str">
        <f aca="false">IF(Checks!$U$289="","",Checks!$U$289)&amp;IF(Checks!$AB$289="","",CHAR(10)&amp;"CA: "&amp;Checks!$AB$289)</f>
        <v/>
      </c>
      <c r="E29" s="112" t="str">
        <f aca="false">IF(Checks!$V$289="","",Checks!$V$289)&amp;IF(Checks!$AC$289="","",IF(Checks!$V$289="","",CHAR(10))&amp;"N/A just.: "&amp;Checks!$AC$289)&amp;IF(Checks!$W$289="","",CHAR(10)&amp;"Batch: "&amp;Checks!$W$289)&amp;IF(AND(Checks!$X$289="",Checks!$Y$289=""),"",CHAR(10)&amp;"Exp: "&amp;Checks!$X$289&amp;"  /  Act: "&amp;Checks!$Y$289)</f>
        <v/>
      </c>
      <c r="F29" s="112" t="str">
        <f aca="false">IF(Checks!$Z$289="","","Evidence: "&amp;Checks!$Z$289)&amp;IF(Checks!$AA$289="","",IF(Checks!$Z$289="","",CHAR(10))&amp;"CA: "&amp;Checks!$AA$289)</f>
        <v/>
      </c>
      <c r="G29" s="112" t="str">
        <f aca="false">IF(ISNUMBER(Checks!$AD$289),TEXT(Checks!$AD$289,"DD-MMM-YY HH:MM")&amp;" "&amp;Checks!$P$289,"")&amp;IF(Checks!$AE$289="","",CHAR(10)&amp;"Verifier: "&amp;Checks!$AE$289)&amp;IF(Checks!$T$289="","",CHAR(10)&amp;"PIC: "&amp;Checks!$T$289)</f>
        <v/>
      </c>
      <c r="H29" s="113" t="str">
        <f aca="false">IF(Checks!$AH$289="","",Checks!$AH$289)</f>
        <v>OPEN</v>
      </c>
    </row>
    <row r="30" customFormat="false" ht="114" hidden="false" customHeight="true" outlineLevel="0" collapsed="false">
      <c r="A30" s="112" t="str">
        <f aca="false">Checks!$A$290&amp;CHAR(10)&amp;IF(Checks!$I$290="","",Checks!$I$290&amp;": ")&amp;Checks!$J$290</f>
        <v>F09-T7-08
Documents: Menu checklist received, revision recorded &amp; attached</v>
      </c>
      <c r="B30" s="112" t="str">
        <f aca="false">Checks!$K$290&amp;IF(Checks!$O$290="","",IF(Checks!$K$290="","",CHAR(10))&amp;"Note: "&amp;Checks!$O$290)</f>
        <v>Documents sheet row complete</v>
      </c>
      <c r="C30" s="112" t="str">
        <f aca="false">Checks!$N$290&amp;CHAR(10)&amp;IF(ISNUMBER(Checks!$R$290),TEXT(Checks!$R$290,"DD-MMM-YY HH:MM"),"")&amp;" "&amp;Checks!$P$290</f>
        <v>Required
04-Oct-26 13:05 HAN</v>
      </c>
      <c r="D30" s="112" t="str">
        <f aca="false">IF(Checks!$U$290="","",Checks!$U$290)&amp;IF(Checks!$AB$290="","",CHAR(10)&amp;"CA: "&amp;Checks!$AB$290)</f>
        <v/>
      </c>
      <c r="E30" s="112" t="str">
        <f aca="false">IF(Checks!$V$290="","",Checks!$V$290)&amp;IF(Checks!$AC$290="","",IF(Checks!$V$290="","",CHAR(10))&amp;"N/A just.: "&amp;Checks!$AC$290)&amp;IF(Checks!$W$290="","",CHAR(10)&amp;"Batch: "&amp;Checks!$W$290)&amp;IF(AND(Checks!$X$290="",Checks!$Y$290=""),"",CHAR(10)&amp;"Exp: "&amp;Checks!$X$290&amp;"  /  Act: "&amp;Checks!$Y$290)</f>
        <v/>
      </c>
      <c r="F30" s="112" t="str">
        <f aca="false">IF(Checks!$Z$290="","","Evidence: "&amp;Checks!$Z$290)&amp;IF(Checks!$AA$290="","",IF(Checks!$Z$290="","",CHAR(10))&amp;"CA: "&amp;Checks!$AA$290)</f>
        <v/>
      </c>
      <c r="G30" s="112" t="str">
        <f aca="false">IF(ISNUMBER(Checks!$AD$290),TEXT(Checks!$AD$290,"DD-MMM-YY HH:MM")&amp;" "&amp;Checks!$P$290,"")&amp;IF(Checks!$AE$290="","",CHAR(10)&amp;"Verifier: "&amp;Checks!$AE$290)&amp;IF(Checks!$T$290="","",CHAR(10)&amp;"PIC: "&amp;Checks!$T$290)</f>
        <v/>
      </c>
      <c r="H30" s="113" t="str">
        <f aca="false">IF(Checks!$AH$290="","",Checks!$AH$290)</f>
        <v>OPEN</v>
      </c>
    </row>
    <row r="31" customFormat="false" ht="114" hidden="false" customHeight="true" outlineLevel="0" collapsed="false">
      <c r="A31" s="112" t="str">
        <f aca="false">Checks!$A$291&amp;CHAR(10)&amp;IF(Checks!$I$291="","",Checks!$I$291&amp;": ")&amp;Checks!$J$291</f>
        <v>F09-T7-09
Uplift plan: Uplift plan confirmed with caterer vs STD Uplift Information</v>
      </c>
      <c r="B31" s="112" t="str">
        <f aca="false">Checks!$K$291&amp;IF(Checks!$O$291="","",IF(Checks!$K$291="","",CHAR(10))&amp;"Note: "&amp;Checks!$O$291)</f>
        <v>Service: 1 Meal (Meal); meal uplift stn HAN (ref lists KUL/HAN)</v>
      </c>
      <c r="C31" s="112" t="str">
        <f aca="false">Checks!$N$291&amp;CHAR(10)&amp;IF(ISNUMBER(Checks!$R$291),TEXT(Checks!$R$291,"DD-MMM-YY HH:MM"),"")&amp;" "&amp;Checks!$P$291</f>
        <v>Required
04-Oct-26 13:05 HAN</v>
      </c>
      <c r="D31" s="112" t="str">
        <f aca="false">IF(Checks!$U$291="","",Checks!$U$291)&amp;IF(Checks!$AB$291="","",CHAR(10)&amp;"CA: "&amp;Checks!$AB$291)</f>
        <v/>
      </c>
      <c r="E31" s="112" t="str">
        <f aca="false">IF(Checks!$V$291="","",Checks!$V$291)&amp;IF(Checks!$AC$291="","",IF(Checks!$V$291="","",CHAR(10))&amp;"N/A just.: "&amp;Checks!$AC$291)&amp;IF(Checks!$W$291="","",CHAR(10)&amp;"Batch: "&amp;Checks!$W$291)&amp;IF(AND(Checks!$X$291="",Checks!$Y$291=""),"",CHAR(10)&amp;"Exp: "&amp;Checks!$X$291&amp;"  /  Act: "&amp;Checks!$Y$291)</f>
        <v/>
      </c>
      <c r="F31" s="112" t="str">
        <f aca="false">IF(Checks!$Z$291="","","Evidence: "&amp;Checks!$Z$291)&amp;IF(Checks!$AA$291="","",IF(Checks!$Z$291="","",CHAR(10))&amp;"CA: "&amp;Checks!$AA$291)</f>
        <v/>
      </c>
      <c r="G31" s="112" t="str">
        <f aca="false">IF(ISNUMBER(Checks!$AD$291),TEXT(Checks!$AD$291,"DD-MMM-YY HH:MM")&amp;" "&amp;Checks!$P$291,"")&amp;IF(Checks!$AE$291="","",CHAR(10)&amp;"Verifier: "&amp;Checks!$AE$291)&amp;IF(Checks!$T$291="","",CHAR(10)&amp;"PIC: "&amp;Checks!$T$291)</f>
        <v/>
      </c>
      <c r="H31" s="113" t="str">
        <f aca="false">IF(Checks!$AH$291="","",Checks!$AH$291)</f>
        <v>OPEN</v>
      </c>
    </row>
    <row r="32" customFormat="false" ht="25.5" hidden="false" customHeight="true" outlineLevel="0" collapsed="false">
      <c r="A32" s="111"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Checks!$A$292&amp;CHAR(10)&amp;IF(Checks!$I$292="","",Checks!$I$292&amp;": ")&amp;Checks!$J$292</f>
        <v>F09-T24-01
Meal: Sensory test repeated on ACTUAL production batch for this flight</v>
      </c>
      <c r="B33" s="112" t="str">
        <f aca="false">Checks!$K$292&amp;IF(Checks!$O$292="","",IF(Checks!$K$292="","",CHAR(10))&amp;"Note: "&amp;Checks!$O$292)</f>
        <v>Batch ID, result, CA and acceptance mandatory</v>
      </c>
      <c r="C33" s="112" t="str">
        <f aca="false">Checks!$N$292&amp;CHAR(10)&amp;IF(ISNUMBER(Checks!$R$292),TEXT(Checks!$R$292,"DD-MMM-YY HH:MM"),"")&amp;" "&amp;Checks!$P$292</f>
        <v>Required
10-Oct-26 13:05 HAN</v>
      </c>
      <c r="D33" s="112" t="str">
        <f aca="false">IF(Checks!$U$292="","",Checks!$U$292)&amp;IF(Checks!$AB$292="","",CHAR(10)&amp;"CA: "&amp;Checks!$AB$292)</f>
        <v/>
      </c>
      <c r="E33" s="112" t="str">
        <f aca="false">IF(Checks!$V$292="","",Checks!$V$292)&amp;IF(Checks!$AC$292="","",IF(Checks!$V$292="","",CHAR(10))&amp;"N/A just.: "&amp;Checks!$AC$292)&amp;IF(Checks!$W$292="","",CHAR(10)&amp;"Batch: "&amp;Checks!$W$292)&amp;IF(AND(Checks!$X$292="",Checks!$Y$292=""),"",CHAR(10)&amp;"Exp: "&amp;Checks!$X$292&amp;"  /  Act: "&amp;Checks!$Y$292)</f>
        <v/>
      </c>
      <c r="F33" s="112" t="str">
        <f aca="false">IF(Checks!$Z$292="","","Evidence: "&amp;Checks!$Z$292)&amp;IF(Checks!$AA$292="","",IF(Checks!$Z$292="","",CHAR(10))&amp;"CA: "&amp;Checks!$AA$292)</f>
        <v/>
      </c>
      <c r="G33" s="112" t="str">
        <f aca="false">IF(ISNUMBER(Checks!$AD$292),TEXT(Checks!$AD$292,"DD-MMM-YY HH:MM")&amp;" "&amp;Checks!$P$292,"")&amp;IF(Checks!$AE$292="","",CHAR(10)&amp;"Verifier: "&amp;Checks!$AE$292)&amp;IF(Checks!$T$292="","",CHAR(10)&amp;"PIC: "&amp;Checks!$T$292)</f>
        <v/>
      </c>
      <c r="H33" s="113" t="str">
        <f aca="false">IF(Checks!$AH$292="","",Checks!$AH$292)</f>
        <v>OPEN</v>
      </c>
    </row>
    <row r="34" customFormat="false" ht="25.5" hidden="false" customHeight="true" outlineLevel="0" collapsed="false">
      <c r="A34" s="111"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1"/>
      <c r="C34" s="111"/>
      <c r="D34" s="111"/>
      <c r="E34" s="111"/>
      <c r="F34" s="111"/>
      <c r="G34" s="111"/>
      <c r="H34" s="111"/>
    </row>
    <row r="35" customFormat="false" ht="114" hidden="false" customHeight="true" outlineLevel="0" collapsed="false">
      <c r="A35" s="112" t="str">
        <f aca="false">Checks!$A$293&amp;CHAR(10)&amp;IF(Checks!$I$293="","",Checks!$I$293&amp;": ")&amp;Checks!$J$293</f>
        <v>F09-T12-01
Meal: Meal quality vs menu checklist</v>
      </c>
      <c r="B35" s="112" t="str">
        <f aca="false">Checks!$K$293&amp;IF(Checks!$O$293="","",IF(Checks!$K$293="","",CHAR(10))&amp;"Note: "&amp;Checks!$O$293)</f>
        <v>Note: Preparation check at caterer - does NOT confirm loading.</v>
      </c>
      <c r="C35" s="112" t="str">
        <f aca="false">Checks!$N$293&amp;CHAR(10)&amp;IF(ISNUMBER(Checks!$R$293),TEXT(Checks!$R$293,"DD-MMM-YY HH:MM"),"")&amp;" "&amp;Checks!$P$293</f>
        <v>Required
11-Oct-26 01:05 HAN</v>
      </c>
      <c r="D35" s="112" t="str">
        <f aca="false">IF(Checks!$U$293="","",Checks!$U$293)&amp;IF(Checks!$AB$293="","",CHAR(10)&amp;"CA: "&amp;Checks!$AB$293)</f>
        <v/>
      </c>
      <c r="E35" s="112" t="str">
        <f aca="false">IF(Checks!$V$293="","",Checks!$V$293)&amp;IF(Checks!$AC$293="","",IF(Checks!$V$293="","",CHAR(10))&amp;"N/A just.: "&amp;Checks!$AC$293)&amp;IF(Checks!$W$293="","",CHAR(10)&amp;"Batch: "&amp;Checks!$W$293)&amp;IF(AND(Checks!$X$293="",Checks!$Y$293=""),"",CHAR(10)&amp;"Exp: "&amp;Checks!$X$293&amp;"  /  Act: "&amp;Checks!$Y$293)</f>
        <v/>
      </c>
      <c r="F35" s="112" t="str">
        <f aca="false">IF(Checks!$Z$293="","","Evidence: "&amp;Checks!$Z$293)&amp;IF(Checks!$AA$293="","",IF(Checks!$Z$293="","",CHAR(10))&amp;"CA: "&amp;Checks!$AA$293)</f>
        <v/>
      </c>
      <c r="G35" s="112" t="str">
        <f aca="false">IF(ISNUMBER(Checks!$AD$293),TEXT(Checks!$AD$293,"DD-MMM-YY HH:MM")&amp;" "&amp;Checks!$P$293,"")&amp;IF(Checks!$AE$293="","",CHAR(10)&amp;"Verifier: "&amp;Checks!$AE$293)&amp;IF(Checks!$T$293="","",CHAR(10)&amp;"PIC: "&amp;Checks!$T$293)</f>
        <v/>
      </c>
      <c r="H35" s="113" t="str">
        <f aca="false">IF(Checks!$AH$293="","",Checks!$AH$293)</f>
        <v>OPEN</v>
      </c>
    </row>
    <row r="36" customFormat="false" ht="114" hidden="false" customHeight="true" outlineLevel="0" collapsed="false">
      <c r="A36" s="112" t="str">
        <f aca="false">Checks!$A$294&amp;CHAR(10)&amp;IF(Checks!$I$294="","",Checks!$I$294&amp;": ")&amp;Checks!$J$294</f>
        <v>F09-T12-02
Meal: Meal quantities vs menu checklist</v>
      </c>
      <c r="B36" s="112" t="str">
        <f aca="false">Checks!$K$294&amp;IF(Checks!$O$294="","",IF(Checks!$K$294="","",CHAR(10))&amp;"Note: "&amp;Checks!$O$294)</f>
        <v>Enter expected &amp; actual
Note: Preparation check at caterer - does NOT confirm loading.</v>
      </c>
      <c r="C36" s="112" t="str">
        <f aca="false">Checks!$N$294&amp;CHAR(10)&amp;IF(ISNUMBER(Checks!$R$294),TEXT(Checks!$R$294,"DD-MMM-YY HH:MM"),"")&amp;" "&amp;Checks!$P$294</f>
        <v>Required
11-Oct-26 01:05 HAN</v>
      </c>
      <c r="D36" s="112" t="str">
        <f aca="false">IF(Checks!$U$294="","",Checks!$U$294)&amp;IF(Checks!$AB$294="","",CHAR(10)&amp;"CA: "&amp;Checks!$AB$294)</f>
        <v/>
      </c>
      <c r="E36" s="112" t="str">
        <f aca="false">IF(Checks!$V$294="","",Checks!$V$294)&amp;IF(Checks!$AC$294="","",IF(Checks!$V$294="","",CHAR(10))&amp;"N/A just.: "&amp;Checks!$AC$294)&amp;IF(Checks!$W$294="","",CHAR(10)&amp;"Batch: "&amp;Checks!$W$294)&amp;IF(AND(Checks!$X$294="",Checks!$Y$294=""),"",CHAR(10)&amp;"Exp: "&amp;Checks!$X$294&amp;"  /  Act: "&amp;Checks!$Y$294)</f>
        <v/>
      </c>
      <c r="F36" s="112" t="str">
        <f aca="false">IF(Checks!$Z$294="","","Evidence: "&amp;Checks!$Z$294)&amp;IF(Checks!$AA$294="","",IF(Checks!$Z$294="","",CHAR(10))&amp;"CA: "&amp;Checks!$AA$294)</f>
        <v/>
      </c>
      <c r="G36" s="112" t="str">
        <f aca="false">IF(ISNUMBER(Checks!$AD$294),TEXT(Checks!$AD$294,"DD-MMM-YY HH:MM")&amp;" "&amp;Checks!$P$294,"")&amp;IF(Checks!$AE$294="","",CHAR(10)&amp;"Verifier: "&amp;Checks!$AE$294)&amp;IF(Checks!$T$294="","",CHAR(10)&amp;"PIC: "&amp;Checks!$T$294)</f>
        <v/>
      </c>
      <c r="H36" s="113" t="str">
        <f aca="false">IF(Checks!$AH$294="","",Checks!$AH$294)</f>
        <v>OPEN</v>
      </c>
    </row>
    <row r="37" customFormat="false" ht="114" hidden="false" customHeight="true" outlineLevel="0" collapsed="false">
      <c r="A37" s="112" t="str">
        <f aca="false">Checks!$A$295&amp;CHAR(10)&amp;IF(Checks!$I$295="","",Checks!$I$295&amp;": ")&amp;Checks!$J$295</f>
        <v>F09-T12-03
Equipment: Equipment cleanliness vs GLD</v>
      </c>
      <c r="B37" s="112" t="str">
        <f aca="false">Checks!$K$295&amp;IF(Checks!$O$295="","",IF(Checks!$K$295="","",CHAR(10))&amp;"Note: "&amp;Checks!$O$295)</f>
        <v>Note: Preparation check at caterer - does NOT confirm loading.</v>
      </c>
      <c r="C37" s="112" t="str">
        <f aca="false">Checks!$N$295&amp;CHAR(10)&amp;IF(ISNUMBER(Checks!$R$295),TEXT(Checks!$R$295,"DD-MMM-YY HH:MM"),"")&amp;" "&amp;Checks!$P$295</f>
        <v>Required
11-Oct-26 01:05 HAN</v>
      </c>
      <c r="D37" s="112" t="str">
        <f aca="false">IF(Checks!$U$295="","",Checks!$U$295)&amp;IF(Checks!$AB$295="","",CHAR(10)&amp;"CA: "&amp;Checks!$AB$295)</f>
        <v/>
      </c>
      <c r="E37" s="112" t="str">
        <f aca="false">IF(Checks!$V$295="","",Checks!$V$295)&amp;IF(Checks!$AC$295="","",IF(Checks!$V$295="","",CHAR(10))&amp;"N/A just.: "&amp;Checks!$AC$295)&amp;IF(Checks!$W$295="","",CHAR(10)&amp;"Batch: "&amp;Checks!$W$295)&amp;IF(AND(Checks!$X$295="",Checks!$Y$295=""),"",CHAR(10)&amp;"Exp: "&amp;Checks!$X$295&amp;"  /  Act: "&amp;Checks!$Y$295)</f>
        <v/>
      </c>
      <c r="F37" s="112" t="str">
        <f aca="false">IF(Checks!$Z$295="","","Evidence: "&amp;Checks!$Z$295)&amp;IF(Checks!$AA$295="","",IF(Checks!$Z$295="","",CHAR(10))&amp;"CA: "&amp;Checks!$AA$295)</f>
        <v/>
      </c>
      <c r="G37" s="112" t="str">
        <f aca="false">IF(ISNUMBER(Checks!$AD$295),TEXT(Checks!$AD$295,"DD-MMM-YY HH:MM")&amp;" "&amp;Checks!$P$295,"")&amp;IF(Checks!$AE$295="","",CHAR(10)&amp;"Verifier: "&amp;Checks!$AE$295)&amp;IF(Checks!$T$295="","",CHAR(10)&amp;"PIC: "&amp;Checks!$T$295)</f>
        <v/>
      </c>
      <c r="H37" s="113" t="str">
        <f aca="false">IF(Checks!$AH$295="","",Checks!$AH$295)</f>
        <v>OPEN</v>
      </c>
    </row>
    <row r="38" customFormat="false" ht="114" hidden="false" customHeight="true" outlineLevel="0" collapsed="false">
      <c r="A38" s="112" t="str">
        <f aca="false">Checks!$A$296&amp;CHAR(10)&amp;IF(Checks!$I$296="","",Checks!$I$296&amp;": ")&amp;Checks!$J$296</f>
        <v>F09-T12-04
Equipment: Equipment presentation vs GLD</v>
      </c>
      <c r="B38" s="112" t="str">
        <f aca="false">Checks!$K$296&amp;IF(Checks!$O$296="","",IF(Checks!$K$296="","",CHAR(10))&amp;"Note: "&amp;Checks!$O$296)</f>
        <v>Note: Preparation check at caterer - does NOT confirm loading.</v>
      </c>
      <c r="C38" s="112" t="str">
        <f aca="false">Checks!$N$296&amp;CHAR(10)&amp;IF(ISNUMBER(Checks!$R$296),TEXT(Checks!$R$296,"DD-MMM-YY HH:MM"),"")&amp;" "&amp;Checks!$P$296</f>
        <v>Required
11-Oct-26 01:05 HAN</v>
      </c>
      <c r="D38" s="112" t="str">
        <f aca="false">IF(Checks!$U$296="","",Checks!$U$296)&amp;IF(Checks!$AB$296="","",CHAR(10)&amp;"CA: "&amp;Checks!$AB$296)</f>
        <v/>
      </c>
      <c r="E38" s="112" t="str">
        <f aca="false">IF(Checks!$V$296="","",Checks!$V$296)&amp;IF(Checks!$AC$296="","",IF(Checks!$V$296="","",CHAR(10))&amp;"N/A just.: "&amp;Checks!$AC$296)&amp;IF(Checks!$W$296="","",CHAR(10)&amp;"Batch: "&amp;Checks!$W$296)&amp;IF(AND(Checks!$X$296="",Checks!$Y$296=""),"",CHAR(10)&amp;"Exp: "&amp;Checks!$X$296&amp;"  /  Act: "&amp;Checks!$Y$296)</f>
        <v/>
      </c>
      <c r="F38" s="112" t="str">
        <f aca="false">IF(Checks!$Z$296="","","Evidence: "&amp;Checks!$Z$296)&amp;IF(Checks!$AA$296="","",IF(Checks!$Z$296="","",CHAR(10))&amp;"CA: "&amp;Checks!$AA$296)</f>
        <v/>
      </c>
      <c r="G38" s="112" t="str">
        <f aca="false">IF(ISNUMBER(Checks!$AD$296),TEXT(Checks!$AD$296,"DD-MMM-YY HH:MM")&amp;" "&amp;Checks!$P$296,"")&amp;IF(Checks!$AE$296="","",CHAR(10)&amp;"Verifier: "&amp;Checks!$AE$296)&amp;IF(Checks!$T$296="","",CHAR(10)&amp;"PIC: "&amp;Checks!$T$296)</f>
        <v/>
      </c>
      <c r="H38" s="113" t="str">
        <f aca="false">IF(Checks!$AH$296="","",Checks!$AH$296)</f>
        <v>OPEN</v>
      </c>
    </row>
    <row r="39" customFormat="false" ht="114" hidden="false" customHeight="true" outlineLevel="0" collapsed="false">
      <c r="A39" s="112" t="str">
        <f aca="false">Checks!$A$297&amp;CHAR(10)&amp;IF(Checks!$I$297="","",Checks!$I$297&amp;": ")&amp;Checks!$J$297</f>
        <v>F09-T12-05
Equipment: Equipment serviceability vs GLD</v>
      </c>
      <c r="B39" s="112" t="str">
        <f aca="false">Checks!$K$297&amp;IF(Checks!$O$297="","",IF(Checks!$K$297="","",CHAR(10))&amp;"Note: "&amp;Checks!$O$297)</f>
        <v>Note: Preparation check at caterer - does NOT confirm loading.</v>
      </c>
      <c r="C39" s="112" t="str">
        <f aca="false">Checks!$N$297&amp;CHAR(10)&amp;IF(ISNUMBER(Checks!$R$297),TEXT(Checks!$R$297,"DD-MMM-YY HH:MM"),"")&amp;" "&amp;Checks!$P$297</f>
        <v>Required
11-Oct-26 01:05 HAN</v>
      </c>
      <c r="D39" s="112" t="str">
        <f aca="false">IF(Checks!$U$297="","",Checks!$U$297)&amp;IF(Checks!$AB$297="","",CHAR(10)&amp;"CA: "&amp;Checks!$AB$297)</f>
        <v/>
      </c>
      <c r="E39" s="112" t="str">
        <f aca="false">IF(Checks!$V$297="","",Checks!$V$297)&amp;IF(Checks!$AC$297="","",IF(Checks!$V$297="","",CHAR(10))&amp;"N/A just.: "&amp;Checks!$AC$297)&amp;IF(Checks!$W$297="","",CHAR(10)&amp;"Batch: "&amp;Checks!$W$297)&amp;IF(AND(Checks!$X$297="",Checks!$Y$297=""),"",CHAR(10)&amp;"Exp: "&amp;Checks!$X$297&amp;"  /  Act: "&amp;Checks!$Y$297)</f>
        <v/>
      </c>
      <c r="F39" s="112" t="str">
        <f aca="false">IF(Checks!$Z$297="","","Evidence: "&amp;Checks!$Z$297)&amp;IF(Checks!$AA$297="","",IF(Checks!$Z$297="","",CHAR(10))&amp;"CA: "&amp;Checks!$AA$297)</f>
        <v/>
      </c>
      <c r="G39" s="112" t="str">
        <f aca="false">IF(ISNUMBER(Checks!$AD$297),TEXT(Checks!$AD$297,"DD-MMM-YY HH:MM")&amp;" "&amp;Checks!$P$297,"")&amp;IF(Checks!$AE$297="","",CHAR(10)&amp;"Verifier: "&amp;Checks!$AE$297)&amp;IF(Checks!$T$297="","",CHAR(10)&amp;"PIC: "&amp;Checks!$T$297)</f>
        <v/>
      </c>
      <c r="H39" s="113" t="str">
        <f aca="false">IF(Checks!$AH$297="","",Checks!$AH$297)</f>
        <v>OPEN</v>
      </c>
    </row>
    <row r="40" customFormat="false" ht="190.5" hidden="false" customHeight="true" outlineLevel="0" collapsed="false">
      <c r="A40" s="112" t="str">
        <f aca="false">Checks!$A$298&amp;CHAR(10)&amp;IF(Checks!$I$298="","",Checks!$I$298&amp;": ")&amp;Checks!$J$298</f>
        <v>F09-T12-06
Equipment: Equipment quantities vs GLD</v>
      </c>
      <c r="B40" s="112"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2" t="str">
        <f aca="false">Checks!$N$298&amp;CHAR(10)&amp;IF(ISNUMBER(Checks!$R$298),TEXT(Checks!$R$298,"DD-MMM-YY HH:MM"),"")&amp;" "&amp;Checks!$P$298</f>
        <v>Required
11-Oct-26 01:05 HAN</v>
      </c>
      <c r="D40" s="112" t="str">
        <f aca="false">IF(Checks!$U$298="","",Checks!$U$298)&amp;IF(Checks!$AB$298="","",CHAR(10)&amp;"CA: "&amp;Checks!$AB$298)</f>
        <v/>
      </c>
      <c r="E40" s="112" t="str">
        <f aca="false">IF(Checks!$V$298="","",Checks!$V$298)&amp;IF(Checks!$AC$298="","",IF(Checks!$V$298="","",CHAR(10))&amp;"N/A just.: "&amp;Checks!$AC$298)&amp;IF(Checks!$W$298="","",CHAR(10)&amp;"Batch: "&amp;Checks!$W$298)&amp;IF(AND(Checks!$X$298="",Checks!$Y$298=""),"",CHAR(10)&amp;"Exp: "&amp;Checks!$X$298&amp;"  /  Act: "&amp;Checks!$Y$298)</f>
        <v/>
      </c>
      <c r="F40" s="112" t="str">
        <f aca="false">IF(Checks!$Z$298="","","Evidence: "&amp;Checks!$Z$298)&amp;IF(Checks!$AA$298="","",IF(Checks!$Z$298="","",CHAR(10))&amp;"CA: "&amp;Checks!$AA$298)</f>
        <v/>
      </c>
      <c r="G40" s="112" t="str">
        <f aca="false">IF(ISNUMBER(Checks!$AD$298),TEXT(Checks!$AD$298,"DD-MMM-YY HH:MM")&amp;" "&amp;Checks!$P$298,"")&amp;IF(Checks!$AE$298="","",CHAR(10)&amp;"Verifier: "&amp;Checks!$AE$298)&amp;IF(Checks!$T$298="","",CHAR(10)&amp;"PIC: "&amp;Checks!$T$298)</f>
        <v/>
      </c>
      <c r="H40" s="113" t="str">
        <f aca="false">IF(Checks!$AH$298="","",Checks!$AH$298)</f>
        <v>OPEN</v>
      </c>
    </row>
    <row r="41" customFormat="false" ht="114" hidden="false" customHeight="true" outlineLevel="0" collapsed="false">
      <c r="A41" s="112" t="str">
        <f aca="false">Checks!$A$299&amp;CHAR(10)&amp;IF(Checks!$I$299="","",Checks!$I$299&amp;": ")&amp;Checks!$J$299</f>
        <v>F09-T12-07
Equipment: Loading positions planned vs GLD</v>
      </c>
      <c r="B41" s="112" t="str">
        <f aca="false">Checks!$K$299&amp;IF(Checks!$O$299="","",IF(Checks!$K$299="","",CHAR(10))&amp;"Note: "&amp;Checks!$O$299)</f>
        <v>Note: Preparation check at caterer - does NOT confirm loading.</v>
      </c>
      <c r="C41" s="112" t="str">
        <f aca="false">Checks!$N$299&amp;CHAR(10)&amp;IF(ISNUMBER(Checks!$R$299),TEXT(Checks!$R$299,"DD-MMM-YY HH:MM"),"")&amp;" "&amp;Checks!$P$299</f>
        <v>Required
11-Oct-26 01:05 HAN</v>
      </c>
      <c r="D41" s="112" t="str">
        <f aca="false">IF(Checks!$U$299="","",Checks!$U$299)&amp;IF(Checks!$AB$299="","",CHAR(10)&amp;"CA: "&amp;Checks!$AB$299)</f>
        <v/>
      </c>
      <c r="E41" s="112" t="str">
        <f aca="false">IF(Checks!$V$299="","",Checks!$V$299)&amp;IF(Checks!$AC$299="","",IF(Checks!$V$299="","",CHAR(10))&amp;"N/A just.: "&amp;Checks!$AC$299)&amp;IF(Checks!$W$299="","",CHAR(10)&amp;"Batch: "&amp;Checks!$W$299)&amp;IF(AND(Checks!$X$299="",Checks!$Y$299=""),"",CHAR(10)&amp;"Exp: "&amp;Checks!$X$299&amp;"  /  Act: "&amp;Checks!$Y$299)</f>
        <v/>
      </c>
      <c r="F41" s="112" t="str">
        <f aca="false">IF(Checks!$Z$299="","","Evidence: "&amp;Checks!$Z$299)&amp;IF(Checks!$AA$299="","",IF(Checks!$Z$299="","",CHAR(10))&amp;"CA: "&amp;Checks!$AA$299)</f>
        <v/>
      </c>
      <c r="G41" s="112" t="str">
        <f aca="false">IF(ISNUMBER(Checks!$AD$299),TEXT(Checks!$AD$299,"DD-MMM-YY HH:MM")&amp;" "&amp;Checks!$P$299,"")&amp;IF(Checks!$AE$299="","",CHAR(10)&amp;"Verifier: "&amp;Checks!$AE$299)&amp;IF(Checks!$T$299="","",CHAR(10)&amp;"PIC: "&amp;Checks!$T$299)</f>
        <v/>
      </c>
      <c r="H41" s="113" t="str">
        <f aca="false">IF(Checks!$AH$299="","",Checks!$AH$299)</f>
        <v>OPEN</v>
      </c>
    </row>
    <row r="42" customFormat="false" ht="168.75" hidden="false" customHeight="true" outlineLevel="0" collapsed="false">
      <c r="A42" s="112" t="str">
        <f aca="false">Checks!$A$300&amp;CHAR(10)&amp;IF(Checks!$I$300="","",Checks!$I$300&amp;": ")&amp;Checks!$J$300</f>
        <v>F09-T12-08
Amenities: Disposable slippers in DAM cart (BC, on request) - prepared</v>
      </c>
      <c r="B42" s="112"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2" t="str">
        <f aca="false">Checks!$N$300&amp;CHAR(10)&amp;IF(ISNUMBER(Checks!$R$300),TEXT(Checks!$R$300,"DD-MMM-YY HH:MM"),"")&amp;" "&amp;Checks!$P$300</f>
        <v>Required
11-Oct-26 01:05 HAN</v>
      </c>
      <c r="D42" s="112" t="str">
        <f aca="false">IF(Checks!$U$300="","",Checks!$U$300)&amp;IF(Checks!$AB$300="","",CHAR(10)&amp;"CA: "&amp;Checks!$AB$300)</f>
        <v/>
      </c>
      <c r="E42" s="112" t="str">
        <f aca="false">IF(Checks!$V$300="","",Checks!$V$300)&amp;IF(Checks!$AC$300="","",IF(Checks!$V$300="","",CHAR(10))&amp;"N/A just.: "&amp;Checks!$AC$300)&amp;IF(Checks!$W$300="","",CHAR(10)&amp;"Batch: "&amp;Checks!$W$300)&amp;IF(AND(Checks!$X$300="",Checks!$Y$300=""),"",CHAR(10)&amp;"Exp: "&amp;Checks!$X$300&amp;"  /  Act: "&amp;Checks!$Y$300)</f>
        <v/>
      </c>
      <c r="F42" s="112" t="str">
        <f aca="false">IF(Checks!$Z$300="","","Evidence: "&amp;Checks!$Z$300)&amp;IF(Checks!$AA$300="","",IF(Checks!$Z$300="","",CHAR(10))&amp;"CA: "&amp;Checks!$AA$300)</f>
        <v/>
      </c>
      <c r="G42" s="112" t="str">
        <f aca="false">IF(ISNUMBER(Checks!$AD$300),TEXT(Checks!$AD$300,"DD-MMM-YY HH:MM")&amp;" "&amp;Checks!$P$300,"")&amp;IF(Checks!$AE$300="","",CHAR(10)&amp;"Verifier: "&amp;Checks!$AE$300)&amp;IF(Checks!$T$300="","",CHAR(10)&amp;"PIC: "&amp;Checks!$T$300)</f>
        <v/>
      </c>
      <c r="H42" s="113" t="str">
        <f aca="false">IF(Checks!$AH$300="","",Checks!$AH$300)</f>
        <v>OPEN</v>
      </c>
    </row>
    <row r="43" customFormat="false" ht="114" hidden="false" customHeight="true" outlineLevel="0" collapsed="false">
      <c r="A43" s="112" t="str">
        <f aca="false">Checks!$A$301&amp;CHAR(10)&amp;IF(Checks!$I$301="","",Checks!$I$301&amp;": ")&amp;Checks!$J$301</f>
        <v>F09-T12-09
F&amp;B Linen: Towel - prepared</v>
      </c>
      <c r="B43" s="112" t="str">
        <f aca="false">Checks!$K$301&amp;IF(Checks!$O$301="","",IF(Checks!$K$301="","",CHAR(10))&amp;"Note: "&amp;Checks!$O$301)</f>
        <v>Available (ticked in reference)
Note: Reference gives no uplift stn for this item: preparation checked at the meal uplift stn (HAN) - confirm with caterer.</v>
      </c>
      <c r="C43" s="112" t="str">
        <f aca="false">Checks!$N$301&amp;CHAR(10)&amp;IF(ISNUMBER(Checks!$R$301),TEXT(Checks!$R$301,"DD-MMM-YY HH:MM"),"")&amp;" "&amp;Checks!$P$301</f>
        <v>Required
11-Oct-26 01:05 HAN</v>
      </c>
      <c r="D43" s="112" t="str">
        <f aca="false">IF(Checks!$U$301="","",Checks!$U$301)&amp;IF(Checks!$AB$301="","",CHAR(10)&amp;"CA: "&amp;Checks!$AB$301)</f>
        <v/>
      </c>
      <c r="E43" s="112" t="str">
        <f aca="false">IF(Checks!$V$301="","",Checks!$V$301)&amp;IF(Checks!$AC$301="","",IF(Checks!$V$301="","",CHAR(10))&amp;"N/A just.: "&amp;Checks!$AC$301)&amp;IF(Checks!$W$301="","",CHAR(10)&amp;"Batch: "&amp;Checks!$W$301)&amp;IF(AND(Checks!$X$301="",Checks!$Y$301=""),"",CHAR(10)&amp;"Exp: "&amp;Checks!$X$301&amp;"  /  Act: "&amp;Checks!$Y$301)</f>
        <v/>
      </c>
      <c r="F43" s="112" t="str">
        <f aca="false">IF(Checks!$Z$301="","","Evidence: "&amp;Checks!$Z$301)&amp;IF(Checks!$AA$301="","",IF(Checks!$Z$301="","",CHAR(10))&amp;"CA: "&amp;Checks!$AA$301)</f>
        <v/>
      </c>
      <c r="G43" s="112" t="str">
        <f aca="false">IF(ISNUMBER(Checks!$AD$301),TEXT(Checks!$AD$301,"DD-MMM-YY HH:MM")&amp;" "&amp;Checks!$P$301,"")&amp;IF(Checks!$AE$301="","",CHAR(10)&amp;"Verifier: "&amp;Checks!$AE$301)&amp;IF(Checks!$T$301="","",CHAR(10)&amp;"PIC: "&amp;Checks!$T$301)</f>
        <v/>
      </c>
      <c r="H43" s="113" t="str">
        <f aca="false">IF(Checks!$AH$301="","",Checks!$AH$301)</f>
        <v>OPEN</v>
      </c>
    </row>
    <row r="44" customFormat="false" ht="114" hidden="false" customHeight="true" outlineLevel="0" collapsed="false">
      <c r="A44" s="112" t="str">
        <f aca="false">Checks!$A$302&amp;CHAR(10)&amp;IF(Checks!$I$302="","",Checks!$I$302&amp;": ")&amp;Checks!$J$302</f>
        <v>F09-T12-10
F&amp;B Linen: Tray cloth - prepared</v>
      </c>
      <c r="B44" s="112" t="str">
        <f aca="false">Checks!$K$302&amp;IF(Checks!$O$302="","",IF(Checks!$K$302="","",CHAR(10))&amp;"Note: "&amp;Checks!$O$302)</f>
        <v>Available (ticked in reference)
Note: Reference gives no uplift stn for this item: preparation checked at the meal uplift stn (HAN) - confirm with caterer.</v>
      </c>
      <c r="C44" s="112" t="str">
        <f aca="false">Checks!$N$302&amp;CHAR(10)&amp;IF(ISNUMBER(Checks!$R$302),TEXT(Checks!$R$302,"DD-MMM-YY HH:MM"),"")&amp;" "&amp;Checks!$P$302</f>
        <v>Required
11-Oct-26 01:05 HAN</v>
      </c>
      <c r="D44" s="112" t="str">
        <f aca="false">IF(Checks!$U$302="","",Checks!$U$302)&amp;IF(Checks!$AB$302="","",CHAR(10)&amp;"CA: "&amp;Checks!$AB$302)</f>
        <v/>
      </c>
      <c r="E44" s="112" t="str">
        <f aca="false">IF(Checks!$V$302="","",Checks!$V$302)&amp;IF(Checks!$AC$302="","",IF(Checks!$V$302="","",CHAR(10))&amp;"N/A just.: "&amp;Checks!$AC$302)&amp;IF(Checks!$W$302="","",CHAR(10)&amp;"Batch: "&amp;Checks!$W$302)&amp;IF(AND(Checks!$X$302="",Checks!$Y$302=""),"",CHAR(10)&amp;"Exp: "&amp;Checks!$X$302&amp;"  /  Act: "&amp;Checks!$Y$302)</f>
        <v/>
      </c>
      <c r="F44" s="112" t="str">
        <f aca="false">IF(Checks!$Z$302="","","Evidence: "&amp;Checks!$Z$302)&amp;IF(Checks!$AA$302="","",IF(Checks!$Z$302="","",CHAR(10))&amp;"CA: "&amp;Checks!$AA$302)</f>
        <v/>
      </c>
      <c r="G44" s="112" t="str">
        <f aca="false">IF(ISNUMBER(Checks!$AD$302),TEXT(Checks!$AD$302,"DD-MMM-YY HH:MM")&amp;" "&amp;Checks!$P$302,"")&amp;IF(Checks!$AE$302="","",CHAR(10)&amp;"Verifier: "&amp;Checks!$AE$302)&amp;IF(Checks!$T$302="","",CHAR(10)&amp;"PIC: "&amp;Checks!$T$302)</f>
        <v/>
      </c>
      <c r="H44" s="113" t="str">
        <f aca="false">IF(Checks!$AH$302="","",Checks!$AH$302)</f>
        <v>OPEN</v>
      </c>
    </row>
    <row r="45" customFormat="false" ht="114" hidden="false" customHeight="true" outlineLevel="0" collapsed="false">
      <c r="A45" s="112" t="str">
        <f aca="false">Checks!$A$303&amp;CHAR(10)&amp;IF(Checks!$I$303="","",Checks!$I$303&amp;": ")&amp;Checks!$J$303</f>
        <v>F09-T12-11
F&amp;B Linen: Napkin - prepared</v>
      </c>
      <c r="B45" s="112" t="str">
        <f aca="false">Checks!$K$303&amp;IF(Checks!$O$303="","",IF(Checks!$K$303="","",CHAR(10))&amp;"Note: "&amp;Checks!$O$303)</f>
        <v>Available (ticked in reference)
Note: Reference gives no uplift stn for this item: preparation checked at the meal uplift stn (HAN) - confirm with caterer.</v>
      </c>
      <c r="C45" s="112" t="str">
        <f aca="false">Checks!$N$303&amp;CHAR(10)&amp;IF(ISNUMBER(Checks!$R$303),TEXT(Checks!$R$303,"DD-MMM-YY HH:MM"),"")&amp;" "&amp;Checks!$P$303</f>
        <v>Required
11-Oct-26 01:05 HAN</v>
      </c>
      <c r="D45" s="112" t="str">
        <f aca="false">IF(Checks!$U$303="","",Checks!$U$303)&amp;IF(Checks!$AB$303="","",CHAR(10)&amp;"CA: "&amp;Checks!$AB$303)</f>
        <v/>
      </c>
      <c r="E45" s="112" t="str">
        <f aca="false">IF(Checks!$V$303="","",Checks!$V$303)&amp;IF(Checks!$AC$303="","",IF(Checks!$V$303="","",CHAR(10))&amp;"N/A just.: "&amp;Checks!$AC$303)&amp;IF(Checks!$W$303="","",CHAR(10)&amp;"Batch: "&amp;Checks!$W$303)&amp;IF(AND(Checks!$X$303="",Checks!$Y$303=""),"",CHAR(10)&amp;"Exp: "&amp;Checks!$X$303&amp;"  /  Act: "&amp;Checks!$Y$303)</f>
        <v/>
      </c>
      <c r="F45" s="112" t="str">
        <f aca="false">IF(Checks!$Z$303="","","Evidence: "&amp;Checks!$Z$303)&amp;IF(Checks!$AA$303="","",IF(Checks!$Z$303="","",CHAR(10))&amp;"CA: "&amp;Checks!$AA$303)</f>
        <v/>
      </c>
      <c r="G45" s="112" t="str">
        <f aca="false">IF(ISNUMBER(Checks!$AD$303),TEXT(Checks!$AD$303,"DD-MMM-YY HH:MM")&amp;" "&amp;Checks!$P$303,"")&amp;IF(Checks!$AE$303="","",CHAR(10)&amp;"Verifier: "&amp;Checks!$AE$303)&amp;IF(Checks!$T$303="","",CHAR(10)&amp;"PIC: "&amp;Checks!$T$303)</f>
        <v/>
      </c>
      <c r="H45" s="113" t="str">
        <f aca="false">IF(Checks!$AH$303="","",Checks!$AH$303)</f>
        <v>OPEN</v>
      </c>
    </row>
    <row r="46" customFormat="false" ht="279" hidden="false" customHeight="true" outlineLevel="0" collapsed="false">
      <c r="A46" s="112" t="str">
        <f aca="false">Checks!$A$304&amp;CHAR(10)&amp;IF(Checks!$I$304="","",Checks!$I$304&amp;": ")&amp;Checks!$J$304</f>
        <v>F09-T12-12
F&amp;B Linen: Table cloth - prepared</v>
      </c>
      <c r="B46" s="112" t="str">
        <f aca="false">SUBSTITUTE(Checks!$K$304&amp;IF(Checks!$O$304="","",IF(Checks!$K$304="","",CHAR(10))&amp;"Note: "&amp;Checks!$O$304),"F&amp;B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2" t="str">
        <f aca="false">Checks!$N$304&amp;CHAR(10)&amp;IF(ISNUMBER(Checks!$R$304),TEXT(Checks!$R$304,"DD-MMM-YY HH:MM"),"")&amp;" "&amp;Checks!$P$304</f>
        <v>Clarification required
11-Oct-26 01:05 HAN</v>
      </c>
      <c r="D46" s="112" t="str">
        <f aca="false">IF(Checks!$U$304="","",Checks!$U$304)&amp;IF(Checks!$AB$304="","",CHAR(10)&amp;"CA: "&amp;Checks!$AB$304)</f>
        <v/>
      </c>
      <c r="E46" s="112" t="str">
        <f aca="false">IF(Checks!$V$304="","",Checks!$V$304)&amp;IF(Checks!$AC$304="","",IF(Checks!$V$304="","",CHAR(10))&amp;"N/A just.: "&amp;Checks!$AC$304)&amp;IF(Checks!$W$304="","",CHAR(10)&amp;"Batch: "&amp;Checks!$W$304)&amp;IF(AND(Checks!$X$304="",Checks!$Y$304=""),"",CHAR(10)&amp;"Exp: "&amp;Checks!$X$304&amp;"  /  Act: "&amp;Checks!$Y$304)</f>
        <v/>
      </c>
      <c r="F46" s="112" t="str">
        <f aca="false">IF(Checks!$Z$304="","","Evidence: "&amp;Checks!$Z$304)&amp;IF(Checks!$AA$304="","",IF(Checks!$Z$304="","",CHAR(10))&amp;"CA: "&amp;Checks!$AA$304)</f>
        <v/>
      </c>
      <c r="G46" s="112" t="str">
        <f aca="false">IF(ISNUMBER(Checks!$AD$304),TEXT(Checks!$AD$304,"DD-MMM-YY HH:MM")&amp;" "&amp;Checks!$P$304,"")&amp;IF(Checks!$AE$304="","",CHAR(10)&amp;"Verifier: "&amp;Checks!$AE$304)&amp;IF(Checks!$T$304="","",CHAR(10)&amp;"PIC: "&amp;Checks!$T$304)</f>
        <v/>
      </c>
      <c r="H46" s="113" t="str">
        <f aca="false">IF(Checks!$AH$304="","",Checks!$AH$304)</f>
        <v>OPEN – CLARIFICATION</v>
      </c>
    </row>
    <row r="47" customFormat="false" ht="279" hidden="false" customHeight="true" outlineLevel="0" collapsed="false">
      <c r="A47" s="112" t="str">
        <f aca="false">Checks!$A$305&amp;CHAR(10)&amp;IF(Checks!$I$305="","",Checks!$I$305&amp;": ")&amp;Checks!$J$305</f>
        <v>F09-T12-13
F&amp;B Linen: Bread linen (using table cloth) - prepared</v>
      </c>
      <c r="B47" s="112" t="str">
        <f aca="false">SUBSTITUTE(Checks!$K$305&amp;IF(Checks!$O$305="","",IF(Checks!$K$305="","",CHAR(10))&amp;"Note: "&amp;Checks!$O$305),"F&amp;B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2" t="str">
        <f aca="false">Checks!$N$305&amp;CHAR(10)&amp;IF(ISNUMBER(Checks!$R$305),TEXT(Checks!$R$305,"DD-MMM-YY HH:MM"),"")&amp;" "&amp;Checks!$P$305</f>
        <v>Clarification required
11-Oct-26 01:05 HAN</v>
      </c>
      <c r="D47" s="112" t="str">
        <f aca="false">IF(Checks!$U$305="","",Checks!$U$305)&amp;IF(Checks!$AB$305="","",CHAR(10)&amp;"CA: "&amp;Checks!$AB$305)</f>
        <v/>
      </c>
      <c r="E47" s="112" t="str">
        <f aca="false">IF(Checks!$V$305="","",Checks!$V$305)&amp;IF(Checks!$AC$305="","",IF(Checks!$V$305="","",CHAR(10))&amp;"N/A just.: "&amp;Checks!$AC$305)&amp;IF(Checks!$W$305="","",CHAR(10)&amp;"Batch: "&amp;Checks!$W$305)&amp;IF(AND(Checks!$X$305="",Checks!$Y$305=""),"",CHAR(10)&amp;"Exp: "&amp;Checks!$X$305&amp;"  /  Act: "&amp;Checks!$Y$305)</f>
        <v/>
      </c>
      <c r="F47" s="112" t="str">
        <f aca="false">IF(Checks!$Z$305="","","Evidence: "&amp;Checks!$Z$305)&amp;IF(Checks!$AA$305="","",IF(Checks!$Z$305="","",CHAR(10))&amp;"CA: "&amp;Checks!$AA$305)</f>
        <v/>
      </c>
      <c r="G47" s="112" t="str">
        <f aca="false">IF(ISNUMBER(Checks!$AD$305),TEXT(Checks!$AD$305,"DD-MMM-YY HH:MM")&amp;" "&amp;Checks!$P$305,"")&amp;IF(Checks!$AE$305="","",CHAR(10)&amp;"Verifier: "&amp;Checks!$AE$305)&amp;IF(Checks!$T$305="","",CHAR(10)&amp;"PIC: "&amp;Checks!$T$305)</f>
        <v/>
      </c>
      <c r="H47" s="113" t="str">
        <f aca="false">IF(Checks!$AH$305="","",Checks!$AH$305)</f>
        <v>OPEN – CLARIFICATION</v>
      </c>
    </row>
    <row r="48" customFormat="false" ht="124.5" hidden="false" customHeight="true" outlineLevel="0" collapsed="false">
      <c r="A48" s="112" t="str">
        <f aca="false">Checks!$A$306&amp;CHAR(10)&amp;IF(Checks!$I$306="","",Checks!$I$306&amp;": ")&amp;Checks!$J$306</f>
        <v>F09-T12-14
F&amp;B Linen: Trolley cloth - prepared</v>
      </c>
      <c r="B48" s="112"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2" t="str">
        <f aca="false">Checks!$N$306&amp;CHAR(10)&amp;IF(ISNUMBER(Checks!$R$306),TEXT(Checks!$R$306,"DD-MMM-YY HH:MM"),"")&amp;" "&amp;Checks!$P$306</f>
        <v>Required
11-Oct-26 01:05 HAN</v>
      </c>
      <c r="D48" s="112" t="str">
        <f aca="false">IF(Checks!$U$306="","",Checks!$U$306)&amp;IF(Checks!$AB$306="","",CHAR(10)&amp;"CA: "&amp;Checks!$AB$306)</f>
        <v/>
      </c>
      <c r="E48" s="112" t="str">
        <f aca="false">IF(Checks!$V$306="","",Checks!$V$306)&amp;IF(Checks!$AC$306="","",IF(Checks!$V$306="","",CHAR(10))&amp;"N/A just.: "&amp;Checks!$AC$306)&amp;IF(Checks!$W$306="","",CHAR(10)&amp;"Batch: "&amp;Checks!$W$306)&amp;IF(AND(Checks!$X$306="",Checks!$Y$306=""),"",CHAR(10)&amp;"Exp: "&amp;Checks!$X$306&amp;"  /  Act: "&amp;Checks!$Y$306)</f>
        <v/>
      </c>
      <c r="F48" s="112" t="str">
        <f aca="false">IF(Checks!$Z$306="","","Evidence: "&amp;Checks!$Z$306)&amp;IF(Checks!$AA$306="","",IF(Checks!$Z$306="","",CHAR(10))&amp;"CA: "&amp;Checks!$AA$306)</f>
        <v/>
      </c>
      <c r="G48" s="112" t="str">
        <f aca="false">IF(ISNUMBER(Checks!$AD$306),TEXT(Checks!$AD$306,"DD-MMM-YY HH:MM")&amp;" "&amp;Checks!$P$306,"")&amp;IF(Checks!$AE$306="","",CHAR(10)&amp;"Verifier: "&amp;Checks!$AE$306)&amp;IF(Checks!$T$306="","",CHAR(10)&amp;"PIC: "&amp;Checks!$T$306)</f>
        <v/>
      </c>
      <c r="H48" s="113" t="str">
        <f aca="false">IF(Checks!$AH$306="","",Checks!$AH$306)</f>
        <v>OPEN</v>
      </c>
    </row>
    <row r="49" customFormat="false" ht="114" hidden="false" customHeight="true" outlineLevel="0" collapsed="false">
      <c r="A49" s="112" t="str">
        <f aca="false">Checks!$A$307&amp;CHAR(10)&amp;IF(Checks!$I$307="","",Checks!$I$307&amp;": ")&amp;Checks!$J$307</f>
        <v>F09-T12-15
F&amp;B Linen: Linen bag - prepared</v>
      </c>
      <c r="B49" s="112" t="str">
        <f aca="false">Checks!$K$307&amp;IF(Checks!$O$307="","",IF(Checks!$K$307="","",CHAR(10))&amp;"Note: "&amp;Checks!$O$307)</f>
        <v>Available (ticked in reference)
Note: Reference gives no uplift stn for this item: preparation checked at the meal uplift stn (HAN) - confirm with caterer.</v>
      </c>
      <c r="C49" s="112" t="str">
        <f aca="false">Checks!$N$307&amp;CHAR(10)&amp;IF(ISNUMBER(Checks!$R$307),TEXT(Checks!$R$307,"DD-MMM-YY HH:MM"),"")&amp;" "&amp;Checks!$P$307</f>
        <v>Required
11-Oct-26 01:05 HAN</v>
      </c>
      <c r="D49" s="112" t="str">
        <f aca="false">IF(Checks!$U$307="","",Checks!$U$307)&amp;IF(Checks!$AB$307="","",CHAR(10)&amp;"CA: "&amp;Checks!$AB$307)</f>
        <v/>
      </c>
      <c r="E49" s="112" t="str">
        <f aca="false">IF(Checks!$V$307="","",Checks!$V$307)&amp;IF(Checks!$AC$307="","",IF(Checks!$V$307="","",CHAR(10))&amp;"N/A just.: "&amp;Checks!$AC$307)&amp;IF(Checks!$W$307="","",CHAR(10)&amp;"Batch: "&amp;Checks!$W$307)&amp;IF(AND(Checks!$X$307="",Checks!$Y$307=""),"",CHAR(10)&amp;"Exp: "&amp;Checks!$X$307&amp;"  /  Act: "&amp;Checks!$Y$307)</f>
        <v/>
      </c>
      <c r="F49" s="112" t="str">
        <f aca="false">IF(Checks!$Z$307="","","Evidence: "&amp;Checks!$Z$307)&amp;IF(Checks!$AA$307="","",IF(Checks!$Z$307="","",CHAR(10))&amp;"CA: "&amp;Checks!$AA$307)</f>
        <v/>
      </c>
      <c r="G49" s="112" t="str">
        <f aca="false">IF(ISNUMBER(Checks!$AD$307),TEXT(Checks!$AD$307,"DD-MMM-YY HH:MM")&amp;" "&amp;Checks!$P$307,"")&amp;IF(Checks!$AE$307="","",CHAR(10)&amp;"Verifier: "&amp;Checks!$AE$307)&amp;IF(Checks!$T$307="","",CHAR(10)&amp;"PIC: "&amp;Checks!$T$307)</f>
        <v/>
      </c>
      <c r="H49" s="113" t="str">
        <f aca="false">IF(Checks!$AH$307="","",Checks!$AH$307)</f>
        <v>OPEN</v>
      </c>
    </row>
    <row r="50" customFormat="false" ht="114" hidden="false" customHeight="true" outlineLevel="0" collapsed="false">
      <c r="A50" s="112" t="str">
        <f aca="false">Checks!$A$308&amp;CHAR(10)&amp;IF(Checks!$I$308="","",Checks!$I$308&amp;": ")&amp;Checks!$J$308</f>
        <v>F09-T12-16
Seat Linen: Seat pillow (BS &amp; BC) - prepared</v>
      </c>
      <c r="B50" s="112" t="str">
        <f aca="false">Checks!$K$308&amp;IF(Checks!$O$308="","",IF(Checks!$K$308="","",CHAR(10))&amp;"Note: "&amp;Checks!$O$308)</f>
        <v>Available 100% (ticked in reference)
Note: Reference gives no uplift stn for this item: preparation checked at the meal uplift stn (HAN) - confirm with caterer.</v>
      </c>
      <c r="C50" s="112" t="str">
        <f aca="false">Checks!$N$308&amp;CHAR(10)&amp;IF(ISNUMBER(Checks!$R$308),TEXT(Checks!$R$308,"DD-MMM-YY HH:MM"),"")&amp;" "&amp;Checks!$P$308</f>
        <v>Required
11-Oct-26 01:05 HAN</v>
      </c>
      <c r="D50" s="112" t="str">
        <f aca="false">IF(Checks!$U$308="","",Checks!$U$308)&amp;IF(Checks!$AB$308="","",CHAR(10)&amp;"CA: "&amp;Checks!$AB$308)</f>
        <v/>
      </c>
      <c r="E50" s="112" t="str">
        <f aca="false">IF(Checks!$V$308="","",Checks!$V$308)&amp;IF(Checks!$AC$308="","",IF(Checks!$V$308="","",CHAR(10))&amp;"N/A just.: "&amp;Checks!$AC$308)&amp;IF(Checks!$W$308="","",CHAR(10)&amp;"Batch: "&amp;Checks!$W$308)&amp;IF(AND(Checks!$X$308="",Checks!$Y$308=""),"",CHAR(10)&amp;"Exp: "&amp;Checks!$X$308&amp;"  /  Act: "&amp;Checks!$Y$308)</f>
        <v/>
      </c>
      <c r="F50" s="112" t="str">
        <f aca="false">IF(Checks!$Z$308="","","Evidence: "&amp;Checks!$Z$308)&amp;IF(Checks!$AA$308="","",IF(Checks!$Z$308="","",CHAR(10))&amp;"CA: "&amp;Checks!$AA$308)</f>
        <v/>
      </c>
      <c r="G50" s="112" t="str">
        <f aca="false">IF(ISNUMBER(Checks!$AD$308),TEXT(Checks!$AD$308,"DD-MMM-YY HH:MM")&amp;" "&amp;Checks!$P$308,"")&amp;IF(Checks!$AE$308="","",CHAR(10)&amp;"Verifier: "&amp;Checks!$AE$308)&amp;IF(Checks!$T$308="","",CHAR(10)&amp;"PIC: "&amp;Checks!$T$308)</f>
        <v/>
      </c>
      <c r="H50" s="113" t="str">
        <f aca="false">IF(Checks!$AH$308="","",Checks!$AH$308)</f>
        <v>OPEN</v>
      </c>
    </row>
    <row r="51" customFormat="false" ht="114" hidden="false" customHeight="true" outlineLevel="0" collapsed="false">
      <c r="A51" s="112" t="str">
        <f aca="false">Checks!$A$309&amp;CHAR(10)&amp;IF(Checks!$I$309="","",Checks!$I$309&amp;": ")&amp;Checks!$J$309</f>
        <v>F09-T12-17
Seat Linen: Blanket (BS &amp; BC) - prepared</v>
      </c>
      <c r="B51" s="112" t="str">
        <f aca="false">Checks!$K$309&amp;IF(Checks!$O$309="","",IF(Checks!$K$309="","",CHAR(10))&amp;"Note: "&amp;Checks!$O$309)</f>
        <v>Available 100% (ticked in reference)
Note: Reference gives no uplift stn for this item: preparation checked at the meal uplift stn (HAN) - confirm with caterer.</v>
      </c>
      <c r="C51" s="112" t="str">
        <f aca="false">Checks!$N$309&amp;CHAR(10)&amp;IF(ISNUMBER(Checks!$R$309),TEXT(Checks!$R$309,"DD-MMM-YY HH:MM"),"")&amp;" "&amp;Checks!$P$309</f>
        <v>Required
11-Oct-26 01:05 HAN</v>
      </c>
      <c r="D51" s="112" t="str">
        <f aca="false">IF(Checks!$U$309="","",Checks!$U$309)&amp;IF(Checks!$AB$309="","",CHAR(10)&amp;"CA: "&amp;Checks!$AB$309)</f>
        <v/>
      </c>
      <c r="E51" s="112" t="str">
        <f aca="false">IF(Checks!$V$309="","",Checks!$V$309)&amp;IF(Checks!$AC$309="","",IF(Checks!$V$309="","",CHAR(10))&amp;"N/A just.: "&amp;Checks!$AC$309)&amp;IF(Checks!$W$309="","",CHAR(10)&amp;"Batch: "&amp;Checks!$W$309)&amp;IF(AND(Checks!$X$309="",Checks!$Y$309=""),"",CHAR(10)&amp;"Exp: "&amp;Checks!$X$309&amp;"  /  Act: "&amp;Checks!$Y$309)</f>
        <v/>
      </c>
      <c r="F51" s="112" t="str">
        <f aca="false">IF(Checks!$Z$309="","","Evidence: "&amp;Checks!$Z$309)&amp;IF(Checks!$AA$309="","",IF(Checks!$Z$309="","",CHAR(10))&amp;"CA: "&amp;Checks!$AA$309)</f>
        <v/>
      </c>
      <c r="G51" s="112" t="str">
        <f aca="false">IF(ISNUMBER(Checks!$AD$309),TEXT(Checks!$AD$309,"DD-MMM-YY HH:MM")&amp;" "&amp;Checks!$P$309,"")&amp;IF(Checks!$AE$309="","",CHAR(10)&amp;"Verifier: "&amp;Checks!$AE$309)&amp;IF(Checks!$T$309="","",CHAR(10)&amp;"PIC: "&amp;Checks!$T$309)</f>
        <v/>
      </c>
      <c r="H51" s="113" t="str">
        <f aca="false">IF(Checks!$AH$309="","",Checks!$AH$309)</f>
        <v>OPEN</v>
      </c>
    </row>
    <row r="52" customFormat="false" ht="25.5" hidden="false" customHeight="true" outlineLevel="0" collapsed="false">
      <c r="A52" s="111"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1"/>
      <c r="C52" s="111"/>
      <c r="D52" s="111"/>
      <c r="E52" s="111"/>
      <c r="F52" s="111"/>
      <c r="G52" s="111"/>
      <c r="H52" s="111"/>
    </row>
    <row r="53" customFormat="false" ht="114" hidden="false" customHeight="true" outlineLevel="0" collapsed="false">
      <c r="A53" s="112" t="str">
        <f aca="false">Checks!$A$310&amp;CHAR(10)&amp;IF(Checks!$I$310="","",Checks!$I$310&amp;": ")&amp;Checks!$J$310</f>
        <v>F09-UPL-01
Meal: Meals physically uplifted on board - quantity vs menu checklist</v>
      </c>
      <c r="B53" s="112" t="str">
        <f aca="false">Checks!$K$310&amp;IF(Checks!$O$310="","",IF(Checks!$K$310="","",CHAR(10))&amp;"Note: "&amp;Checks!$O$310)</f>
        <v>Enter expected &amp; actual
Note: Confirm on board before departure; completion time must fall inside the uplift window.</v>
      </c>
      <c r="C53" s="112" t="str">
        <f aca="false">Checks!$N$310&amp;CHAR(10)&amp;IF(ISNUMBER(Checks!$R$310),TEXT(Checks!$R$310,"DD-MMM-YY HH:MM"),"")&amp;" "&amp;Checks!$P$310</f>
        <v>Required
11-Oct-26 13:05 HAN</v>
      </c>
      <c r="D53" s="112" t="str">
        <f aca="false">IF(Checks!$U$310="","",Checks!$U$310)&amp;IF(Checks!$AB$310="","",CHAR(10)&amp;"CA: "&amp;Checks!$AB$310)</f>
        <v/>
      </c>
      <c r="E53" s="112" t="str">
        <f aca="false">IF(Checks!$V$310="","",Checks!$V$310)&amp;IF(Checks!$AC$310="","",IF(Checks!$V$310="","",CHAR(10))&amp;"N/A just.: "&amp;Checks!$AC$310)&amp;IF(Checks!$W$310="","",CHAR(10)&amp;"Batch: "&amp;Checks!$W$310)&amp;IF(AND(Checks!$X$310="",Checks!$Y$310=""),"",CHAR(10)&amp;"Exp: "&amp;Checks!$X$310&amp;"  /  Act: "&amp;Checks!$Y$310)</f>
        <v/>
      </c>
      <c r="F53" s="112" t="str">
        <f aca="false">IF(Checks!$Z$310="","","Evidence: "&amp;Checks!$Z$310)&amp;IF(Checks!$AA$310="","",IF(Checks!$Z$310="","",CHAR(10))&amp;"CA: "&amp;Checks!$AA$310)</f>
        <v/>
      </c>
      <c r="G53" s="112" t="str">
        <f aca="false">IF(ISNUMBER(Checks!$AD$310),TEXT(Checks!$AD$310,"DD-MMM-YY HH:MM")&amp;" "&amp;Checks!$P$310,"")&amp;IF(Checks!$AE$310="","",CHAR(10)&amp;"Verifier: "&amp;Checks!$AE$310)&amp;IF(Checks!$T$310="","",CHAR(10)&amp;"PIC: "&amp;Checks!$T$310)</f>
        <v/>
      </c>
      <c r="H53" s="113" t="str">
        <f aca="false">IF(Checks!$AH$310="","",Checks!$AH$310)</f>
        <v>OPEN</v>
      </c>
    </row>
    <row r="54" customFormat="false" ht="114" hidden="false" customHeight="true" outlineLevel="0" collapsed="false">
      <c r="A54" s="112" t="str">
        <f aca="false">Checks!$A$311&amp;CHAR(10)&amp;IF(Checks!$I$311="","",Checks!$I$311&amp;": ")&amp;Checks!$J$311</f>
        <v>F09-UPL-02
Equipment: Equipment physically loaded at GLD positions - quantity &amp; positions</v>
      </c>
      <c r="B54" s="112" t="str">
        <f aca="false">Checks!$K$311&amp;IF(Checks!$O$311="","",IF(Checks!$K$311="","",CHAR(10))&amp;"Note: "&amp;Checks!$O$311)</f>
        <v>Enter expected &amp; actual
Note: Confirm on board before departure; completion time must fall inside the uplift window.</v>
      </c>
      <c r="C54" s="112" t="str">
        <f aca="false">Checks!$N$311&amp;CHAR(10)&amp;IF(ISNUMBER(Checks!$R$311),TEXT(Checks!$R$311,"DD-MMM-YY HH:MM"),"")&amp;" "&amp;Checks!$P$311</f>
        <v>Required
11-Oct-26 13:05 HAN</v>
      </c>
      <c r="D54" s="112" t="str">
        <f aca="false">IF(Checks!$U$311="","",Checks!$U$311)&amp;IF(Checks!$AB$311="","",CHAR(10)&amp;"CA: "&amp;Checks!$AB$311)</f>
        <v/>
      </c>
      <c r="E54" s="112" t="str">
        <f aca="false">IF(Checks!$V$311="","",Checks!$V$311)&amp;IF(Checks!$AC$311="","",IF(Checks!$V$311="","",CHAR(10))&amp;"N/A just.: "&amp;Checks!$AC$311)&amp;IF(Checks!$W$311="","",CHAR(10)&amp;"Batch: "&amp;Checks!$W$311)&amp;IF(AND(Checks!$X$311="",Checks!$Y$311=""),"",CHAR(10)&amp;"Exp: "&amp;Checks!$X$311&amp;"  /  Act: "&amp;Checks!$Y$311)</f>
        <v/>
      </c>
      <c r="F54" s="112" t="str">
        <f aca="false">IF(Checks!$Z$311="","","Evidence: "&amp;Checks!$Z$311)&amp;IF(Checks!$AA$311="","",IF(Checks!$Z$311="","",CHAR(10))&amp;"CA: "&amp;Checks!$AA$311)</f>
        <v/>
      </c>
      <c r="G54" s="112" t="str">
        <f aca="false">IF(ISNUMBER(Checks!$AD$311),TEXT(Checks!$AD$311,"DD-MMM-YY HH:MM")&amp;" "&amp;Checks!$P$311,"")&amp;IF(Checks!$AE$311="","",CHAR(10)&amp;"Verifier: "&amp;Checks!$AE$311)&amp;IF(Checks!$T$311="","",CHAR(10)&amp;"PIC: "&amp;Checks!$T$311)</f>
        <v/>
      </c>
      <c r="H54" s="113" t="str">
        <f aca="false">IF(Checks!$AH$311="","",Checks!$AH$311)</f>
        <v>OPEN</v>
      </c>
    </row>
    <row r="55" customFormat="false" ht="114" hidden="false" customHeight="true" outlineLevel="0" collapsed="false">
      <c r="A55" s="112" t="str">
        <f aca="false">Checks!$A$312&amp;CHAR(10)&amp;IF(Checks!$I$312="","",Checks!$I$312&amp;": ")&amp;Checks!$J$312</f>
        <v>F09-UPL-03
Amenities: Disposable slippers in DAM cart (BC, on request) - on board</v>
      </c>
      <c r="B55" s="112" t="str">
        <f aca="false">Checks!$K$312&amp;IF(Checks!$O$312="","",IF(Checks!$K$312="","",CHAR(10))&amp;"Note: "&amp;Checks!$O$312)</f>
        <v>Available in DAM cart on request basis
Note: Sector has no BC slippers; note C83: disposable slipper available in DAM cart (on request basis).</v>
      </c>
      <c r="C55" s="112" t="str">
        <f aca="false">Checks!$N$312&amp;CHAR(10)&amp;IF(ISNUMBER(Checks!$R$312),TEXT(Checks!$R$312,"DD-MMM-YY HH:MM"),"")&amp;" "&amp;Checks!$P$312</f>
        <v>Required
11-Oct-26 13:05 HAN</v>
      </c>
      <c r="D55" s="112" t="str">
        <f aca="false">IF(Checks!$U$312="","",Checks!$U$312)&amp;IF(Checks!$AB$312="","",CHAR(10)&amp;"CA: "&amp;Checks!$AB$312)</f>
        <v/>
      </c>
      <c r="E55" s="112" t="str">
        <f aca="false">IF(Checks!$V$312="","",Checks!$V$312)&amp;IF(Checks!$AC$312="","",IF(Checks!$V$312="","",CHAR(10))&amp;"N/A just.: "&amp;Checks!$AC$312)&amp;IF(Checks!$W$312="","",CHAR(10)&amp;"Batch: "&amp;Checks!$W$312)&amp;IF(AND(Checks!$X$312="",Checks!$Y$312=""),"",CHAR(10)&amp;"Exp: "&amp;Checks!$X$312&amp;"  /  Act: "&amp;Checks!$Y$312)</f>
        <v/>
      </c>
      <c r="F55" s="112" t="str">
        <f aca="false">IF(Checks!$Z$312="","","Evidence: "&amp;Checks!$Z$312)&amp;IF(Checks!$AA$312="","",IF(Checks!$Z$312="","",CHAR(10))&amp;"CA: "&amp;Checks!$AA$312)</f>
        <v/>
      </c>
      <c r="G55" s="112" t="str">
        <f aca="false">IF(ISNUMBER(Checks!$AD$312),TEXT(Checks!$AD$312,"DD-MMM-YY HH:MM")&amp;" "&amp;Checks!$P$312,"")&amp;IF(Checks!$AE$312="","",CHAR(10)&amp;"Verifier: "&amp;Checks!$AE$312)&amp;IF(Checks!$T$312="","",CHAR(10)&amp;"PIC: "&amp;Checks!$T$312)</f>
        <v/>
      </c>
      <c r="H55" s="113" t="str">
        <f aca="false">IF(Checks!$AH$312="","",Checks!$AH$312)</f>
        <v>OPEN</v>
      </c>
    </row>
    <row r="56" customFormat="false" ht="114" hidden="false" customHeight="true" outlineLevel="0" collapsed="false">
      <c r="A56" s="112" t="str">
        <f aca="false">Checks!$A$313&amp;CHAR(10)&amp;IF(Checks!$I$313="","",Checks!$I$313&amp;": ")&amp;Checks!$J$313</f>
        <v>F09-UPL-04
F&amp;B Linen: Towel - on board</v>
      </c>
      <c r="B56" s="112" t="str">
        <f aca="false">Checks!$K$313&amp;IF(Checks!$O$313="","",IF(Checks!$K$313="","",CHAR(10))&amp;"Note: "&amp;Checks!$O$313)</f>
        <v>Available (ticked in reference)</v>
      </c>
      <c r="C56" s="112" t="str">
        <f aca="false">Checks!$N$313&amp;CHAR(10)&amp;IF(ISNUMBER(Checks!$R$313),TEXT(Checks!$R$313,"DD-MMM-YY HH:MM"),"")&amp;" "&amp;Checks!$P$313</f>
        <v>Required
11-Oct-26 13:05 HAN</v>
      </c>
      <c r="D56" s="112" t="str">
        <f aca="false">IF(Checks!$U$313="","",Checks!$U$313)&amp;IF(Checks!$AB$313="","",CHAR(10)&amp;"CA: "&amp;Checks!$AB$313)</f>
        <v/>
      </c>
      <c r="E56" s="112" t="str">
        <f aca="false">IF(Checks!$V$313="","",Checks!$V$313)&amp;IF(Checks!$AC$313="","",IF(Checks!$V$313="","",CHAR(10))&amp;"N/A just.: "&amp;Checks!$AC$313)&amp;IF(Checks!$W$313="","",CHAR(10)&amp;"Batch: "&amp;Checks!$W$313)&amp;IF(AND(Checks!$X$313="",Checks!$Y$313=""),"",CHAR(10)&amp;"Exp: "&amp;Checks!$X$313&amp;"  /  Act: "&amp;Checks!$Y$313)</f>
        <v/>
      </c>
      <c r="F56" s="112" t="str">
        <f aca="false">IF(Checks!$Z$313="","","Evidence: "&amp;Checks!$Z$313)&amp;IF(Checks!$AA$313="","",IF(Checks!$Z$313="","",CHAR(10))&amp;"CA: "&amp;Checks!$AA$313)</f>
        <v/>
      </c>
      <c r="G56" s="112" t="str">
        <f aca="false">IF(ISNUMBER(Checks!$AD$313),TEXT(Checks!$AD$313,"DD-MMM-YY HH:MM")&amp;" "&amp;Checks!$P$313,"")&amp;IF(Checks!$AE$313="","",CHAR(10)&amp;"Verifier: "&amp;Checks!$AE$313)&amp;IF(Checks!$T$313="","",CHAR(10)&amp;"PIC: "&amp;Checks!$T$313)</f>
        <v/>
      </c>
      <c r="H56" s="113" t="str">
        <f aca="false">IF(Checks!$AH$313="","",Checks!$AH$313)</f>
        <v>OPEN</v>
      </c>
    </row>
    <row r="57" customFormat="false" ht="114" hidden="false" customHeight="true" outlineLevel="0" collapsed="false">
      <c r="A57" s="112" t="str">
        <f aca="false">Checks!$A$314&amp;CHAR(10)&amp;IF(Checks!$I$314="","",Checks!$I$314&amp;": ")&amp;Checks!$J$314</f>
        <v>F09-UPL-05
F&amp;B Linen: Tray cloth - on board</v>
      </c>
      <c r="B57" s="112" t="str">
        <f aca="false">Checks!$K$314&amp;IF(Checks!$O$314="","",IF(Checks!$K$314="","",CHAR(10))&amp;"Note: "&amp;Checks!$O$314)</f>
        <v>Available (ticked in reference)</v>
      </c>
      <c r="C57" s="112" t="str">
        <f aca="false">Checks!$N$314&amp;CHAR(10)&amp;IF(ISNUMBER(Checks!$R$314),TEXT(Checks!$R$314,"DD-MMM-YY HH:MM"),"")&amp;" "&amp;Checks!$P$314</f>
        <v>Required
11-Oct-26 13:05 HAN</v>
      </c>
      <c r="D57" s="112" t="str">
        <f aca="false">IF(Checks!$U$314="","",Checks!$U$314)&amp;IF(Checks!$AB$314="","",CHAR(10)&amp;"CA: "&amp;Checks!$AB$314)</f>
        <v/>
      </c>
      <c r="E57" s="112" t="str">
        <f aca="false">IF(Checks!$V$314="","",Checks!$V$314)&amp;IF(Checks!$AC$314="","",IF(Checks!$V$314="","",CHAR(10))&amp;"N/A just.: "&amp;Checks!$AC$314)&amp;IF(Checks!$W$314="","",CHAR(10)&amp;"Batch: "&amp;Checks!$W$314)&amp;IF(AND(Checks!$X$314="",Checks!$Y$314=""),"",CHAR(10)&amp;"Exp: "&amp;Checks!$X$314&amp;"  /  Act: "&amp;Checks!$Y$314)</f>
        <v/>
      </c>
      <c r="F57" s="112" t="str">
        <f aca="false">IF(Checks!$Z$314="","","Evidence: "&amp;Checks!$Z$314)&amp;IF(Checks!$AA$314="","",IF(Checks!$Z$314="","",CHAR(10))&amp;"CA: "&amp;Checks!$AA$314)</f>
        <v/>
      </c>
      <c r="G57" s="112" t="str">
        <f aca="false">IF(ISNUMBER(Checks!$AD$314),TEXT(Checks!$AD$314,"DD-MMM-YY HH:MM")&amp;" "&amp;Checks!$P$314,"")&amp;IF(Checks!$AE$314="","",CHAR(10)&amp;"Verifier: "&amp;Checks!$AE$314)&amp;IF(Checks!$T$314="","",CHAR(10)&amp;"PIC: "&amp;Checks!$T$314)</f>
        <v/>
      </c>
      <c r="H57" s="113" t="str">
        <f aca="false">IF(Checks!$AH$314="","",Checks!$AH$314)</f>
        <v>OPEN</v>
      </c>
    </row>
    <row r="58" customFormat="false" ht="114" hidden="false" customHeight="true" outlineLevel="0" collapsed="false">
      <c r="A58" s="112" t="str">
        <f aca="false">Checks!$A$315&amp;CHAR(10)&amp;IF(Checks!$I$315="","",Checks!$I$315&amp;": ")&amp;Checks!$J$315</f>
        <v>F09-UPL-06
F&amp;B Linen: Napkin - on board</v>
      </c>
      <c r="B58" s="112" t="str">
        <f aca="false">Checks!$K$315&amp;IF(Checks!$O$315="","",IF(Checks!$K$315="","",CHAR(10))&amp;"Note: "&amp;Checks!$O$315)</f>
        <v>Available (ticked in reference)</v>
      </c>
      <c r="C58" s="112" t="str">
        <f aca="false">Checks!$N$315&amp;CHAR(10)&amp;IF(ISNUMBER(Checks!$R$315),TEXT(Checks!$R$315,"DD-MMM-YY HH:MM"),"")&amp;" "&amp;Checks!$P$315</f>
        <v>Required
11-Oct-26 13:05 HAN</v>
      </c>
      <c r="D58" s="112" t="str">
        <f aca="false">IF(Checks!$U$315="","",Checks!$U$315)&amp;IF(Checks!$AB$315="","",CHAR(10)&amp;"CA: "&amp;Checks!$AB$315)</f>
        <v/>
      </c>
      <c r="E58" s="112" t="str">
        <f aca="false">IF(Checks!$V$315="","",Checks!$V$315)&amp;IF(Checks!$AC$315="","",IF(Checks!$V$315="","",CHAR(10))&amp;"N/A just.: "&amp;Checks!$AC$315)&amp;IF(Checks!$W$315="","",CHAR(10)&amp;"Batch: "&amp;Checks!$W$315)&amp;IF(AND(Checks!$X$315="",Checks!$Y$315=""),"",CHAR(10)&amp;"Exp: "&amp;Checks!$X$315&amp;"  /  Act: "&amp;Checks!$Y$315)</f>
        <v/>
      </c>
      <c r="F58" s="112" t="str">
        <f aca="false">IF(Checks!$Z$315="","","Evidence: "&amp;Checks!$Z$315)&amp;IF(Checks!$AA$315="","",IF(Checks!$Z$315="","",CHAR(10))&amp;"CA: "&amp;Checks!$AA$315)</f>
        <v/>
      </c>
      <c r="G58" s="112" t="str">
        <f aca="false">IF(ISNUMBER(Checks!$AD$315),TEXT(Checks!$AD$315,"DD-MMM-YY HH:MM")&amp;" "&amp;Checks!$P$315,"")&amp;IF(Checks!$AE$315="","",CHAR(10)&amp;"Verifier: "&amp;Checks!$AE$315)&amp;IF(Checks!$T$315="","",CHAR(10)&amp;"PIC: "&amp;Checks!$T$315)</f>
        <v/>
      </c>
      <c r="H58" s="113" t="str">
        <f aca="false">IF(Checks!$AH$315="","",Checks!$AH$315)</f>
        <v>OPEN</v>
      </c>
    </row>
    <row r="59" customFormat="false" ht="201.75" hidden="false" customHeight="true" outlineLevel="0" collapsed="false">
      <c r="A59" s="112" t="str">
        <f aca="false">Checks!$A$316&amp;CHAR(10)&amp;IF(Checks!$I$316="","",Checks!$I$316&amp;": ")&amp;Checks!$J$316</f>
        <v>F09-UPL-07
F&amp;B Linen: Table cloth - on board</v>
      </c>
      <c r="B59" s="112" t="str">
        <f aca="false">SUBSTITUTE(Checks!$K$316&amp;IF(Checks!$O$316="","",IF(Checks!$K$316="","",CHAR(10))&amp;"Note: "&amp;Checks!$O$316),"F&amp;B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59" s="112" t="str">
        <f aca="false">Checks!$N$316&amp;CHAR(10)&amp;IF(ISNUMBER(Checks!$R$316),TEXT(Checks!$R$316,"DD-MMM-YY HH:MM"),"")&amp;" "&amp;Checks!$P$316</f>
        <v>Clarification required
11-Oct-26 13:05 HAN</v>
      </c>
      <c r="D59" s="112" t="str">
        <f aca="false">IF(Checks!$U$316="","",Checks!$U$316)&amp;IF(Checks!$AB$316="","",CHAR(10)&amp;"CA: "&amp;Checks!$AB$316)</f>
        <v/>
      </c>
      <c r="E59" s="112" t="str">
        <f aca="false">IF(Checks!$V$316="","",Checks!$V$316)&amp;IF(Checks!$AC$316="","",IF(Checks!$V$316="","",CHAR(10))&amp;"N/A just.: "&amp;Checks!$AC$316)&amp;IF(Checks!$W$316="","",CHAR(10)&amp;"Batch: "&amp;Checks!$W$316)&amp;IF(AND(Checks!$X$316="",Checks!$Y$316=""),"",CHAR(10)&amp;"Exp: "&amp;Checks!$X$316&amp;"  /  Act: "&amp;Checks!$Y$316)</f>
        <v/>
      </c>
      <c r="F59" s="112" t="str">
        <f aca="false">IF(Checks!$Z$316="","","Evidence: "&amp;Checks!$Z$316)&amp;IF(Checks!$AA$316="","",IF(Checks!$Z$316="","",CHAR(10))&amp;"CA: "&amp;Checks!$AA$316)</f>
        <v/>
      </c>
      <c r="G59" s="112" t="str">
        <f aca="false">IF(ISNUMBER(Checks!$AD$316),TEXT(Checks!$AD$316,"DD-MMM-YY HH:MM")&amp;" "&amp;Checks!$P$316,"")&amp;IF(Checks!$AE$316="","",CHAR(10)&amp;"Verifier: "&amp;Checks!$AE$316)&amp;IF(Checks!$T$316="","",CHAR(10)&amp;"PIC: "&amp;Checks!$T$316)</f>
        <v/>
      </c>
      <c r="H59" s="113" t="str">
        <f aca="false">IF(Checks!$AH$316="","",Checks!$AH$316)</f>
        <v>OPEN – CLARIFICATION</v>
      </c>
    </row>
    <row r="60" customFormat="false" ht="201.75" hidden="false" customHeight="true" outlineLevel="0" collapsed="false">
      <c r="A60" s="112" t="str">
        <f aca="false">Checks!$A$317&amp;CHAR(10)&amp;IF(Checks!$I$317="","",Checks!$I$317&amp;": ")&amp;Checks!$J$317</f>
        <v>F09-UPL-08
F&amp;B Linen: Bread linen (using table cloth) - on board</v>
      </c>
      <c r="B60" s="112" t="str">
        <f aca="false">SUBSTITUTE(Checks!$K$317&amp;IF(Checks!$O$317="","",IF(Checks!$K$317="","",CHAR(10))&amp;"Note: "&amp;Checks!$O$317),"F&amp;B LINEN!","Ref: F&amp;B LINEN!")</f>
        <v>Available (ticked in reference)
Note: Reference contradicts itself: matrix shows _/ for this sector but note Ref: F&amp;B LINEN!B78:C78 says table cloth is 'Not Applicable for Domestic/Asean &amp; Regional' (ASEAN). Confirm before loading; if not carried, mark N/A with the confirmation as justification.</v>
      </c>
      <c r="C60" s="112" t="str">
        <f aca="false">Checks!$N$317&amp;CHAR(10)&amp;IF(ISNUMBER(Checks!$R$317),TEXT(Checks!$R$317,"DD-MMM-YY HH:MM"),"")&amp;" "&amp;Checks!$P$317</f>
        <v>Clarification required
11-Oct-26 13:05 HAN</v>
      </c>
      <c r="D60" s="112" t="str">
        <f aca="false">IF(Checks!$U$317="","",Checks!$U$317)&amp;IF(Checks!$AB$317="","",CHAR(10)&amp;"CA: "&amp;Checks!$AB$317)</f>
        <v/>
      </c>
      <c r="E60" s="112" t="str">
        <f aca="false">IF(Checks!$V$317="","",Checks!$V$317)&amp;IF(Checks!$AC$317="","",IF(Checks!$V$317="","",CHAR(10))&amp;"N/A just.: "&amp;Checks!$AC$317)&amp;IF(Checks!$W$317="","",CHAR(10)&amp;"Batch: "&amp;Checks!$W$317)&amp;IF(AND(Checks!$X$317="",Checks!$Y$317=""),"",CHAR(10)&amp;"Exp: "&amp;Checks!$X$317&amp;"  /  Act: "&amp;Checks!$Y$317)</f>
        <v/>
      </c>
      <c r="F60" s="112" t="str">
        <f aca="false">IF(Checks!$Z$317="","","Evidence: "&amp;Checks!$Z$317)&amp;IF(Checks!$AA$317="","",IF(Checks!$Z$317="","",CHAR(10))&amp;"CA: "&amp;Checks!$AA$317)</f>
        <v/>
      </c>
      <c r="G60" s="112" t="str">
        <f aca="false">IF(ISNUMBER(Checks!$AD$317),TEXT(Checks!$AD$317,"DD-MMM-YY HH:MM")&amp;" "&amp;Checks!$P$317,"")&amp;IF(Checks!$AE$317="","",CHAR(10)&amp;"Verifier: "&amp;Checks!$AE$317)&amp;IF(Checks!$T$317="","",CHAR(10)&amp;"PIC: "&amp;Checks!$T$317)</f>
        <v/>
      </c>
      <c r="H60" s="113" t="str">
        <f aca="false">IF(Checks!$AH$317="","",Checks!$AH$317)</f>
        <v>OPEN – CLARIFICATION</v>
      </c>
    </row>
    <row r="61" customFormat="false" ht="114" hidden="false" customHeight="true" outlineLevel="0" collapsed="false">
      <c r="A61" s="112" t="str">
        <f aca="false">Checks!$A$318&amp;CHAR(10)&amp;IF(Checks!$I$318="","",Checks!$I$318&amp;": ")&amp;Checks!$J$318</f>
        <v>F09-UPL-09
F&amp;B Linen: Trolley cloth - on board</v>
      </c>
      <c r="B61" s="112" t="str">
        <f aca="false">SUBSTITUTE(Checks!$K$318&amp;IF(Checks!$O$318="","",IF(Checks!$K$318="","",CHAR(10))&amp;"Note: "&amp;Checks!$O$318),"F&amp;B LINEN!","Ref: F&amp;B LINEN!")</f>
        <v>Narrow body: Top only
Note: Per note Ref: F&amp;B LINEN!B79:C80.</v>
      </c>
      <c r="C61" s="112" t="str">
        <f aca="false">Checks!$N$318&amp;CHAR(10)&amp;IF(ISNUMBER(Checks!$R$318),TEXT(Checks!$R$318,"DD-MMM-YY HH:MM"),"")&amp;" "&amp;Checks!$P$318</f>
        <v>Required
11-Oct-26 13:05 HAN</v>
      </c>
      <c r="D61" s="112" t="str">
        <f aca="false">IF(Checks!$U$318="","",Checks!$U$318)&amp;IF(Checks!$AB$318="","",CHAR(10)&amp;"CA: "&amp;Checks!$AB$318)</f>
        <v/>
      </c>
      <c r="E61" s="112" t="str">
        <f aca="false">IF(Checks!$V$318="","",Checks!$V$318)&amp;IF(Checks!$AC$318="","",IF(Checks!$V$318="","",CHAR(10))&amp;"N/A just.: "&amp;Checks!$AC$318)&amp;IF(Checks!$W$318="","",CHAR(10)&amp;"Batch: "&amp;Checks!$W$318)&amp;IF(AND(Checks!$X$318="",Checks!$Y$318=""),"",CHAR(10)&amp;"Exp: "&amp;Checks!$X$318&amp;"  /  Act: "&amp;Checks!$Y$318)</f>
        <v/>
      </c>
      <c r="F61" s="112" t="str">
        <f aca="false">IF(Checks!$Z$318="","","Evidence: "&amp;Checks!$Z$318)&amp;IF(Checks!$AA$318="","",IF(Checks!$Z$318="","",CHAR(10))&amp;"CA: "&amp;Checks!$AA$318)</f>
        <v/>
      </c>
      <c r="G61" s="112" t="str">
        <f aca="false">IF(ISNUMBER(Checks!$AD$318),TEXT(Checks!$AD$318,"DD-MMM-YY HH:MM")&amp;" "&amp;Checks!$P$318,"")&amp;IF(Checks!$AE$318="","",CHAR(10)&amp;"Verifier: "&amp;Checks!$AE$318)&amp;IF(Checks!$T$318="","",CHAR(10)&amp;"PIC: "&amp;Checks!$T$318)</f>
        <v/>
      </c>
      <c r="H61" s="113" t="str">
        <f aca="false">IF(Checks!$AH$318="","",Checks!$AH$318)</f>
        <v>OPEN</v>
      </c>
    </row>
    <row r="62" customFormat="false" ht="114" hidden="false" customHeight="true" outlineLevel="0" collapsed="false">
      <c r="A62" s="112" t="str">
        <f aca="false">Checks!$A$319&amp;CHAR(10)&amp;IF(Checks!$I$319="","",Checks!$I$319&amp;": ")&amp;Checks!$J$319</f>
        <v>F09-UPL-10
F&amp;B Linen: Linen bag - on board</v>
      </c>
      <c r="B62" s="112" t="str">
        <f aca="false">Checks!$K$319&amp;IF(Checks!$O$319="","",IF(Checks!$K$319="","",CHAR(10))&amp;"Note: "&amp;Checks!$O$319)</f>
        <v>Available (ticked in reference)</v>
      </c>
      <c r="C62" s="112" t="str">
        <f aca="false">Checks!$N$319&amp;CHAR(10)&amp;IF(ISNUMBER(Checks!$R$319),TEXT(Checks!$R$319,"DD-MMM-YY HH:MM"),"")&amp;" "&amp;Checks!$P$319</f>
        <v>Required
11-Oct-26 13:05 HAN</v>
      </c>
      <c r="D62" s="112" t="str">
        <f aca="false">IF(Checks!$U$319="","",Checks!$U$319)&amp;IF(Checks!$AB$319="","",CHAR(10)&amp;"CA: "&amp;Checks!$AB$319)</f>
        <v/>
      </c>
      <c r="E62" s="112" t="str">
        <f aca="false">IF(Checks!$V$319="","",Checks!$V$319)&amp;IF(Checks!$AC$319="","",IF(Checks!$V$319="","",CHAR(10))&amp;"N/A just.: "&amp;Checks!$AC$319)&amp;IF(Checks!$W$319="","",CHAR(10)&amp;"Batch: "&amp;Checks!$W$319)&amp;IF(AND(Checks!$X$319="",Checks!$Y$319=""),"",CHAR(10)&amp;"Exp: "&amp;Checks!$X$319&amp;"  /  Act: "&amp;Checks!$Y$319)</f>
        <v/>
      </c>
      <c r="F62" s="112" t="str">
        <f aca="false">IF(Checks!$Z$319="","","Evidence: "&amp;Checks!$Z$319)&amp;IF(Checks!$AA$319="","",IF(Checks!$Z$319="","",CHAR(10))&amp;"CA: "&amp;Checks!$AA$319)</f>
        <v/>
      </c>
      <c r="G62" s="112" t="str">
        <f aca="false">IF(ISNUMBER(Checks!$AD$319),TEXT(Checks!$AD$319,"DD-MMM-YY HH:MM")&amp;" "&amp;Checks!$P$319,"")&amp;IF(Checks!$AE$319="","",CHAR(10)&amp;"Verifier: "&amp;Checks!$AE$319)&amp;IF(Checks!$T$319="","",CHAR(10)&amp;"PIC: "&amp;Checks!$T$319)</f>
        <v/>
      </c>
      <c r="H62" s="113" t="str">
        <f aca="false">IF(Checks!$AH$319="","",Checks!$AH$319)</f>
        <v>OPEN</v>
      </c>
    </row>
    <row r="63" customFormat="false" ht="114" hidden="false" customHeight="true" outlineLevel="0" collapsed="false">
      <c r="A63" s="112" t="str">
        <f aca="false">Checks!$A$320&amp;CHAR(10)&amp;IF(Checks!$I$320="","",Checks!$I$320&amp;": ")&amp;Checks!$J$320</f>
        <v>F09-UPL-11
Seat Linen: Seat pillow (BS &amp; BC) - on board</v>
      </c>
      <c r="B63" s="112" t="str">
        <f aca="false">Checks!$K$320&amp;IF(Checks!$O$320="","",IF(Checks!$K$320="","",CHAR(10))&amp;"Note: "&amp;Checks!$O$320)</f>
        <v>Available 100% (ticked in reference)</v>
      </c>
      <c r="C63" s="112" t="str">
        <f aca="false">Checks!$N$320&amp;CHAR(10)&amp;IF(ISNUMBER(Checks!$R$320),TEXT(Checks!$R$320,"DD-MMM-YY HH:MM"),"")&amp;" "&amp;Checks!$P$320</f>
        <v>Required
11-Oct-26 13:05 HAN</v>
      </c>
      <c r="D63" s="112" t="str">
        <f aca="false">IF(Checks!$U$320="","",Checks!$U$320)&amp;IF(Checks!$AB$320="","",CHAR(10)&amp;"CA: "&amp;Checks!$AB$320)</f>
        <v/>
      </c>
      <c r="E63" s="112" t="str">
        <f aca="false">IF(Checks!$V$320="","",Checks!$V$320)&amp;IF(Checks!$AC$320="","",IF(Checks!$V$320="","",CHAR(10))&amp;"N/A just.: "&amp;Checks!$AC$320)&amp;IF(Checks!$W$320="","",CHAR(10)&amp;"Batch: "&amp;Checks!$W$320)&amp;IF(AND(Checks!$X$320="",Checks!$Y$320=""),"",CHAR(10)&amp;"Exp: "&amp;Checks!$X$320&amp;"  /  Act: "&amp;Checks!$Y$320)</f>
        <v/>
      </c>
      <c r="F63" s="112" t="str">
        <f aca="false">IF(Checks!$Z$320="","","Evidence: "&amp;Checks!$Z$320)&amp;IF(Checks!$AA$320="","",IF(Checks!$Z$320="","",CHAR(10))&amp;"CA: "&amp;Checks!$AA$320)</f>
        <v/>
      </c>
      <c r="G63" s="112" t="str">
        <f aca="false">IF(ISNUMBER(Checks!$AD$320),TEXT(Checks!$AD$320,"DD-MMM-YY HH:MM")&amp;" "&amp;Checks!$P$320,"")&amp;IF(Checks!$AE$320="","",CHAR(10)&amp;"Verifier: "&amp;Checks!$AE$320)&amp;IF(Checks!$T$320="","",CHAR(10)&amp;"PIC: "&amp;Checks!$T$320)</f>
        <v/>
      </c>
      <c r="H63" s="113" t="str">
        <f aca="false">IF(Checks!$AH$320="","",Checks!$AH$320)</f>
        <v>OPEN</v>
      </c>
    </row>
    <row r="64" customFormat="false" ht="114" hidden="false" customHeight="true" outlineLevel="0" collapsed="false">
      <c r="A64" s="112" t="str">
        <f aca="false">Checks!$A$321&amp;CHAR(10)&amp;IF(Checks!$I$321="","",Checks!$I$321&amp;": ")&amp;Checks!$J$321</f>
        <v>F09-UPL-12
Seat Linen: Blanket (BS &amp; BC) - on board</v>
      </c>
      <c r="B64" s="112" t="str">
        <f aca="false">Checks!$K$321&amp;IF(Checks!$O$321="","",IF(Checks!$K$321="","",CHAR(10))&amp;"Note: "&amp;Checks!$O$321)</f>
        <v>Available 100% (ticked in reference)</v>
      </c>
      <c r="C64" s="112" t="str">
        <f aca="false">Checks!$N$321&amp;CHAR(10)&amp;IF(ISNUMBER(Checks!$R$321),TEXT(Checks!$R$321,"DD-MMM-YY HH:MM"),"")&amp;" "&amp;Checks!$P$321</f>
        <v>Required
11-Oct-26 13:05 HAN</v>
      </c>
      <c r="D64" s="112" t="str">
        <f aca="false">IF(Checks!$U$321="","",Checks!$U$321)&amp;IF(Checks!$AB$321="","",CHAR(10)&amp;"CA: "&amp;Checks!$AB$321)</f>
        <v/>
      </c>
      <c r="E64" s="112" t="str">
        <f aca="false">IF(Checks!$V$321="","",Checks!$V$321)&amp;IF(Checks!$AC$321="","",IF(Checks!$V$321="","",CHAR(10))&amp;"N/A just.: "&amp;Checks!$AC$321)&amp;IF(Checks!$W$321="","",CHAR(10)&amp;"Batch: "&amp;Checks!$W$321)&amp;IF(AND(Checks!$X$321="",Checks!$Y$321=""),"",CHAR(10)&amp;"Exp: "&amp;Checks!$X$321&amp;"  /  Act: "&amp;Checks!$Y$321)</f>
        <v/>
      </c>
      <c r="F64" s="112" t="str">
        <f aca="false">IF(Checks!$Z$321="","","Evidence: "&amp;Checks!$Z$321)&amp;IF(Checks!$AA$321="","",IF(Checks!$Z$321="","",CHAR(10))&amp;"CA: "&amp;Checks!$AA$321)</f>
        <v/>
      </c>
      <c r="G64" s="112" t="str">
        <f aca="false">IF(ISNUMBER(Checks!$AD$321),TEXT(Checks!$AD$321,"DD-MMM-YY HH:MM")&amp;" "&amp;Checks!$P$321,"")&amp;IF(Checks!$AE$321="","",CHAR(10)&amp;"Verifier: "&amp;Checks!$AE$321)&amp;IF(Checks!$T$321="","",CHAR(10)&amp;"PIC: "&amp;Checks!$T$321)</f>
        <v/>
      </c>
      <c r="H64" s="113" t="str">
        <f aca="false">IF(Checks!$AH$321="","",Checks!$AH$321)</f>
        <v>OPEN</v>
      </c>
    </row>
    <row r="66" customFormat="false" ht="24" hidden="false" customHeight="true" outlineLevel="0" collapsed="false">
      <c r="A66" s="114" t="s">
        <v>1647</v>
      </c>
      <c r="B66" s="114"/>
      <c r="C66" s="114"/>
      <c r="D66" s="114"/>
      <c r="E66" s="114" t="s">
        <v>1648</v>
      </c>
      <c r="F66" s="114"/>
      <c r="G66" s="114"/>
      <c r="H66" s="114"/>
    </row>
    <row r="67" customFormat="false" ht="21.75" hidden="false" customHeight="true" outlineLevel="0" collapsed="false">
      <c r="A67" s="115"/>
      <c r="B67" s="115"/>
      <c r="C67" s="115"/>
      <c r="D67" s="115"/>
      <c r="E67" s="115"/>
      <c r="F67" s="115"/>
      <c r="G67" s="115"/>
      <c r="H67" s="115"/>
    </row>
    <row r="68" customFormat="false" ht="21.75" hidden="false" customHeight="true" outlineLevel="0" collapsed="false">
      <c r="A68" s="115"/>
      <c r="B68" s="115"/>
      <c r="C68" s="115"/>
      <c r="D68" s="115"/>
      <c r="E68" s="115"/>
      <c r="F68" s="115"/>
      <c r="G68" s="115"/>
      <c r="H68" s="115"/>
    </row>
    <row r="69" customFormat="false" ht="21.75" hidden="false" customHeight="true" outlineLevel="0" collapsed="false">
      <c r="A69" s="115"/>
      <c r="B69" s="115"/>
      <c r="C69" s="115"/>
      <c r="D69" s="115"/>
      <c r="E69" s="115"/>
      <c r="F69" s="115"/>
      <c r="G69" s="115"/>
      <c r="H69" s="115"/>
    </row>
    <row r="70" customFormat="false" ht="21.75" hidden="false" customHeight="true" outlineLevel="0" collapsed="false">
      <c r="A70" s="115"/>
      <c r="B70" s="115"/>
      <c r="C70" s="115"/>
      <c r="D70" s="115"/>
      <c r="E70" s="115"/>
      <c r="F70" s="115"/>
      <c r="G70" s="115"/>
      <c r="H70" s="115"/>
    </row>
    <row r="71" customFormat="false" ht="21.75" hidden="false" customHeight="true" outlineLevel="0" collapsed="false">
      <c r="A71" s="115"/>
      <c r="B71" s="115"/>
      <c r="C71" s="115"/>
      <c r="D71" s="115"/>
      <c r="E71" s="115"/>
      <c r="F71" s="115"/>
      <c r="G71" s="115"/>
      <c r="H71" s="115"/>
    </row>
    <row r="72" customFormat="false" ht="21.75" hidden="false" customHeight="true" outlineLevel="0" collapsed="false">
      <c r="A72" s="115"/>
      <c r="B72" s="115"/>
      <c r="C72" s="115"/>
      <c r="D72" s="115"/>
      <c r="E72" s="115"/>
      <c r="F72" s="115"/>
      <c r="G72" s="115"/>
      <c r="H72" s="115"/>
    </row>
    <row r="73" customFormat="false" ht="21.75" hidden="false" customHeight="true" outlineLevel="0" collapsed="false">
      <c r="A73" s="115"/>
      <c r="B73" s="115"/>
      <c r="C73" s="115"/>
      <c r="D73" s="115"/>
      <c r="E73" s="115"/>
      <c r="F73" s="115"/>
      <c r="G73" s="115"/>
      <c r="H73" s="115"/>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F10  "&amp;Flights!$F$14&amp;"  "&amp;TEXT(Flights!$D$14,"DD-MMM-YY")&amp;" ("&amp;Flights!$E$14&amp;")  "&amp;Flights!$G$14&amp;" → "&amp;Flights!$H$14&amp;"  |  Class "&amp;Flights!$K$14</f>
        <v>SKYTRAX 2026 CATERING READINESS CHECKLIST  |  F10  MH1140  12-Oct-26 (MON)  KUL → PEN  |  Class BC</v>
      </c>
      <c r="B1" s="90"/>
      <c r="C1" s="90"/>
      <c r="D1" s="90"/>
      <c r="E1" s="90"/>
      <c r="F1" s="90"/>
      <c r="G1" s="90"/>
      <c r="H1" s="90"/>
    </row>
    <row r="2" customFormat="false" ht="12.75" hidden="false" customHeight="true" outlineLevel="0" collapsed="false">
      <c r="A2" s="91" t="s">
        <v>1602</v>
      </c>
      <c r="B2" s="92" t="str">
        <f aca="false">Flights!$F$14&amp;"   "&amp;TEXT(Flights!$D$14,"DD-MMM-YY")&amp;" ("&amp;Flights!$E$14&amp;")"</f>
        <v>MH1140   12-Oct-26 (MON)</v>
      </c>
      <c r="C2" s="92"/>
      <c r="D2" s="92"/>
      <c r="E2" s="93" t="s">
        <v>1603</v>
      </c>
      <c r="F2" s="94" t="str">
        <f aca="false">Flights!$AT$14</f>
        <v>NOT READY – DOCUMENTS</v>
      </c>
      <c r="G2" s="94"/>
      <c r="H2" s="94"/>
    </row>
    <row r="3" customFormat="false" ht="24" hidden="false" customHeight="true" outlineLevel="0" collapsed="false">
      <c r="A3" s="91" t="s">
        <v>1604</v>
      </c>
      <c r="B3" s="92" t="str">
        <f aca="false">Flights!$G$14&amp;" → "&amp;Flights!$H$14&amp;"   Class "&amp;Flights!$K$14&amp;"   Seat "&amp;Flights!$O$14</f>
        <v>KUL → PEN   Class BC   Seat 1F</v>
      </c>
      <c r="C3" s="92"/>
      <c r="D3" s="92"/>
      <c r="E3" s="93" t="s">
        <v>66</v>
      </c>
      <c r="F3" s="93" t="s">
        <v>1605</v>
      </c>
      <c r="G3" s="93" t="s">
        <v>1606</v>
      </c>
      <c r="H3" s="93"/>
    </row>
    <row r="4" customFormat="false" ht="24" hidden="false" customHeight="true" outlineLevel="0" collapsed="false">
      <c r="A4" s="91" t="s">
        <v>1607</v>
      </c>
      <c r="B4" s="92" t="str">
        <f aca="false">IF(ISNUMBER(Flights!$I$14),TEXT(Flights!$I$14,"DD-MMM-YY HH:MM"),"")&amp;" "&amp;Flights!$G$14&amp;"  →  "&amp;IF(ISNUMBER(Flights!$J$14),TEXT(Flights!$J$14,"DD-MMM-YY HH:MM"),"")&amp;" "&amp;Flights!$H$14</f>
        <v>12-Oct-26 11:45 KUL  →  12-Oct-26 12:45 PEN</v>
      </c>
      <c r="C4" s="92"/>
      <c r="D4" s="92"/>
      <c r="E4" s="91" t="s">
        <v>1608</v>
      </c>
      <c r="F4" s="95" t="str">
        <f aca="false">IF(ISNUMBER(Flights!$AG$14),TEXT(Flights!$AG$14,"DD-MMM-YY HH:MM"),"")&amp;" "&amp;Flights!$V$14</f>
        <v>05-Oct-26 11:45 KUL</v>
      </c>
      <c r="G4" s="96" t="n">
        <f aca="false">Flights!$AJ$14</f>
        <v>0</v>
      </c>
      <c r="H4" s="96"/>
    </row>
    <row r="5" customFormat="false" ht="24" hidden="false" customHeight="true" outlineLevel="0" collapsed="false">
      <c r="A5" s="91" t="s">
        <v>1609</v>
      </c>
      <c r="B5" s="92" t="str">
        <f aca="false">Flights!$L$14&amp;" – "&amp;Flights!$M$14</f>
        <v>B738MAX – B737-8 (B7M8)</v>
      </c>
      <c r="C5" s="92"/>
      <c r="D5" s="92"/>
      <c r="E5" s="91" t="s">
        <v>1610</v>
      </c>
      <c r="F5" s="95" t="str">
        <f aca="false">IF(ISNUMBER(Flights!$AH$14),TEXT(Flights!$AH$14,"DD-MMM-YY HH:MM"),"")&amp;" "&amp;Flights!$V$14</f>
        <v>11-Oct-26 11:45 KUL</v>
      </c>
      <c r="G5" s="96" t="n">
        <f aca="false">Flights!$AK$14</f>
        <v>0</v>
      </c>
      <c r="H5" s="96"/>
    </row>
    <row r="6" customFormat="false" ht="24" hidden="false" customHeight="true" outlineLevel="0" collapsed="false">
      <c r="A6" s="91" t="s">
        <v>1611</v>
      </c>
      <c r="B6" s="92" t="str">
        <f aca="false">IF(TRIM(Flights!$N$14)="","__________________",Flights!$N$14)</f>
        <v>__________________</v>
      </c>
      <c r="C6" s="92"/>
      <c r="D6" s="92"/>
      <c r="E6" s="91" t="s">
        <v>1612</v>
      </c>
      <c r="F6" s="95" t="str">
        <f aca="false">IF(ISNUMBER(Flights!$AI$14),TEXT(Flights!$AI$14,"DD-MMM-YY HH:MM"),"")&amp;" "&amp;Flights!$V$14&amp;IF(Flights!$AI$14=Flights!$AH$14,"  (= T-24H due)","")</f>
        <v>11-Oct-26 23:45 KUL</v>
      </c>
      <c r="G6" s="96" t="n">
        <f aca="false">Flights!$AL$14</f>
        <v>0</v>
      </c>
      <c r="H6" s="96"/>
    </row>
    <row r="7" customFormat="false" ht="24" hidden="false" customHeight="true" outlineLevel="0" collapsed="false">
      <c r="A7" s="91" t="s">
        <v>1613</v>
      </c>
      <c r="B7" s="92" t="str">
        <f aca="false">Flights!$T$14</f>
        <v>Refreshment (Peanut &amp; Water)</v>
      </c>
      <c r="C7" s="92"/>
      <c r="D7" s="92"/>
      <c r="E7" s="91" t="s">
        <v>1614</v>
      </c>
      <c r="F7" s="95" t="str">
        <f aca="false">"STD "&amp;IF(ISNUMBER(Flights!$I$14),TEXT(Flights!$I$14,"DD-MMM-YY HH:MM"),"")&amp;" "&amp;Flights!$G$14&amp;" (dep stn)"</f>
        <v>STD 12-Oct-26 11:45 KUL (dep stn)</v>
      </c>
      <c r="G7" s="96" t="n">
        <f aca="false">Flights!$AM$14</f>
        <v>0</v>
      </c>
      <c r="H7" s="96"/>
    </row>
    <row r="8" customFormat="false" ht="12.75" hidden="false" customHeight="true" outlineLevel="0" collapsed="false">
      <c r="A8" s="91" t="s">
        <v>148</v>
      </c>
      <c r="B8" s="92" t="str">
        <f aca="false">Flights!$V$14&amp;"   (reference uplift stns: "&amp;Flights!$U$14&amp;")"</f>
        <v>KUL   (reference uplift stns: KUL)</v>
      </c>
      <c r="C8" s="92"/>
      <c r="D8" s="92"/>
      <c r="E8" s="91" t="s">
        <v>1615</v>
      </c>
      <c r="F8" s="97" t="s">
        <v>1616</v>
      </c>
      <c r="G8" s="96" t="n">
        <f aca="false">Flights!$AN$14</f>
        <v>0</v>
      </c>
      <c r="H8" s="96"/>
    </row>
    <row r="9" customFormat="false" ht="12.75" hidden="false" customHeight="true" outlineLevel="0" collapsed="false">
      <c r="A9" s="91" t="s">
        <v>1617</v>
      </c>
      <c r="B9" s="92" t="str">
        <f aca="false">TRIM(Flights!$P$14&amp;"  "&amp;Flights!$Q$14)</f>
        <v>-</v>
      </c>
      <c r="C9" s="92"/>
      <c r="D9" s="92"/>
      <c r="E9" s="91" t="s">
        <v>1618</v>
      </c>
      <c r="F9" s="98" t="n">
        <f aca="false">Flights!$AP$14</f>
        <v>0</v>
      </c>
      <c r="G9" s="98" t="n">
        <f aca="false">Flights!$AQ$14</f>
        <v>0</v>
      </c>
      <c r="H9" s="98" t="n">
        <f aca="false">Flights!$AU$14</f>
        <v>0</v>
      </c>
    </row>
    <row r="10" customFormat="false" ht="24" hidden="false" customHeight="true" outlineLevel="0" collapsed="false">
      <c r="A10" s="91" t="s">
        <v>1619</v>
      </c>
      <c r="B10" s="92" t="str">
        <f aca="false">IF(TRIM(Flights!$X$14)="","__________________",Flights!$X$14)</f>
        <v>__________________</v>
      </c>
      <c r="C10" s="92"/>
      <c r="D10" s="92"/>
      <c r="E10" s="91" t="s">
        <v>1620</v>
      </c>
      <c r="F10" s="98" t="n">
        <f aca="false">Flights!$AO$14</f>
        <v>34</v>
      </c>
      <c r="G10" s="98" t="n">
        <f aca="false">Flights!$AS$14</f>
        <v>0</v>
      </c>
      <c r="H10" s="98" t="n">
        <f aca="false">Flights!$AR$14</f>
        <v>2</v>
      </c>
    </row>
    <row r="11" customFormat="false" ht="21" hidden="false" customHeight="true" outlineLevel="0" collapsed="false">
      <c r="A11" s="91" t="s">
        <v>1621</v>
      </c>
      <c r="B11" s="92" t="str">
        <f aca="false">IF(TRIM(Flights!$Y$14)="","__________________",Flights!$Y$14)</f>
        <v>__________________</v>
      </c>
      <c r="C11" s="92"/>
      <c r="D11" s="92"/>
      <c r="E11" s="91" t="s">
        <v>1622</v>
      </c>
      <c r="F11" s="98" t="str">
        <f aca="false">Flights!$AV$14&amp;" / "&amp;Flights!$AW$14</f>
        <v>0 / 34</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IF(Documents!$F$14="","",Documents!$F$14)</f>
        <v/>
      </c>
      <c r="C14" s="97" t="str">
        <f aca="false">IF(Documents!$G$14="","",Documents!$G$14)&amp;IF(ISNUMBER(Documents!$H$14),"  "&amp;TEXT(Documents!$H$14,"DD-MMM-YY"),"")</f>
        <v/>
      </c>
      <c r="D14" s="97"/>
      <c r="E14" s="105" t="str">
        <f aca="false">IF(Documents!$J$14="OUTSTANDING","OUTSTANDING – attach before T-7D (due "&amp;IF(ISNUMBER(Flights!$AG$14),TEXT(Flights!$AG$14,"DD-MMM-YY HH:MM"),"")&amp;" "&amp;Flights!$V$14&amp;")",IF(Documents!$J$14="","Status not recorded",Documents!$J$14))</f>
        <v>OUTSTANDING – attach before T-7D (due 05-Oct-26 11:45 KUL)</v>
      </c>
      <c r="F14" s="106" t="str">
        <f aca="false">"Staple behind this sheet as page A1."&amp;IF(Documents!$I$14="",""," Location: "&amp;Documents!$I$14)</f>
        <v>Staple behind this sheet as page A1.</v>
      </c>
      <c r="G14" s="106"/>
      <c r="H14" s="106"/>
    </row>
    <row r="15" customFormat="false" ht="36" hidden="false" customHeight="true" outlineLevel="0" collapsed="false">
      <c r="A15" s="91" t="s">
        <v>1633</v>
      </c>
      <c r="B15" s="92" t="str">
        <f aca="false">IF(Documents!$K$14="","",Documents!$K$14)</f>
        <v/>
      </c>
      <c r="C15" s="97" t="str">
        <f aca="false">IF(Documents!$L$14="","",Documents!$L$14)&amp;IF(ISNUMBER(Documents!$M$14),"  "&amp;TEXT(Documents!$M$14,"DD-MMM-YY"),"")</f>
        <v/>
      </c>
      <c r="D15" s="97"/>
      <c r="E15" s="105" t="str">
        <f aca="false">IF(Documents!$O$14="OUTSTANDING","OUTSTANDING – attach before T-7D (due "&amp;IF(ISNUMBER(Flights!$AG$14),TEXT(Flights!$AG$14,"DD-MMM-YY HH:MM"),"")&amp;" "&amp;Flights!$V$14&amp;")",IF(Documents!$O$14="","Status not recorded",Documents!$O$14))</f>
        <v>OUTSTANDING – attach before T-7D (due 05-Oct-26 11:45 KUL)</v>
      </c>
      <c r="F15" s="106" t="str">
        <f aca="false">"Staple behind this sheet as page A2."&amp;IF(Documents!$N$14="",""," Location: "&amp;Documents!$N$14)</f>
        <v>Staple behind this sheet as page A2.</v>
      </c>
      <c r="G15" s="106"/>
      <c r="H15" s="106"/>
    </row>
    <row r="16" customFormat="false" ht="22.5" hidden="false" customHeight="true" outlineLevel="0" collapsed="false">
      <c r="A16" s="91" t="s">
        <v>1634</v>
      </c>
      <c r="B16" s="107" t="str">
        <f aca="false">IF(Documents!$Q$14="","",Documents!$Q$14)</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"&amp;IF(TRIM(Flights!$Y$14)="","__________________",Flights!$Y$14)</f>
        <v>Name: __________________</v>
      </c>
      <c r="B18" s="92"/>
      <c r="C18" s="92" t="str">
        <f aca="false">"Name: __________________"</f>
        <v>Name: __________________</v>
      </c>
      <c r="D18" s="92"/>
      <c r="E18" s="92"/>
      <c r="F18" s="92" t="str">
        <f aca="false">"Name: __________________"&amp;"   Station: "&amp;Flights!$V$14</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Checks!$A$322&amp;CHAR(10)&amp;IF(Checks!$I$322="","",Checks!$I$322&amp;": ")&amp;Checks!$J$322</f>
        <v>F10-T7-01
Meal: Meal sensory testing completed for this flight's menu cycle (assessed class)</v>
      </c>
      <c r="B23" s="112" t="str">
        <f aca="false">Checks!$K$322&amp;IF(Checks!$O$322="","",IF(Checks!$K$322="","",CHAR(10))&amp;"Note: "&amp;Checks!$O$322)</f>
        <v>Record panel result / score in Result
Note: Refreshment service: sensory test covers the refreshment items.</v>
      </c>
      <c r="C23" s="112" t="str">
        <f aca="false">Checks!$N$322&amp;CHAR(10)&amp;IF(ISNUMBER(Checks!$R$322),TEXT(Checks!$R$322,"DD-MMM-YY HH:MM"),"")&amp;" "&amp;Checks!$P$322</f>
        <v>Required
05-Oct-26 11:45 KUL</v>
      </c>
      <c r="D23" s="112" t="str">
        <f aca="false">IF(Checks!$U$322="","",Checks!$U$322)&amp;IF(Checks!$AB$322="","",CHAR(10)&amp;"CA: "&amp;Checks!$AB$322)</f>
        <v/>
      </c>
      <c r="E23" s="112" t="str">
        <f aca="false">IF(Checks!$V$322="","",Checks!$V$322)&amp;IF(Checks!$AC$322="","",IF(Checks!$V$322="","",CHAR(10))&amp;"N/A just.: "&amp;Checks!$AC$322)&amp;IF(Checks!$W$322="","",CHAR(10)&amp;"Batch: "&amp;Checks!$W$322)&amp;IF(AND(Checks!$X$322="",Checks!$Y$322=""),"",CHAR(10)&amp;"Exp: "&amp;Checks!$X$322&amp;"  /  Act: "&amp;Checks!$Y$322)</f>
        <v/>
      </c>
      <c r="F23" s="112" t="str">
        <f aca="false">IF(Checks!$Z$322="","","Evidence: "&amp;Checks!$Z$322)&amp;IF(Checks!$AA$322="","",IF(Checks!$Z$322="","",CHAR(10))&amp;"CA: "&amp;Checks!$AA$322)</f>
        <v/>
      </c>
      <c r="G23" s="112" t="str">
        <f aca="false">IF(ISNUMBER(Checks!$AD$322),TEXT(Checks!$AD$322,"DD-MMM-YY HH:MM")&amp;" "&amp;Checks!$P$322,"")&amp;IF(Checks!$AE$322="","",CHAR(10)&amp;"Verifier: "&amp;Checks!$AE$322)&amp;IF(Checks!$T$322="","",CHAR(10)&amp;"PIC: "&amp;Checks!$T$322)</f>
        <v/>
      </c>
      <c r="H23" s="113" t="str">
        <f aca="false">IF(Checks!$AH$322="","",Checks!$AH$322)</f>
        <v>OPEN</v>
      </c>
    </row>
    <row r="24" customFormat="false" ht="114" hidden="false" customHeight="true" outlineLevel="0" collapsed="false">
      <c r="A24" s="112" t="str">
        <f aca="false">Checks!$A$323&amp;CHAR(10)&amp;IF(Checks!$I$323="","",Checks!$I$323&amp;": ")&amp;Checks!$J$323</f>
        <v>F10-T7-02
Menu: Printed menu cards confirmed (content, cycle, language, quantity)</v>
      </c>
      <c r="B24" s="112" t="str">
        <f aca="false">Checks!$K$323&amp;IF(Checks!$O$323="","",IF(Checks!$K$323="","",CHAR(10))&amp;"Note: "&amp;Checks!$O$323)</f>
        <v>Menu card matches approved menu for this flight
Note: Refreshment service (peanut &amp; water). If no printed menu card is used, mark N/A with the confirmation as justification.</v>
      </c>
      <c r="C24" s="112" t="str">
        <f aca="false">Checks!$N$323&amp;CHAR(10)&amp;IF(ISNUMBER(Checks!$R$323),TEXT(Checks!$R$323,"DD-MMM-YY HH:MM"),"")&amp;" "&amp;Checks!$P$323</f>
        <v>Required
05-Oct-26 11:45 KUL</v>
      </c>
      <c r="D24" s="112" t="str">
        <f aca="false">IF(Checks!$U$323="","",Checks!$U$323)&amp;IF(Checks!$AB$323="","",CHAR(10)&amp;"CA: "&amp;Checks!$AB$323)</f>
        <v/>
      </c>
      <c r="E24" s="112" t="str">
        <f aca="false">IF(Checks!$V$323="","",Checks!$V$323)&amp;IF(Checks!$AC$323="","",IF(Checks!$V$323="","",CHAR(10))&amp;"N/A just.: "&amp;Checks!$AC$323)&amp;IF(Checks!$W$323="","",CHAR(10)&amp;"Batch: "&amp;Checks!$W$323)&amp;IF(AND(Checks!$X$323="",Checks!$Y$323=""),"",CHAR(10)&amp;"Exp: "&amp;Checks!$X$323&amp;"  /  Act: "&amp;Checks!$Y$323)</f>
        <v/>
      </c>
      <c r="F24" s="112" t="str">
        <f aca="false">IF(Checks!$Z$323="","","Evidence: "&amp;Checks!$Z$323)&amp;IF(Checks!$AA$323="","",IF(Checks!$Z$323="","",CHAR(10))&amp;"CA: "&amp;Checks!$AA$323)</f>
        <v/>
      </c>
      <c r="G24" s="112" t="str">
        <f aca="false">IF(ISNUMBER(Checks!$AD$323),TEXT(Checks!$AD$323,"DD-MMM-YY HH:MM")&amp;" "&amp;Checks!$P$323,"")&amp;IF(Checks!$AE$323="","",CHAR(10)&amp;"Verifier: "&amp;Checks!$AE$323)&amp;IF(Checks!$T$323="","",CHAR(10)&amp;"PIC: "&amp;Checks!$T$323)</f>
        <v/>
      </c>
      <c r="H24" s="113" t="str">
        <f aca="false">IF(Checks!$AH$323="","",Checks!$AH$323)</f>
        <v>OPEN</v>
      </c>
    </row>
    <row r="25" customFormat="false" ht="114" hidden="false" customHeight="true" outlineLevel="0" collapsed="false">
      <c r="A25" s="112" t="str">
        <f aca="false">Checks!$A$324&amp;CHAR(10)&amp;IF(Checks!$I$324="","",Checks!$I$324&amp;": ")&amp;Checks!$J$324</f>
        <v>F10-T7-03
IFE: Digital menu in IFE confirmed (A339 only)</v>
      </c>
      <c r="B25" s="112" t="str">
        <f aca="false">Checks!$K$324&amp;IF(Checks!$O$324="","",IF(Checks!$K$324="","",CHAR(10))&amp;"Note: "&amp;Checks!$O$324)</f>
        <v>Applies when fleet = A339
Note: Digital IFE menu applies to A339 only (user brief). Applicability follows the Fleet cell on Flights.</v>
      </c>
      <c r="C25" s="112" t="str">
        <f aca="false">Checks!$N$324&amp;CHAR(10)&amp;IF(ISNUMBER(Checks!$R$324),TEXT(Checks!$R$324,"DD-MMM-YY HH:MM"),"")&amp;" "&amp;Checks!$P$324</f>
        <v>N/A – rule
05-Oct-26 11:45 KUL</v>
      </c>
      <c r="D25" s="112" t="str">
        <f aca="false">IF(Checks!$U$324="","",Checks!$U$324)&amp;IF(Checks!$AB$324="","",CHAR(10)&amp;"CA: "&amp;Checks!$AB$324)</f>
        <v/>
      </c>
      <c r="E25" s="112" t="str">
        <f aca="false">IF(Checks!$V$324="","",Checks!$V$324)&amp;IF(Checks!$AC$324="","",IF(Checks!$V$324="","",CHAR(10))&amp;"N/A just.: "&amp;Checks!$AC$324)&amp;IF(Checks!$W$324="","",CHAR(10)&amp;"Batch: "&amp;Checks!$W$324)&amp;IF(AND(Checks!$X$324="",Checks!$Y$324=""),"",CHAR(10)&amp;"Exp: "&amp;Checks!$X$324&amp;"  /  Act: "&amp;Checks!$Y$324)</f>
        <v/>
      </c>
      <c r="F25" s="112" t="str">
        <f aca="false">IF(Checks!$Z$324="","","Evidence: "&amp;Checks!$Z$324)&amp;IF(Checks!$AA$324="","",IF(Checks!$Z$324="","",CHAR(10))&amp;"CA: "&amp;Checks!$AA$324)</f>
        <v/>
      </c>
      <c r="G25" s="112" t="str">
        <f aca="false">IF(ISNUMBER(Checks!$AD$324),TEXT(Checks!$AD$324,"DD-MMM-YY HH:MM")&amp;" "&amp;Checks!$P$324,"")&amp;IF(Checks!$AE$324="","",CHAR(10)&amp;"Verifier: "&amp;Checks!$AE$324)&amp;IF(Checks!$T$324="","",CHAR(10)&amp;"PIC: "&amp;Checks!$T$324)</f>
        <v/>
      </c>
      <c r="H25" s="113" t="str">
        <f aca="false">IF(Checks!$AH$324="","",Checks!$AH$324)</f>
        <v>N/A – RULE</v>
      </c>
    </row>
    <row r="26" customFormat="false" ht="114" hidden="false" customHeight="true" outlineLevel="0" collapsed="false">
      <c r="A26" s="112" t="str">
        <f aca="false">Checks!$A$325&amp;CHAR(10)&amp;IF(Checks!$I$325="","",Checks!$I$325&amp;": ")&amp;Checks!$J$325</f>
        <v>F10-T7-04
Staffing: Experienced catering officer assigned to this flight</v>
      </c>
      <c r="B26" s="112" t="str">
        <f aca="false">Checks!$K$325&amp;IF(Checks!$O$325="","",IF(Checks!$K$325="","",CHAR(10))&amp;"Note: "&amp;Checks!$O$325)</f>
        <v>Record officer name in Result</v>
      </c>
      <c r="C26" s="112" t="str">
        <f aca="false">Checks!$N$325&amp;CHAR(10)&amp;IF(ISNUMBER(Checks!$R$325),TEXT(Checks!$R$325,"DD-MMM-YY HH:MM"),"")&amp;" "&amp;Checks!$P$325</f>
        <v>Required
05-Oct-26 11:45 KUL</v>
      </c>
      <c r="D26" s="112" t="str">
        <f aca="false">IF(Checks!$U$325="","",Checks!$U$325)&amp;IF(Checks!$AB$325="","",CHAR(10)&amp;"CA: "&amp;Checks!$AB$325)</f>
        <v/>
      </c>
      <c r="E26" s="112" t="str">
        <f aca="false">IF(Checks!$V$325="","",Checks!$V$325)&amp;IF(Checks!$AC$325="","",IF(Checks!$V$325="","",CHAR(10))&amp;"N/A just.: "&amp;Checks!$AC$325)&amp;IF(Checks!$W$325="","",CHAR(10)&amp;"Batch: "&amp;Checks!$W$325)&amp;IF(AND(Checks!$X$325="",Checks!$Y$325=""),"",CHAR(10)&amp;"Exp: "&amp;Checks!$X$325&amp;"  /  Act: "&amp;Checks!$Y$325)</f>
        <v/>
      </c>
      <c r="F26" s="112" t="str">
        <f aca="false">IF(Checks!$Z$325="","","Evidence: "&amp;Checks!$Z$325)&amp;IF(Checks!$AA$325="","",IF(Checks!$Z$325="","",CHAR(10))&amp;"CA: "&amp;Checks!$AA$325)</f>
        <v/>
      </c>
      <c r="G26" s="112" t="str">
        <f aca="false">IF(ISNUMBER(Checks!$AD$325),TEXT(Checks!$AD$325,"DD-MMM-YY HH:MM")&amp;" "&amp;Checks!$P$325,"")&amp;IF(Checks!$AE$325="","",CHAR(10)&amp;"Verifier: "&amp;Checks!$AE$325)&amp;IF(Checks!$T$325="","",CHAR(10)&amp;"PIC: "&amp;Checks!$T$325)</f>
        <v/>
      </c>
      <c r="H26" s="113" t="str">
        <f aca="false">IF(Checks!$AH$325="","",Checks!$AH$325)</f>
        <v>OPEN</v>
      </c>
    </row>
    <row r="27" customFormat="false" ht="114" hidden="false" customHeight="true" outlineLevel="0" collapsed="false">
      <c r="A27" s="112" t="str">
        <f aca="false">Checks!$A$326&amp;CHAR(10)&amp;IF(Checks!$I$326="","",Checks!$I$326&amp;": ")&amp;Checks!$J$326</f>
        <v>F10-T7-05
ISOP: All latest applicable ISOP revisions communicated to caterer</v>
      </c>
      <c r="B27" s="112" t="str">
        <f aca="false">Checks!$K$326&amp;IF(Checks!$O$326="","",IF(Checks!$K$326="","",CHAR(10))&amp;"Note: "&amp;Checks!$O$326)</f>
        <v>List revision numbers in Result (see ISOP register)</v>
      </c>
      <c r="C27" s="112" t="str">
        <f aca="false">Checks!$N$326&amp;CHAR(10)&amp;IF(ISNUMBER(Checks!$R$326),TEXT(Checks!$R$326,"DD-MMM-YY HH:MM"),"")&amp;" "&amp;Checks!$P$326</f>
        <v>Required
05-Oct-26 11:45 KUL</v>
      </c>
      <c r="D27" s="112" t="str">
        <f aca="false">IF(Checks!$U$326="","",Checks!$U$326)&amp;IF(Checks!$AB$326="","",CHAR(10)&amp;"CA: "&amp;Checks!$AB$326)</f>
        <v/>
      </c>
      <c r="E27" s="112" t="str">
        <f aca="false">IF(Checks!$V$326="","",Checks!$V$326)&amp;IF(Checks!$AC$326="","",IF(Checks!$V$326="","",CHAR(10))&amp;"N/A just.: "&amp;Checks!$AC$326)&amp;IF(Checks!$W$326="","",CHAR(10)&amp;"Batch: "&amp;Checks!$W$326)&amp;IF(AND(Checks!$X$326="",Checks!$Y$326=""),"",CHAR(10)&amp;"Exp: "&amp;Checks!$X$326&amp;"  /  Act: "&amp;Checks!$Y$326)</f>
        <v/>
      </c>
      <c r="F27" s="112" t="str">
        <f aca="false">IF(Checks!$Z$326="","","Evidence: "&amp;Checks!$Z$326)&amp;IF(Checks!$AA$326="","",IF(Checks!$Z$326="","",CHAR(10))&amp;"CA: "&amp;Checks!$AA$326)</f>
        <v/>
      </c>
      <c r="G27" s="112" t="str">
        <f aca="false">IF(ISNUMBER(Checks!$AD$326),TEXT(Checks!$AD$326,"DD-MMM-YY HH:MM")&amp;" "&amp;Checks!$P$326,"")&amp;IF(Checks!$AE$326="","",CHAR(10)&amp;"Verifier: "&amp;Checks!$AE$326)&amp;IF(Checks!$T$326="","",CHAR(10)&amp;"PIC: "&amp;Checks!$T$326)</f>
        <v/>
      </c>
      <c r="H27" s="113" t="str">
        <f aca="false">IF(Checks!$AH$326="","",Checks!$AH$326)</f>
        <v>OPEN</v>
      </c>
    </row>
    <row r="28" customFormat="false" ht="114" hidden="false" customHeight="true" outlineLevel="0" collapsed="false">
      <c r="A28" s="112" t="str">
        <f aca="false">Checks!$A$327&amp;CHAR(10)&amp;IF(Checks!$I$327="","",Checks!$I$327&amp;": ")&amp;Checks!$J$327</f>
        <v>F10-T7-06
ISOP: Caterer acknowledgement of ISOP revisions recorded</v>
      </c>
      <c r="B28" s="112" t="str">
        <f aca="false">Checks!$K$327&amp;IF(Checks!$O$327="","",IF(Checks!$K$327="","",CHAR(10))&amp;"Note: "&amp;Checks!$O$327)</f>
        <v>Record acknowledgement ref in Evidence</v>
      </c>
      <c r="C28" s="112" t="str">
        <f aca="false">Checks!$N$327&amp;CHAR(10)&amp;IF(ISNUMBER(Checks!$R$327),TEXT(Checks!$R$327,"DD-MMM-YY HH:MM"),"")&amp;" "&amp;Checks!$P$327</f>
        <v>Required
05-Oct-26 11:45 KUL</v>
      </c>
      <c r="D28" s="112" t="str">
        <f aca="false">IF(Checks!$U$327="","",Checks!$U$327)&amp;IF(Checks!$AB$327="","",CHAR(10)&amp;"CA: "&amp;Checks!$AB$327)</f>
        <v/>
      </c>
      <c r="E28" s="112" t="str">
        <f aca="false">IF(Checks!$V$327="","",Checks!$V$327)&amp;IF(Checks!$AC$327="","",IF(Checks!$V$327="","",CHAR(10))&amp;"N/A just.: "&amp;Checks!$AC$327)&amp;IF(Checks!$W$327="","",CHAR(10)&amp;"Batch: "&amp;Checks!$W$327)&amp;IF(AND(Checks!$X$327="",Checks!$Y$327=""),"",CHAR(10)&amp;"Exp: "&amp;Checks!$X$327&amp;"  /  Act: "&amp;Checks!$Y$327)</f>
        <v/>
      </c>
      <c r="F28" s="112" t="str">
        <f aca="false">IF(Checks!$Z$327="","","Evidence: "&amp;Checks!$Z$327)&amp;IF(Checks!$AA$327="","",IF(Checks!$Z$327="","",CHAR(10))&amp;"CA: "&amp;Checks!$AA$327)</f>
        <v/>
      </c>
      <c r="G28" s="112" t="str">
        <f aca="false">IF(ISNUMBER(Checks!$AD$327),TEXT(Checks!$AD$327,"DD-MMM-YY HH:MM")&amp;" "&amp;Checks!$P$327,"")&amp;IF(Checks!$AE$327="","",CHAR(10)&amp;"Verifier: "&amp;Checks!$AE$327)&amp;IF(Checks!$T$327="","",CHAR(10)&amp;"PIC: "&amp;Checks!$T$327)</f>
        <v/>
      </c>
      <c r="H28" s="113" t="str">
        <f aca="false">IF(Checks!$AH$327="","",Checks!$AH$327)</f>
        <v>OPEN</v>
      </c>
    </row>
    <row r="29" customFormat="false" ht="114" hidden="false" customHeight="true" outlineLevel="0" collapsed="false">
      <c r="A29" s="112" t="str">
        <f aca="false">Checks!$A$328&amp;CHAR(10)&amp;IF(Checks!$I$328="","",Checks!$I$328&amp;": ")&amp;Checks!$J$328</f>
        <v>F10-T7-07
Documents: Galley loading diagram (GLD) received, revision recorded &amp; attached</v>
      </c>
      <c r="B29" s="112" t="str">
        <f aca="false">Checks!$K$328&amp;IF(Checks!$O$328="","",IF(Checks!$K$328="","",CHAR(10))&amp;"Note: "&amp;Checks!$O$328)</f>
        <v>Documents sheet row complete</v>
      </c>
      <c r="C29" s="112" t="str">
        <f aca="false">Checks!$N$328&amp;CHAR(10)&amp;IF(ISNUMBER(Checks!$R$328),TEXT(Checks!$R$328,"DD-MMM-YY HH:MM"),"")&amp;" "&amp;Checks!$P$328</f>
        <v>Required
05-Oct-26 11:45 KUL</v>
      </c>
      <c r="D29" s="112" t="str">
        <f aca="false">IF(Checks!$U$328="","",Checks!$U$328)&amp;IF(Checks!$AB$328="","",CHAR(10)&amp;"CA: "&amp;Checks!$AB$328)</f>
        <v/>
      </c>
      <c r="E29" s="112" t="str">
        <f aca="false">IF(Checks!$V$328="","",Checks!$V$328)&amp;IF(Checks!$AC$328="","",IF(Checks!$V$328="","",CHAR(10))&amp;"N/A just.: "&amp;Checks!$AC$328)&amp;IF(Checks!$W$328="","",CHAR(10)&amp;"Batch: "&amp;Checks!$W$328)&amp;IF(AND(Checks!$X$328="",Checks!$Y$328=""),"",CHAR(10)&amp;"Exp: "&amp;Checks!$X$328&amp;"  /  Act: "&amp;Checks!$Y$328)</f>
        <v/>
      </c>
      <c r="F29" s="112" t="str">
        <f aca="false">IF(Checks!$Z$328="","","Evidence: "&amp;Checks!$Z$328)&amp;IF(Checks!$AA$328="","",IF(Checks!$Z$328="","",CHAR(10))&amp;"CA: "&amp;Checks!$AA$328)</f>
        <v/>
      </c>
      <c r="G29" s="112" t="str">
        <f aca="false">IF(ISNUMBER(Checks!$AD$328),TEXT(Checks!$AD$328,"DD-MMM-YY HH:MM")&amp;" "&amp;Checks!$P$328,"")&amp;IF(Checks!$AE$328="","",CHAR(10)&amp;"Verifier: "&amp;Checks!$AE$328)&amp;IF(Checks!$T$328="","",CHAR(10)&amp;"PIC: "&amp;Checks!$T$328)</f>
        <v/>
      </c>
      <c r="H29" s="113" t="str">
        <f aca="false">IF(Checks!$AH$328="","",Checks!$AH$328)</f>
        <v>OPEN</v>
      </c>
    </row>
    <row r="30" customFormat="false" ht="114" hidden="false" customHeight="true" outlineLevel="0" collapsed="false">
      <c r="A30" s="112" t="str">
        <f aca="false">Checks!$A$329&amp;CHAR(10)&amp;IF(Checks!$I$329="","",Checks!$I$329&amp;": ")&amp;Checks!$J$329</f>
        <v>F10-T7-08
Documents: Menu checklist received, revision recorded &amp; attached</v>
      </c>
      <c r="B30" s="112" t="str">
        <f aca="false">Checks!$K$329&amp;IF(Checks!$O$329="","",IF(Checks!$K$329="","",CHAR(10))&amp;"Note: "&amp;Checks!$O$329)</f>
        <v>Documents sheet row complete</v>
      </c>
      <c r="C30" s="112" t="str">
        <f aca="false">Checks!$N$329&amp;CHAR(10)&amp;IF(ISNUMBER(Checks!$R$329),TEXT(Checks!$R$329,"DD-MMM-YY HH:MM"),"")&amp;" "&amp;Checks!$P$329</f>
        <v>Required
05-Oct-26 11:45 KUL</v>
      </c>
      <c r="D30" s="112" t="str">
        <f aca="false">IF(Checks!$U$329="","",Checks!$U$329)&amp;IF(Checks!$AB$329="","",CHAR(10)&amp;"CA: "&amp;Checks!$AB$329)</f>
        <v/>
      </c>
      <c r="E30" s="112" t="str">
        <f aca="false">IF(Checks!$V$329="","",Checks!$V$329)&amp;IF(Checks!$AC$329="","",IF(Checks!$V$329="","",CHAR(10))&amp;"N/A just.: "&amp;Checks!$AC$329)&amp;IF(Checks!$W$329="","",CHAR(10)&amp;"Batch: "&amp;Checks!$W$329)&amp;IF(AND(Checks!$X$329="",Checks!$Y$329=""),"",CHAR(10)&amp;"Exp: "&amp;Checks!$X$329&amp;"  /  Act: "&amp;Checks!$Y$329)</f>
        <v/>
      </c>
      <c r="F30" s="112" t="str">
        <f aca="false">IF(Checks!$Z$329="","","Evidence: "&amp;Checks!$Z$329)&amp;IF(Checks!$AA$329="","",IF(Checks!$Z$329="","",CHAR(10))&amp;"CA: "&amp;Checks!$AA$329)</f>
        <v/>
      </c>
      <c r="G30" s="112" t="str">
        <f aca="false">IF(ISNUMBER(Checks!$AD$329),TEXT(Checks!$AD$329,"DD-MMM-YY HH:MM")&amp;" "&amp;Checks!$P$329,"")&amp;IF(Checks!$AE$329="","",CHAR(10)&amp;"Verifier: "&amp;Checks!$AE$329)&amp;IF(Checks!$T$329="","",CHAR(10)&amp;"PIC: "&amp;Checks!$T$329)</f>
        <v/>
      </c>
      <c r="H30" s="113" t="str">
        <f aca="false">IF(Checks!$AH$329="","",Checks!$AH$329)</f>
        <v>OPEN</v>
      </c>
    </row>
    <row r="31" customFormat="false" ht="114" hidden="false" customHeight="true" outlineLevel="0" collapsed="false">
      <c r="A31" s="112" t="str">
        <f aca="false">Checks!$A$330&amp;CHAR(10)&amp;IF(Checks!$I$330="","",Checks!$I$330&amp;": ")&amp;Checks!$J$330</f>
        <v>F10-T7-09
Uplift plan: Uplift plan confirmed with caterer vs STD Uplift Information</v>
      </c>
      <c r="B31" s="112" t="str">
        <f aca="false">Checks!$K$330&amp;IF(Checks!$O$330="","",IF(Checks!$K$330="","",CHAR(10))&amp;"Note: "&amp;Checks!$O$330)</f>
        <v>Service: Refreshment (Peanut &amp; Water); meal uplift stn KUL (ref lists KUL)</v>
      </c>
      <c r="C31" s="112" t="str">
        <f aca="false">Checks!$N$330&amp;CHAR(10)&amp;IF(ISNUMBER(Checks!$R$330),TEXT(Checks!$R$330,"DD-MMM-YY HH:MM"),"")&amp;" "&amp;Checks!$P$330</f>
        <v>Required
05-Oct-26 11:45 KUL</v>
      </c>
      <c r="D31" s="112" t="str">
        <f aca="false">IF(Checks!$U$330="","",Checks!$U$330)&amp;IF(Checks!$AB$330="","",CHAR(10)&amp;"CA: "&amp;Checks!$AB$330)</f>
        <v/>
      </c>
      <c r="E31" s="112" t="str">
        <f aca="false">IF(Checks!$V$330="","",Checks!$V$330)&amp;IF(Checks!$AC$330="","",IF(Checks!$V$330="","",CHAR(10))&amp;"N/A just.: "&amp;Checks!$AC$330)&amp;IF(Checks!$W$330="","",CHAR(10)&amp;"Batch: "&amp;Checks!$W$330)&amp;IF(AND(Checks!$X$330="",Checks!$Y$330=""),"",CHAR(10)&amp;"Exp: "&amp;Checks!$X$330&amp;"  /  Act: "&amp;Checks!$Y$330)</f>
        <v/>
      </c>
      <c r="F31" s="112" t="str">
        <f aca="false">IF(Checks!$Z$330="","","Evidence: "&amp;Checks!$Z$330)&amp;IF(Checks!$AA$330="","",IF(Checks!$Z$330="","",CHAR(10))&amp;"CA: "&amp;Checks!$AA$330)</f>
        <v/>
      </c>
      <c r="G31" s="112" t="str">
        <f aca="false">IF(ISNUMBER(Checks!$AD$330),TEXT(Checks!$AD$330,"DD-MMM-YY HH:MM")&amp;" "&amp;Checks!$P$330,"")&amp;IF(Checks!$AE$330="","",CHAR(10)&amp;"Verifier: "&amp;Checks!$AE$330)&amp;IF(Checks!$T$330="","",CHAR(10)&amp;"PIC: "&amp;Checks!$T$330)</f>
        <v/>
      </c>
      <c r="H31" s="113" t="str">
        <f aca="false">IF(Checks!$AH$330="","",Checks!$AH$330)</f>
        <v>OPEN</v>
      </c>
    </row>
    <row r="32" customFormat="false" ht="25.5" hidden="false" customHeight="true" outlineLevel="0" collapsed="false">
      <c r="A32" s="111"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Checks!$A$331&amp;CHAR(10)&amp;IF(Checks!$I$331="","",Checks!$I$331&amp;": ")&amp;Checks!$J$331</f>
        <v>F10-T24-01
Meal: Sensory test repeated on ACTUAL production batch for this flight</v>
      </c>
      <c r="B33" s="112" t="str">
        <f aca="false">Checks!$K$331&amp;IF(Checks!$O$331="","",IF(Checks!$K$331="","",CHAR(10))&amp;"Note: "&amp;Checks!$O$331)</f>
        <v>Batch ID, result, CA and acceptance mandatory</v>
      </c>
      <c r="C33" s="112" t="str">
        <f aca="false">Checks!$N$331&amp;CHAR(10)&amp;IF(ISNUMBER(Checks!$R$331),TEXT(Checks!$R$331,"DD-MMM-YY HH:MM"),"")&amp;" "&amp;Checks!$P$331</f>
        <v>Required
11-Oct-26 11:45 KUL</v>
      </c>
      <c r="D33" s="112" t="str">
        <f aca="false">IF(Checks!$U$331="","",Checks!$U$331)&amp;IF(Checks!$AB$331="","",CHAR(10)&amp;"CA: "&amp;Checks!$AB$331)</f>
        <v/>
      </c>
      <c r="E33" s="112" t="str">
        <f aca="false">IF(Checks!$V$331="","",Checks!$V$331)&amp;IF(Checks!$AC$331="","",IF(Checks!$V$331="","",CHAR(10))&amp;"N/A just.: "&amp;Checks!$AC$331)&amp;IF(Checks!$W$331="","",CHAR(10)&amp;"Batch: "&amp;Checks!$W$331)&amp;IF(AND(Checks!$X$331="",Checks!$Y$331=""),"",CHAR(10)&amp;"Exp: "&amp;Checks!$X$331&amp;"  /  Act: "&amp;Checks!$Y$331)</f>
        <v/>
      </c>
      <c r="F33" s="112" t="str">
        <f aca="false">IF(Checks!$Z$331="","","Evidence: "&amp;Checks!$Z$331)&amp;IF(Checks!$AA$331="","",IF(Checks!$Z$331="","",CHAR(10))&amp;"CA: "&amp;Checks!$AA$331)</f>
        <v/>
      </c>
      <c r="G33" s="112" t="str">
        <f aca="false">IF(ISNUMBER(Checks!$AD$331),TEXT(Checks!$AD$331,"DD-MMM-YY HH:MM")&amp;" "&amp;Checks!$P$331,"")&amp;IF(Checks!$AE$331="","",CHAR(10)&amp;"Verifier: "&amp;Checks!$AE$331)&amp;IF(Checks!$T$331="","",CHAR(10)&amp;"PIC: "&amp;Checks!$T$331)</f>
        <v/>
      </c>
      <c r="H33" s="113" t="str">
        <f aca="false">IF(Checks!$AH$331="","",Checks!$AH$331)</f>
        <v>OPEN</v>
      </c>
    </row>
    <row r="34" customFormat="false" ht="25.5" hidden="false" customHeight="true" outlineLevel="0" collapsed="false">
      <c r="A34" s="111"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1"/>
      <c r="C34" s="111"/>
      <c r="D34" s="111"/>
      <c r="E34" s="111"/>
      <c r="F34" s="111"/>
      <c r="G34" s="111"/>
      <c r="H34" s="111"/>
    </row>
    <row r="35" customFormat="false" ht="114" hidden="false" customHeight="true" outlineLevel="0" collapsed="false">
      <c r="A35" s="112" t="str">
        <f aca="false">Checks!$A$332&amp;CHAR(10)&amp;IF(Checks!$I$332="","",Checks!$I$332&amp;": ")&amp;Checks!$J$332</f>
        <v>F10-T12-01
Meal: Meal quality vs menu checklist</v>
      </c>
      <c r="B35" s="112" t="str">
        <f aca="false">Checks!$K$332&amp;IF(Checks!$O$332="","",IF(Checks!$K$332="","",CHAR(10))&amp;"Note: "&amp;Checks!$O$332)</f>
        <v>Note: Preparation check at caterer - does NOT confirm loading.</v>
      </c>
      <c r="C35" s="112" t="str">
        <f aca="false">Checks!$N$332&amp;CHAR(10)&amp;IF(ISNUMBER(Checks!$R$332),TEXT(Checks!$R$332,"DD-MMM-YY HH:MM"),"")&amp;" "&amp;Checks!$P$332</f>
        <v>Required
11-Oct-26 23:45 KUL</v>
      </c>
      <c r="D35" s="112" t="str">
        <f aca="false">IF(Checks!$U$332="","",Checks!$U$332)&amp;IF(Checks!$AB$332="","",CHAR(10)&amp;"CA: "&amp;Checks!$AB$332)</f>
        <v/>
      </c>
      <c r="E35" s="112" t="str">
        <f aca="false">IF(Checks!$V$332="","",Checks!$V$332)&amp;IF(Checks!$AC$332="","",IF(Checks!$V$332="","",CHAR(10))&amp;"N/A just.: "&amp;Checks!$AC$332)&amp;IF(Checks!$W$332="","",CHAR(10)&amp;"Batch: "&amp;Checks!$W$332)&amp;IF(AND(Checks!$X$332="",Checks!$Y$332=""),"",CHAR(10)&amp;"Exp: "&amp;Checks!$X$332&amp;"  /  Act: "&amp;Checks!$Y$332)</f>
        <v/>
      </c>
      <c r="F35" s="112" t="str">
        <f aca="false">IF(Checks!$Z$332="","","Evidence: "&amp;Checks!$Z$332)&amp;IF(Checks!$AA$332="","",IF(Checks!$Z$332="","",CHAR(10))&amp;"CA: "&amp;Checks!$AA$332)</f>
        <v/>
      </c>
      <c r="G35" s="112" t="str">
        <f aca="false">IF(ISNUMBER(Checks!$AD$332),TEXT(Checks!$AD$332,"DD-MMM-YY HH:MM")&amp;" "&amp;Checks!$P$332,"")&amp;IF(Checks!$AE$332="","",CHAR(10)&amp;"Verifier: "&amp;Checks!$AE$332)&amp;IF(Checks!$T$332="","",CHAR(10)&amp;"PIC: "&amp;Checks!$T$332)</f>
        <v/>
      </c>
      <c r="H35" s="113" t="str">
        <f aca="false">IF(Checks!$AH$332="","",Checks!$AH$332)</f>
        <v>OPEN</v>
      </c>
    </row>
    <row r="36" customFormat="false" ht="114" hidden="false" customHeight="true" outlineLevel="0" collapsed="false">
      <c r="A36" s="112" t="str">
        <f aca="false">Checks!$A$333&amp;CHAR(10)&amp;IF(Checks!$I$333="","",Checks!$I$333&amp;": ")&amp;Checks!$J$333</f>
        <v>F10-T12-02
Meal: Meal quantities vs menu checklist</v>
      </c>
      <c r="B36" s="112" t="str">
        <f aca="false">Checks!$K$333&amp;IF(Checks!$O$333="","",IF(Checks!$K$333="","",CHAR(10))&amp;"Note: "&amp;Checks!$O$333)</f>
        <v>Enter expected &amp; actual
Note: Preparation check at caterer - does NOT confirm loading.</v>
      </c>
      <c r="C36" s="112" t="str">
        <f aca="false">Checks!$N$333&amp;CHAR(10)&amp;IF(ISNUMBER(Checks!$R$333),TEXT(Checks!$R$333,"DD-MMM-YY HH:MM"),"")&amp;" "&amp;Checks!$P$333</f>
        <v>Required
11-Oct-26 23:45 KUL</v>
      </c>
      <c r="D36" s="112" t="str">
        <f aca="false">IF(Checks!$U$333="","",Checks!$U$333)&amp;IF(Checks!$AB$333="","",CHAR(10)&amp;"CA: "&amp;Checks!$AB$333)</f>
        <v/>
      </c>
      <c r="E36" s="112" t="str">
        <f aca="false">IF(Checks!$V$333="","",Checks!$V$333)&amp;IF(Checks!$AC$333="","",IF(Checks!$V$333="","",CHAR(10))&amp;"N/A just.: "&amp;Checks!$AC$333)&amp;IF(Checks!$W$333="","",CHAR(10)&amp;"Batch: "&amp;Checks!$W$333)&amp;IF(AND(Checks!$X$333="",Checks!$Y$333=""),"",CHAR(10)&amp;"Exp: "&amp;Checks!$X$333&amp;"  /  Act: "&amp;Checks!$Y$333)</f>
        <v/>
      </c>
      <c r="F36" s="112" t="str">
        <f aca="false">IF(Checks!$Z$333="","","Evidence: "&amp;Checks!$Z$333)&amp;IF(Checks!$AA$333="","",IF(Checks!$Z$333="","",CHAR(10))&amp;"CA: "&amp;Checks!$AA$333)</f>
        <v/>
      </c>
      <c r="G36" s="112" t="str">
        <f aca="false">IF(ISNUMBER(Checks!$AD$333),TEXT(Checks!$AD$333,"DD-MMM-YY HH:MM")&amp;" "&amp;Checks!$P$333,"")&amp;IF(Checks!$AE$333="","",CHAR(10)&amp;"Verifier: "&amp;Checks!$AE$333)&amp;IF(Checks!$T$333="","",CHAR(10)&amp;"PIC: "&amp;Checks!$T$333)</f>
        <v/>
      </c>
      <c r="H36" s="113" t="str">
        <f aca="false">IF(Checks!$AH$333="","",Checks!$AH$333)</f>
        <v>OPEN</v>
      </c>
    </row>
    <row r="37" customFormat="false" ht="114" hidden="false" customHeight="true" outlineLevel="0" collapsed="false">
      <c r="A37" s="112" t="str">
        <f aca="false">Checks!$A$334&amp;CHAR(10)&amp;IF(Checks!$I$334="","",Checks!$I$334&amp;": ")&amp;Checks!$J$334</f>
        <v>F10-T12-03
Equipment: Equipment cleanliness vs GLD</v>
      </c>
      <c r="B37" s="112" t="str">
        <f aca="false">Checks!$K$334&amp;IF(Checks!$O$334="","",IF(Checks!$K$334="","",CHAR(10))&amp;"Note: "&amp;Checks!$O$334)</f>
        <v>Note: Preparation check at caterer - does NOT confirm loading.</v>
      </c>
      <c r="C37" s="112" t="str">
        <f aca="false">Checks!$N$334&amp;CHAR(10)&amp;IF(ISNUMBER(Checks!$R$334),TEXT(Checks!$R$334,"DD-MMM-YY HH:MM"),"")&amp;" "&amp;Checks!$P$334</f>
        <v>Required
11-Oct-26 23:45 KUL</v>
      </c>
      <c r="D37" s="112" t="str">
        <f aca="false">IF(Checks!$U$334="","",Checks!$U$334)&amp;IF(Checks!$AB$334="","",CHAR(10)&amp;"CA: "&amp;Checks!$AB$334)</f>
        <v/>
      </c>
      <c r="E37" s="112" t="str">
        <f aca="false">IF(Checks!$V$334="","",Checks!$V$334)&amp;IF(Checks!$AC$334="","",IF(Checks!$V$334="","",CHAR(10))&amp;"N/A just.: "&amp;Checks!$AC$334)&amp;IF(Checks!$W$334="","",CHAR(10)&amp;"Batch: "&amp;Checks!$W$334)&amp;IF(AND(Checks!$X$334="",Checks!$Y$334=""),"",CHAR(10)&amp;"Exp: "&amp;Checks!$X$334&amp;"  /  Act: "&amp;Checks!$Y$334)</f>
        <v/>
      </c>
      <c r="F37" s="112" t="str">
        <f aca="false">IF(Checks!$Z$334="","","Evidence: "&amp;Checks!$Z$334)&amp;IF(Checks!$AA$334="","",IF(Checks!$Z$334="","",CHAR(10))&amp;"CA: "&amp;Checks!$AA$334)</f>
        <v/>
      </c>
      <c r="G37" s="112" t="str">
        <f aca="false">IF(ISNUMBER(Checks!$AD$334),TEXT(Checks!$AD$334,"DD-MMM-YY HH:MM")&amp;" "&amp;Checks!$P$334,"")&amp;IF(Checks!$AE$334="","",CHAR(10)&amp;"Verifier: "&amp;Checks!$AE$334)&amp;IF(Checks!$T$334="","",CHAR(10)&amp;"PIC: "&amp;Checks!$T$334)</f>
        <v/>
      </c>
      <c r="H37" s="113" t="str">
        <f aca="false">IF(Checks!$AH$334="","",Checks!$AH$334)</f>
        <v>OPEN</v>
      </c>
    </row>
    <row r="38" customFormat="false" ht="114" hidden="false" customHeight="true" outlineLevel="0" collapsed="false">
      <c r="A38" s="112" t="str">
        <f aca="false">Checks!$A$335&amp;CHAR(10)&amp;IF(Checks!$I$335="","",Checks!$I$335&amp;": ")&amp;Checks!$J$335</f>
        <v>F10-T12-04
Equipment: Equipment presentation vs GLD</v>
      </c>
      <c r="B38" s="112" t="str">
        <f aca="false">Checks!$K$335&amp;IF(Checks!$O$335="","",IF(Checks!$K$335="","",CHAR(10))&amp;"Note: "&amp;Checks!$O$335)</f>
        <v>Note: Preparation check at caterer - does NOT confirm loading.</v>
      </c>
      <c r="C38" s="112" t="str">
        <f aca="false">Checks!$N$335&amp;CHAR(10)&amp;IF(ISNUMBER(Checks!$R$335),TEXT(Checks!$R$335,"DD-MMM-YY HH:MM"),"")&amp;" "&amp;Checks!$P$335</f>
        <v>Required
11-Oct-26 23:45 KUL</v>
      </c>
      <c r="D38" s="112" t="str">
        <f aca="false">IF(Checks!$U$335="","",Checks!$U$335)&amp;IF(Checks!$AB$335="","",CHAR(10)&amp;"CA: "&amp;Checks!$AB$335)</f>
        <v/>
      </c>
      <c r="E38" s="112" t="str">
        <f aca="false">IF(Checks!$V$335="","",Checks!$V$335)&amp;IF(Checks!$AC$335="","",IF(Checks!$V$335="","",CHAR(10))&amp;"N/A just.: "&amp;Checks!$AC$335)&amp;IF(Checks!$W$335="","",CHAR(10)&amp;"Batch: "&amp;Checks!$W$335)&amp;IF(AND(Checks!$X$335="",Checks!$Y$335=""),"",CHAR(10)&amp;"Exp: "&amp;Checks!$X$335&amp;"  /  Act: "&amp;Checks!$Y$335)</f>
        <v/>
      </c>
      <c r="F38" s="112" t="str">
        <f aca="false">IF(Checks!$Z$335="","","Evidence: "&amp;Checks!$Z$335)&amp;IF(Checks!$AA$335="","",IF(Checks!$Z$335="","",CHAR(10))&amp;"CA: "&amp;Checks!$AA$335)</f>
        <v/>
      </c>
      <c r="G38" s="112" t="str">
        <f aca="false">IF(ISNUMBER(Checks!$AD$335),TEXT(Checks!$AD$335,"DD-MMM-YY HH:MM")&amp;" "&amp;Checks!$P$335,"")&amp;IF(Checks!$AE$335="","",CHAR(10)&amp;"Verifier: "&amp;Checks!$AE$335)&amp;IF(Checks!$T$335="","",CHAR(10)&amp;"PIC: "&amp;Checks!$T$335)</f>
        <v/>
      </c>
      <c r="H38" s="113" t="str">
        <f aca="false">IF(Checks!$AH$335="","",Checks!$AH$335)</f>
        <v>OPEN</v>
      </c>
    </row>
    <row r="39" customFormat="false" ht="114" hidden="false" customHeight="true" outlineLevel="0" collapsed="false">
      <c r="A39" s="112" t="str">
        <f aca="false">Checks!$A$336&amp;CHAR(10)&amp;IF(Checks!$I$336="","",Checks!$I$336&amp;": ")&amp;Checks!$J$336</f>
        <v>F10-T12-05
Equipment: Equipment serviceability vs GLD</v>
      </c>
      <c r="B39" s="112" t="str">
        <f aca="false">Checks!$K$336&amp;IF(Checks!$O$336="","",IF(Checks!$K$336="","",CHAR(10))&amp;"Note: "&amp;Checks!$O$336)</f>
        <v>Note: Preparation check at caterer - does NOT confirm loading.</v>
      </c>
      <c r="C39" s="112" t="str">
        <f aca="false">Checks!$N$336&amp;CHAR(10)&amp;IF(ISNUMBER(Checks!$R$336),TEXT(Checks!$R$336,"DD-MMM-YY HH:MM"),"")&amp;" "&amp;Checks!$P$336</f>
        <v>Required
11-Oct-26 23:45 KUL</v>
      </c>
      <c r="D39" s="112" t="str">
        <f aca="false">IF(Checks!$U$336="","",Checks!$U$336)&amp;IF(Checks!$AB$336="","",CHAR(10)&amp;"CA: "&amp;Checks!$AB$336)</f>
        <v/>
      </c>
      <c r="E39" s="112" t="str">
        <f aca="false">IF(Checks!$V$336="","",Checks!$V$336)&amp;IF(Checks!$AC$336="","",IF(Checks!$V$336="","",CHAR(10))&amp;"N/A just.: "&amp;Checks!$AC$336)&amp;IF(Checks!$W$336="","",CHAR(10)&amp;"Batch: "&amp;Checks!$W$336)&amp;IF(AND(Checks!$X$336="",Checks!$Y$336=""),"",CHAR(10)&amp;"Exp: "&amp;Checks!$X$336&amp;"  /  Act: "&amp;Checks!$Y$336)</f>
        <v/>
      </c>
      <c r="F39" s="112" t="str">
        <f aca="false">IF(Checks!$Z$336="","","Evidence: "&amp;Checks!$Z$336)&amp;IF(Checks!$AA$336="","",IF(Checks!$Z$336="","",CHAR(10))&amp;"CA: "&amp;Checks!$AA$336)</f>
        <v/>
      </c>
      <c r="G39" s="112" t="str">
        <f aca="false">IF(ISNUMBER(Checks!$AD$336),TEXT(Checks!$AD$336,"DD-MMM-YY HH:MM")&amp;" "&amp;Checks!$P$336,"")&amp;IF(Checks!$AE$336="","",CHAR(10)&amp;"Verifier: "&amp;Checks!$AE$336)&amp;IF(Checks!$T$336="","",CHAR(10)&amp;"PIC: "&amp;Checks!$T$336)</f>
        <v/>
      </c>
      <c r="H39" s="113" t="str">
        <f aca="false">IF(Checks!$AH$336="","",Checks!$AH$336)</f>
        <v>OPEN</v>
      </c>
    </row>
    <row r="40" customFormat="false" ht="190.5" hidden="false" customHeight="true" outlineLevel="0" collapsed="false">
      <c r="A40" s="112" t="str">
        <f aca="false">Checks!$A$337&amp;CHAR(10)&amp;IF(Checks!$I$337="","",Checks!$I$337&amp;": ")&amp;Checks!$J$337</f>
        <v>F10-T12-06
Equipment: Equipment quantities vs GLD</v>
      </c>
      <c r="B40" s="112"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2" t="str">
        <f aca="false">Checks!$N$337&amp;CHAR(10)&amp;IF(ISNUMBER(Checks!$R$337),TEXT(Checks!$R$337,"DD-MMM-YY HH:MM"),"")&amp;" "&amp;Checks!$P$337</f>
        <v>Required
11-Oct-26 23:45 KUL</v>
      </c>
      <c r="D40" s="112" t="str">
        <f aca="false">IF(Checks!$U$337="","",Checks!$U$337)&amp;IF(Checks!$AB$337="","",CHAR(10)&amp;"CA: "&amp;Checks!$AB$337)</f>
        <v/>
      </c>
      <c r="E40" s="112" t="str">
        <f aca="false">IF(Checks!$V$337="","",Checks!$V$337)&amp;IF(Checks!$AC$337="","",IF(Checks!$V$337="","",CHAR(10))&amp;"N/A just.: "&amp;Checks!$AC$337)&amp;IF(Checks!$W$337="","",CHAR(10)&amp;"Batch: "&amp;Checks!$W$337)&amp;IF(AND(Checks!$X$337="",Checks!$Y$337=""),"",CHAR(10)&amp;"Exp: "&amp;Checks!$X$337&amp;"  /  Act: "&amp;Checks!$Y$337)</f>
        <v/>
      </c>
      <c r="F40" s="112" t="str">
        <f aca="false">IF(Checks!$Z$337="","","Evidence: "&amp;Checks!$Z$337)&amp;IF(Checks!$AA$337="","",IF(Checks!$Z$337="","",CHAR(10))&amp;"CA: "&amp;Checks!$AA$337)</f>
        <v/>
      </c>
      <c r="G40" s="112" t="str">
        <f aca="false">IF(ISNUMBER(Checks!$AD$337),TEXT(Checks!$AD$337,"DD-MMM-YY HH:MM")&amp;" "&amp;Checks!$P$337,"")&amp;IF(Checks!$AE$337="","",CHAR(10)&amp;"Verifier: "&amp;Checks!$AE$337)&amp;IF(Checks!$T$337="","",CHAR(10)&amp;"PIC: "&amp;Checks!$T$337)</f>
        <v/>
      </c>
      <c r="H40" s="113" t="str">
        <f aca="false">IF(Checks!$AH$337="","",Checks!$AH$337)</f>
        <v>OPEN</v>
      </c>
    </row>
    <row r="41" customFormat="false" ht="114" hidden="false" customHeight="true" outlineLevel="0" collapsed="false">
      <c r="A41" s="112" t="str">
        <f aca="false">Checks!$A$338&amp;CHAR(10)&amp;IF(Checks!$I$338="","",Checks!$I$338&amp;": ")&amp;Checks!$J$338</f>
        <v>F10-T12-07
Equipment: Loading positions planned vs GLD</v>
      </c>
      <c r="B41" s="112" t="str">
        <f aca="false">Checks!$K$338&amp;IF(Checks!$O$338="","",IF(Checks!$K$338="","",CHAR(10))&amp;"Note: "&amp;Checks!$O$338)</f>
        <v>Note: Preparation check at caterer - does NOT confirm loading.</v>
      </c>
      <c r="C41" s="112" t="str">
        <f aca="false">Checks!$N$338&amp;CHAR(10)&amp;IF(ISNUMBER(Checks!$R$338),TEXT(Checks!$R$338,"DD-MMM-YY HH:MM"),"")&amp;" "&amp;Checks!$P$338</f>
        <v>Required
11-Oct-26 23:45 KUL</v>
      </c>
      <c r="D41" s="112" t="str">
        <f aca="false">IF(Checks!$U$338="","",Checks!$U$338)&amp;IF(Checks!$AB$338="","",CHAR(10)&amp;"CA: "&amp;Checks!$AB$338)</f>
        <v/>
      </c>
      <c r="E41" s="112" t="str">
        <f aca="false">IF(Checks!$V$338="","",Checks!$V$338)&amp;IF(Checks!$AC$338="","",IF(Checks!$V$338="","",CHAR(10))&amp;"N/A just.: "&amp;Checks!$AC$338)&amp;IF(Checks!$W$338="","",CHAR(10)&amp;"Batch: "&amp;Checks!$W$338)&amp;IF(AND(Checks!$X$338="",Checks!$Y$338=""),"",CHAR(10)&amp;"Exp: "&amp;Checks!$X$338&amp;"  /  Act: "&amp;Checks!$Y$338)</f>
        <v/>
      </c>
      <c r="F41" s="112" t="str">
        <f aca="false">IF(Checks!$Z$338="","","Evidence: "&amp;Checks!$Z$338)&amp;IF(Checks!$AA$338="","",IF(Checks!$Z$338="","",CHAR(10))&amp;"CA: "&amp;Checks!$AA$338)</f>
        <v/>
      </c>
      <c r="G41" s="112" t="str">
        <f aca="false">IF(ISNUMBER(Checks!$AD$338),TEXT(Checks!$AD$338,"DD-MMM-YY HH:MM")&amp;" "&amp;Checks!$P$338,"")&amp;IF(Checks!$AE$338="","",CHAR(10)&amp;"Verifier: "&amp;Checks!$AE$338)&amp;IF(Checks!$T$338="","",CHAR(10)&amp;"PIC: "&amp;Checks!$T$338)</f>
        <v/>
      </c>
      <c r="H41" s="113" t="str">
        <f aca="false">IF(Checks!$AH$338="","",Checks!$AH$338)</f>
        <v>OPEN</v>
      </c>
    </row>
    <row r="42" customFormat="false" ht="168.75" hidden="false" customHeight="true" outlineLevel="0" collapsed="false">
      <c r="A42" s="112" t="str">
        <f aca="false">Checks!$A$339&amp;CHAR(10)&amp;IF(Checks!$I$339="","",Checks!$I$339&amp;": ")&amp;Checks!$J$339</f>
        <v>F10-T12-08
Amenities: Disposable slippers in DAM cart (BC, on request) - prepared</v>
      </c>
      <c r="B42" s="112"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2" t="str">
        <f aca="false">Checks!$N$339&amp;CHAR(10)&amp;IF(ISNUMBER(Checks!$R$339),TEXT(Checks!$R$339,"DD-MMM-YY HH:MM"),"")&amp;" "&amp;Checks!$P$339</f>
        <v>Required
11-Oct-26 23:45 KUL</v>
      </c>
      <c r="D42" s="112" t="str">
        <f aca="false">IF(Checks!$U$339="","",Checks!$U$339)&amp;IF(Checks!$AB$339="","",CHAR(10)&amp;"CA: "&amp;Checks!$AB$339)</f>
        <v/>
      </c>
      <c r="E42" s="112" t="str">
        <f aca="false">IF(Checks!$V$339="","",Checks!$V$339)&amp;IF(Checks!$AC$339="","",IF(Checks!$V$339="","",CHAR(10))&amp;"N/A just.: "&amp;Checks!$AC$339)&amp;IF(Checks!$W$339="","",CHAR(10)&amp;"Batch: "&amp;Checks!$W$339)&amp;IF(AND(Checks!$X$339="",Checks!$Y$339=""),"",CHAR(10)&amp;"Exp: "&amp;Checks!$X$339&amp;"  /  Act: "&amp;Checks!$Y$339)</f>
        <v/>
      </c>
      <c r="F42" s="112" t="str">
        <f aca="false">IF(Checks!$Z$339="","","Evidence: "&amp;Checks!$Z$339)&amp;IF(Checks!$AA$339="","",IF(Checks!$Z$339="","",CHAR(10))&amp;"CA: "&amp;Checks!$AA$339)</f>
        <v/>
      </c>
      <c r="G42" s="112" t="str">
        <f aca="false">IF(ISNUMBER(Checks!$AD$339),TEXT(Checks!$AD$339,"DD-MMM-YY HH:MM")&amp;" "&amp;Checks!$P$339,"")&amp;IF(Checks!$AE$339="","",CHAR(10)&amp;"Verifier: "&amp;Checks!$AE$339)&amp;IF(Checks!$T$339="","",CHAR(10)&amp;"PIC: "&amp;Checks!$T$339)</f>
        <v/>
      </c>
      <c r="H42" s="113" t="str">
        <f aca="false">IF(Checks!$AH$339="","",Checks!$AH$339)</f>
        <v>OPEN</v>
      </c>
    </row>
    <row r="43" customFormat="false" ht="114" hidden="false" customHeight="true" outlineLevel="0" collapsed="false">
      <c r="A43" s="112" t="str">
        <f aca="false">Checks!$A$340&amp;CHAR(10)&amp;IF(Checks!$I$340="","",Checks!$I$340&amp;": ")&amp;Checks!$J$340</f>
        <v>F10-T12-09
F&amp;B Linen: Towel - prepared</v>
      </c>
      <c r="B43" s="112" t="str">
        <f aca="false">Checks!$K$340&amp;IF(Checks!$O$340="","",IF(Checks!$K$340="","",CHAR(10))&amp;"Note: "&amp;Checks!$O$340)</f>
        <v>Available (ticked in reference)
Note: Reference gives no uplift stn for this item: preparation checked at the meal uplift stn (KUL) - confirm with caterer.</v>
      </c>
      <c r="C43" s="112" t="str">
        <f aca="false">Checks!$N$340&amp;CHAR(10)&amp;IF(ISNUMBER(Checks!$R$340),TEXT(Checks!$R$340,"DD-MMM-YY HH:MM"),"")&amp;" "&amp;Checks!$P$340</f>
        <v>Required
11-Oct-26 23:45 KUL</v>
      </c>
      <c r="D43" s="112" t="str">
        <f aca="false">IF(Checks!$U$340="","",Checks!$U$340)&amp;IF(Checks!$AB$340="","",CHAR(10)&amp;"CA: "&amp;Checks!$AB$340)</f>
        <v/>
      </c>
      <c r="E43" s="112" t="str">
        <f aca="false">IF(Checks!$V$340="","",Checks!$V$340)&amp;IF(Checks!$AC$340="","",IF(Checks!$V$340="","",CHAR(10))&amp;"N/A just.: "&amp;Checks!$AC$340)&amp;IF(Checks!$W$340="","",CHAR(10)&amp;"Batch: "&amp;Checks!$W$340)&amp;IF(AND(Checks!$X$340="",Checks!$Y$340=""),"",CHAR(10)&amp;"Exp: "&amp;Checks!$X$340&amp;"  /  Act: "&amp;Checks!$Y$340)</f>
        <v/>
      </c>
      <c r="F43" s="112" t="str">
        <f aca="false">IF(Checks!$Z$340="","","Evidence: "&amp;Checks!$Z$340)&amp;IF(Checks!$AA$340="","",IF(Checks!$Z$340="","",CHAR(10))&amp;"CA: "&amp;Checks!$AA$340)</f>
        <v/>
      </c>
      <c r="G43" s="112" t="str">
        <f aca="false">IF(ISNUMBER(Checks!$AD$340),TEXT(Checks!$AD$340,"DD-MMM-YY HH:MM")&amp;" "&amp;Checks!$P$340,"")&amp;IF(Checks!$AE$340="","",CHAR(10)&amp;"Verifier: "&amp;Checks!$AE$340)&amp;IF(Checks!$T$340="","",CHAR(10)&amp;"PIC: "&amp;Checks!$T$340)</f>
        <v/>
      </c>
      <c r="H43" s="113" t="str">
        <f aca="false">IF(Checks!$AH$340="","",Checks!$AH$340)</f>
        <v>OPEN</v>
      </c>
    </row>
    <row r="44" customFormat="false" ht="114" hidden="false" customHeight="true" outlineLevel="0" collapsed="false">
      <c r="A44" s="112" t="str">
        <f aca="false">Checks!$A$341&amp;CHAR(10)&amp;IF(Checks!$I$341="","",Checks!$I$341&amp;": ")&amp;Checks!$J$341</f>
        <v>F10-T12-10
F&amp;B Linen: Tray cloth - prepared</v>
      </c>
      <c r="B44" s="112" t="str">
        <f aca="false">Checks!$K$341&amp;IF(Checks!$O$341="","",IF(Checks!$K$341="","",CHAR(10))&amp;"Note: "&amp;Checks!$O$341)</f>
        <v>Available (ticked in reference)
Note: Reference gives no uplift stn for this item: preparation checked at the meal uplift stn (KUL) - confirm with caterer.</v>
      </c>
      <c r="C44" s="112" t="str">
        <f aca="false">Checks!$N$341&amp;CHAR(10)&amp;IF(ISNUMBER(Checks!$R$341),TEXT(Checks!$R$341,"DD-MMM-YY HH:MM"),"")&amp;" "&amp;Checks!$P$341</f>
        <v>Required
11-Oct-26 23:45 KUL</v>
      </c>
      <c r="D44" s="112" t="str">
        <f aca="false">IF(Checks!$U$341="","",Checks!$U$341)&amp;IF(Checks!$AB$341="","",CHAR(10)&amp;"CA: "&amp;Checks!$AB$341)</f>
        <v/>
      </c>
      <c r="E44" s="112" t="str">
        <f aca="false">IF(Checks!$V$341="","",Checks!$V$341)&amp;IF(Checks!$AC$341="","",IF(Checks!$V$341="","",CHAR(10))&amp;"N/A just.: "&amp;Checks!$AC$341)&amp;IF(Checks!$W$341="","",CHAR(10)&amp;"Batch: "&amp;Checks!$W$341)&amp;IF(AND(Checks!$X$341="",Checks!$Y$341=""),"",CHAR(10)&amp;"Exp: "&amp;Checks!$X$341&amp;"  /  Act: "&amp;Checks!$Y$341)</f>
        <v/>
      </c>
      <c r="F44" s="112" t="str">
        <f aca="false">IF(Checks!$Z$341="","","Evidence: "&amp;Checks!$Z$341)&amp;IF(Checks!$AA$341="","",IF(Checks!$Z$341="","",CHAR(10))&amp;"CA: "&amp;Checks!$AA$341)</f>
        <v/>
      </c>
      <c r="G44" s="112" t="str">
        <f aca="false">IF(ISNUMBER(Checks!$AD$341),TEXT(Checks!$AD$341,"DD-MMM-YY HH:MM")&amp;" "&amp;Checks!$P$341,"")&amp;IF(Checks!$AE$341="","",CHAR(10)&amp;"Verifier: "&amp;Checks!$AE$341)&amp;IF(Checks!$T$341="","",CHAR(10)&amp;"PIC: "&amp;Checks!$T$341)</f>
        <v/>
      </c>
      <c r="H44" s="113" t="str">
        <f aca="false">IF(Checks!$AH$341="","",Checks!$AH$341)</f>
        <v>OPEN</v>
      </c>
    </row>
    <row r="45" customFormat="false" ht="114" hidden="false" customHeight="true" outlineLevel="0" collapsed="false">
      <c r="A45" s="112" t="str">
        <f aca="false">Checks!$A$342&amp;CHAR(10)&amp;IF(Checks!$I$342="","",Checks!$I$342&amp;": ")&amp;Checks!$J$342</f>
        <v>F10-T12-11
F&amp;B Linen: Napkin - prepared</v>
      </c>
      <c r="B45" s="112" t="str">
        <f aca="false">Checks!$K$342&amp;IF(Checks!$O$342="","",IF(Checks!$K$342="","",CHAR(10))&amp;"Note: "&amp;Checks!$O$342)</f>
        <v>Available (ticked in reference)
Note: Reference gives no uplift stn for this item: preparation checked at the meal uplift stn (KUL) - confirm with caterer.</v>
      </c>
      <c r="C45" s="112" t="str">
        <f aca="false">Checks!$N$342&amp;CHAR(10)&amp;IF(ISNUMBER(Checks!$R$342),TEXT(Checks!$R$342,"DD-MMM-YY HH:MM"),"")&amp;" "&amp;Checks!$P$342</f>
        <v>Required
11-Oct-26 23:45 KUL</v>
      </c>
      <c r="D45" s="112" t="str">
        <f aca="false">IF(Checks!$U$342="","",Checks!$U$342)&amp;IF(Checks!$AB$342="","",CHAR(10)&amp;"CA: "&amp;Checks!$AB$342)</f>
        <v/>
      </c>
      <c r="E45" s="112" t="str">
        <f aca="false">IF(Checks!$V$342="","",Checks!$V$342)&amp;IF(Checks!$AC$342="","",IF(Checks!$V$342="","",CHAR(10))&amp;"N/A just.: "&amp;Checks!$AC$342)&amp;IF(Checks!$W$342="","",CHAR(10)&amp;"Batch: "&amp;Checks!$W$342)&amp;IF(AND(Checks!$X$342="",Checks!$Y$342=""),"",CHAR(10)&amp;"Exp: "&amp;Checks!$X$342&amp;"  /  Act: "&amp;Checks!$Y$342)</f>
        <v/>
      </c>
      <c r="F45" s="112" t="str">
        <f aca="false">IF(Checks!$Z$342="","","Evidence: "&amp;Checks!$Z$342)&amp;IF(Checks!$AA$342="","",IF(Checks!$Z$342="","",CHAR(10))&amp;"CA: "&amp;Checks!$AA$342)</f>
        <v/>
      </c>
      <c r="G45" s="112" t="str">
        <f aca="false">IF(ISNUMBER(Checks!$AD$342),TEXT(Checks!$AD$342,"DD-MMM-YY HH:MM")&amp;" "&amp;Checks!$P$342,"")&amp;IF(Checks!$AE$342="","",CHAR(10)&amp;"Verifier: "&amp;Checks!$AE$342)&amp;IF(Checks!$T$342="","",CHAR(10)&amp;"PIC: "&amp;Checks!$T$342)</f>
        <v/>
      </c>
      <c r="H45" s="113" t="str">
        <f aca="false">IF(Checks!$AH$342="","",Checks!$AH$342)</f>
        <v>OPEN</v>
      </c>
    </row>
    <row r="46" customFormat="false" ht="124.5" hidden="false" customHeight="true" outlineLevel="0" collapsed="false">
      <c r="A46" s="112" t="str">
        <f aca="false">Checks!$A$343&amp;CHAR(10)&amp;IF(Checks!$I$343="","",Checks!$I$343&amp;": ")&amp;Checks!$J$343</f>
        <v>F10-T12-12
F&amp;B Linen: Trolley cloth - prepared</v>
      </c>
      <c r="B46" s="112"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2" t="str">
        <f aca="false">Checks!$N$343&amp;CHAR(10)&amp;IF(ISNUMBER(Checks!$R$343),TEXT(Checks!$R$343,"DD-MMM-YY HH:MM"),"")&amp;" "&amp;Checks!$P$343</f>
        <v>Required
11-Oct-26 23:45 KUL</v>
      </c>
      <c r="D46" s="112" t="str">
        <f aca="false">IF(Checks!$U$343="","",Checks!$U$343)&amp;IF(Checks!$AB$343="","",CHAR(10)&amp;"CA: "&amp;Checks!$AB$343)</f>
        <v/>
      </c>
      <c r="E46" s="112" t="str">
        <f aca="false">IF(Checks!$V$343="","",Checks!$V$343)&amp;IF(Checks!$AC$343="","",IF(Checks!$V$343="","",CHAR(10))&amp;"N/A just.: "&amp;Checks!$AC$343)&amp;IF(Checks!$W$343="","",CHAR(10)&amp;"Batch: "&amp;Checks!$W$343)&amp;IF(AND(Checks!$X$343="",Checks!$Y$343=""),"",CHAR(10)&amp;"Exp: "&amp;Checks!$X$343&amp;"  /  Act: "&amp;Checks!$Y$343)</f>
        <v/>
      </c>
      <c r="F46" s="112" t="str">
        <f aca="false">IF(Checks!$Z$343="","","Evidence: "&amp;Checks!$Z$343)&amp;IF(Checks!$AA$343="","",IF(Checks!$Z$343="","",CHAR(10))&amp;"CA: "&amp;Checks!$AA$343)</f>
        <v/>
      </c>
      <c r="G46" s="112" t="str">
        <f aca="false">IF(ISNUMBER(Checks!$AD$343),TEXT(Checks!$AD$343,"DD-MMM-YY HH:MM")&amp;" "&amp;Checks!$P$343,"")&amp;IF(Checks!$AE$343="","",CHAR(10)&amp;"Verifier: "&amp;Checks!$AE$343)&amp;IF(Checks!$T$343="","",CHAR(10)&amp;"PIC: "&amp;Checks!$T$343)</f>
        <v/>
      </c>
      <c r="H46" s="113" t="str">
        <f aca="false">IF(Checks!$AH$343="","",Checks!$AH$343)</f>
        <v>OPEN</v>
      </c>
    </row>
    <row r="47" customFormat="false" ht="114" hidden="false" customHeight="true" outlineLevel="0" collapsed="false">
      <c r="A47" s="112" t="str">
        <f aca="false">Checks!$A$344&amp;CHAR(10)&amp;IF(Checks!$I$344="","",Checks!$I$344&amp;": ")&amp;Checks!$J$344</f>
        <v>F10-T12-13
F&amp;B Linen: Linen bag - prepared</v>
      </c>
      <c r="B47" s="112" t="str">
        <f aca="false">Checks!$K$344&amp;IF(Checks!$O$344="","",IF(Checks!$K$344="","",CHAR(10))&amp;"Note: "&amp;Checks!$O$344)</f>
        <v>Available (ticked in reference)
Note: Reference gives no uplift stn for this item: preparation checked at the meal uplift stn (KUL) - confirm with caterer.</v>
      </c>
      <c r="C47" s="112" t="str">
        <f aca="false">Checks!$N$344&amp;CHAR(10)&amp;IF(ISNUMBER(Checks!$R$344),TEXT(Checks!$R$344,"DD-MMM-YY HH:MM"),"")&amp;" "&amp;Checks!$P$344</f>
        <v>Required
11-Oct-26 23:45 KUL</v>
      </c>
      <c r="D47" s="112" t="str">
        <f aca="false">IF(Checks!$U$344="","",Checks!$U$344)&amp;IF(Checks!$AB$344="","",CHAR(10)&amp;"CA: "&amp;Checks!$AB$344)</f>
        <v/>
      </c>
      <c r="E47" s="112" t="str">
        <f aca="false">IF(Checks!$V$344="","",Checks!$V$344)&amp;IF(Checks!$AC$344="","",IF(Checks!$V$344="","",CHAR(10))&amp;"N/A just.: "&amp;Checks!$AC$344)&amp;IF(Checks!$W$344="","",CHAR(10)&amp;"Batch: "&amp;Checks!$W$344)&amp;IF(AND(Checks!$X$344="",Checks!$Y$344=""),"",CHAR(10)&amp;"Exp: "&amp;Checks!$X$344&amp;"  /  Act: "&amp;Checks!$Y$344)</f>
        <v/>
      </c>
      <c r="F47" s="112" t="str">
        <f aca="false">IF(Checks!$Z$344="","","Evidence: "&amp;Checks!$Z$344)&amp;IF(Checks!$AA$344="","",IF(Checks!$Z$344="","",CHAR(10))&amp;"CA: "&amp;Checks!$AA$344)</f>
        <v/>
      </c>
      <c r="G47" s="112" t="str">
        <f aca="false">IF(ISNUMBER(Checks!$AD$344),TEXT(Checks!$AD$344,"DD-MMM-YY HH:MM")&amp;" "&amp;Checks!$P$344,"")&amp;IF(Checks!$AE$344="","",CHAR(10)&amp;"Verifier: "&amp;Checks!$AE$344)&amp;IF(Checks!$T$344="","",CHAR(10)&amp;"PIC: "&amp;Checks!$T$344)</f>
        <v/>
      </c>
      <c r="H47" s="113" t="str">
        <f aca="false">IF(Checks!$AH$344="","",Checks!$AH$344)</f>
        <v>OPEN</v>
      </c>
    </row>
    <row r="48" customFormat="false" ht="114" hidden="false" customHeight="true" outlineLevel="0" collapsed="false">
      <c r="A48" s="112" t="str">
        <f aca="false">Checks!$A$345&amp;CHAR(10)&amp;IF(Checks!$I$345="","",Checks!$I$345&amp;": ")&amp;Checks!$J$345</f>
        <v>F10-T12-14
Seat Linen: Seat pillow (BS &amp; BC) - prepared</v>
      </c>
      <c r="B48" s="112" t="str">
        <f aca="false">Checks!$K$345&amp;IF(Checks!$O$345="","",IF(Checks!$K$345="","",CHAR(10))&amp;"Note: "&amp;Checks!$O$345)</f>
        <v>Available 100% (ticked in reference)
Note: Reference gives no uplift stn for this item: preparation checked at the meal uplift stn (KUL) - confirm with caterer.</v>
      </c>
      <c r="C48" s="112" t="str">
        <f aca="false">Checks!$N$345&amp;CHAR(10)&amp;IF(ISNUMBER(Checks!$R$345),TEXT(Checks!$R$345,"DD-MMM-YY HH:MM"),"")&amp;" "&amp;Checks!$P$345</f>
        <v>Required
11-Oct-26 23:45 KUL</v>
      </c>
      <c r="D48" s="112" t="str">
        <f aca="false">IF(Checks!$U$345="","",Checks!$U$345)&amp;IF(Checks!$AB$345="","",CHAR(10)&amp;"CA: "&amp;Checks!$AB$345)</f>
        <v/>
      </c>
      <c r="E48" s="112" t="str">
        <f aca="false">IF(Checks!$V$345="","",Checks!$V$345)&amp;IF(Checks!$AC$345="","",IF(Checks!$V$345="","",CHAR(10))&amp;"N/A just.: "&amp;Checks!$AC$345)&amp;IF(Checks!$W$345="","",CHAR(10)&amp;"Batch: "&amp;Checks!$W$345)&amp;IF(AND(Checks!$X$345="",Checks!$Y$345=""),"",CHAR(10)&amp;"Exp: "&amp;Checks!$X$345&amp;"  /  Act: "&amp;Checks!$Y$345)</f>
        <v/>
      </c>
      <c r="F48" s="112" t="str">
        <f aca="false">IF(Checks!$Z$345="","","Evidence: "&amp;Checks!$Z$345)&amp;IF(Checks!$AA$345="","",IF(Checks!$Z$345="","",CHAR(10))&amp;"CA: "&amp;Checks!$AA$345)</f>
        <v/>
      </c>
      <c r="G48" s="112" t="str">
        <f aca="false">IF(ISNUMBER(Checks!$AD$345),TEXT(Checks!$AD$345,"DD-MMM-YY HH:MM")&amp;" "&amp;Checks!$P$345,"")&amp;IF(Checks!$AE$345="","",CHAR(10)&amp;"Verifier: "&amp;Checks!$AE$345)&amp;IF(Checks!$T$345="","",CHAR(10)&amp;"PIC: "&amp;Checks!$T$345)</f>
        <v/>
      </c>
      <c r="H48" s="113" t="str">
        <f aca="false">IF(Checks!$AH$345="","",Checks!$AH$345)</f>
        <v>OPEN</v>
      </c>
    </row>
    <row r="49" customFormat="false" ht="114" hidden="false" customHeight="true" outlineLevel="0" collapsed="false">
      <c r="A49" s="112" t="str">
        <f aca="false">Checks!$A$346&amp;CHAR(10)&amp;IF(Checks!$I$346="","",Checks!$I$346&amp;": ")&amp;Checks!$J$346</f>
        <v>F10-T12-15
Seat Linen: Blanket (BS &amp; BC) - prepared</v>
      </c>
      <c r="B49" s="112" t="str">
        <f aca="false">Checks!$K$346&amp;IF(Checks!$O$346="","",IF(Checks!$K$346="","",CHAR(10))&amp;"Note: "&amp;Checks!$O$346)</f>
        <v>Available 100% (ticked in reference)
Note: Reference gives no uplift stn for this item: preparation checked at the meal uplift stn (KUL) - confirm with caterer.</v>
      </c>
      <c r="C49" s="112" t="str">
        <f aca="false">Checks!$N$346&amp;CHAR(10)&amp;IF(ISNUMBER(Checks!$R$346),TEXT(Checks!$R$346,"DD-MMM-YY HH:MM"),"")&amp;" "&amp;Checks!$P$346</f>
        <v>Required
11-Oct-26 23:45 KUL</v>
      </c>
      <c r="D49" s="112" t="str">
        <f aca="false">IF(Checks!$U$346="","",Checks!$U$346)&amp;IF(Checks!$AB$346="","",CHAR(10)&amp;"CA: "&amp;Checks!$AB$346)</f>
        <v/>
      </c>
      <c r="E49" s="112" t="str">
        <f aca="false">IF(Checks!$V$346="","",Checks!$V$346)&amp;IF(Checks!$AC$346="","",IF(Checks!$V$346="","",CHAR(10))&amp;"N/A just.: "&amp;Checks!$AC$346)&amp;IF(Checks!$W$346="","",CHAR(10)&amp;"Batch: "&amp;Checks!$W$346)&amp;IF(AND(Checks!$X$346="",Checks!$Y$346=""),"",CHAR(10)&amp;"Exp: "&amp;Checks!$X$346&amp;"  /  Act: "&amp;Checks!$Y$346)</f>
        <v/>
      </c>
      <c r="F49" s="112" t="str">
        <f aca="false">IF(Checks!$Z$346="","","Evidence: "&amp;Checks!$Z$346)&amp;IF(Checks!$AA$346="","",IF(Checks!$Z$346="","",CHAR(10))&amp;"CA: "&amp;Checks!$AA$346)</f>
        <v/>
      </c>
      <c r="G49" s="112" t="str">
        <f aca="false">IF(ISNUMBER(Checks!$AD$346),TEXT(Checks!$AD$346,"DD-MMM-YY HH:MM")&amp;" "&amp;Checks!$P$346,"")&amp;IF(Checks!$AE$346="","",CHAR(10)&amp;"Verifier: "&amp;Checks!$AE$346)&amp;IF(Checks!$T$346="","",CHAR(10)&amp;"PIC: "&amp;Checks!$T$346)</f>
        <v/>
      </c>
      <c r="H49" s="113" t="str">
        <f aca="false">IF(Checks!$AH$346="","",Checks!$AH$346)</f>
        <v>OPEN</v>
      </c>
    </row>
    <row r="50" customFormat="false" ht="25.5" hidden="false" customHeight="true" outlineLevel="0" collapsed="false">
      <c r="A50" s="111"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1"/>
      <c r="C50" s="111"/>
      <c r="D50" s="111"/>
      <c r="E50" s="111"/>
      <c r="F50" s="111"/>
      <c r="G50" s="111"/>
      <c r="H50" s="111"/>
    </row>
    <row r="51" customFormat="false" ht="114" hidden="false" customHeight="true" outlineLevel="0" collapsed="false">
      <c r="A51" s="112" t="str">
        <f aca="false">Checks!$A$347&amp;CHAR(10)&amp;IF(Checks!$I$347="","",Checks!$I$347&amp;": ")&amp;Checks!$J$347</f>
        <v>F10-UPL-01
Meal: Meals physically uplifted on board - quantity vs menu checklist</v>
      </c>
      <c r="B51" s="112" t="str">
        <f aca="false">Checks!$K$347&amp;IF(Checks!$O$347="","",IF(Checks!$K$347="","",CHAR(10))&amp;"Note: "&amp;Checks!$O$347)</f>
        <v>Enter expected &amp; actual
Note: Confirm on board before departure; completion time must fall inside the uplift window.</v>
      </c>
      <c r="C51" s="112" t="str">
        <f aca="false">Checks!$N$347&amp;CHAR(10)&amp;IF(ISNUMBER(Checks!$R$347),TEXT(Checks!$R$347,"DD-MMM-YY HH:MM"),"")&amp;" "&amp;Checks!$P$347</f>
        <v>Required
12-Oct-26 11:45 KUL</v>
      </c>
      <c r="D51" s="112" t="str">
        <f aca="false">IF(Checks!$U$347="","",Checks!$U$347)&amp;IF(Checks!$AB$347="","",CHAR(10)&amp;"CA: "&amp;Checks!$AB$347)</f>
        <v/>
      </c>
      <c r="E51" s="112" t="str">
        <f aca="false">IF(Checks!$V$347="","",Checks!$V$347)&amp;IF(Checks!$AC$347="","",IF(Checks!$V$347="","",CHAR(10))&amp;"N/A just.: "&amp;Checks!$AC$347)&amp;IF(Checks!$W$347="","",CHAR(10)&amp;"Batch: "&amp;Checks!$W$347)&amp;IF(AND(Checks!$X$347="",Checks!$Y$347=""),"",CHAR(10)&amp;"Exp: "&amp;Checks!$X$347&amp;"  /  Act: "&amp;Checks!$Y$347)</f>
        <v/>
      </c>
      <c r="F51" s="112" t="str">
        <f aca="false">IF(Checks!$Z$347="","","Evidence: "&amp;Checks!$Z$347)&amp;IF(Checks!$AA$347="","",IF(Checks!$Z$347="","",CHAR(10))&amp;"CA: "&amp;Checks!$AA$347)</f>
        <v/>
      </c>
      <c r="G51" s="112" t="str">
        <f aca="false">IF(ISNUMBER(Checks!$AD$347),TEXT(Checks!$AD$347,"DD-MMM-YY HH:MM")&amp;" "&amp;Checks!$P$347,"")&amp;IF(Checks!$AE$347="","",CHAR(10)&amp;"Verifier: "&amp;Checks!$AE$347)&amp;IF(Checks!$T$347="","",CHAR(10)&amp;"PIC: "&amp;Checks!$T$347)</f>
        <v/>
      </c>
      <c r="H51" s="113" t="str">
        <f aca="false">IF(Checks!$AH$347="","",Checks!$AH$347)</f>
        <v>OPEN</v>
      </c>
    </row>
    <row r="52" customFormat="false" ht="114" hidden="false" customHeight="true" outlineLevel="0" collapsed="false">
      <c r="A52" s="112" t="str">
        <f aca="false">Checks!$A$348&amp;CHAR(10)&amp;IF(Checks!$I$348="","",Checks!$I$348&amp;": ")&amp;Checks!$J$348</f>
        <v>F10-UPL-02
Equipment: Equipment physically loaded at GLD positions - quantity &amp; positions</v>
      </c>
      <c r="B52" s="112" t="str">
        <f aca="false">Checks!$K$348&amp;IF(Checks!$O$348="","",IF(Checks!$K$348="","",CHAR(10))&amp;"Note: "&amp;Checks!$O$348)</f>
        <v>Enter expected &amp; actual
Note: Confirm on board before departure; completion time must fall inside the uplift window.</v>
      </c>
      <c r="C52" s="112" t="str">
        <f aca="false">Checks!$N$348&amp;CHAR(10)&amp;IF(ISNUMBER(Checks!$R$348),TEXT(Checks!$R$348,"DD-MMM-YY HH:MM"),"")&amp;" "&amp;Checks!$P$348</f>
        <v>Required
12-Oct-26 11:45 KUL</v>
      </c>
      <c r="D52" s="112" t="str">
        <f aca="false">IF(Checks!$U$348="","",Checks!$U$348)&amp;IF(Checks!$AB$348="","",CHAR(10)&amp;"CA: "&amp;Checks!$AB$348)</f>
        <v/>
      </c>
      <c r="E52" s="112" t="str">
        <f aca="false">IF(Checks!$V$348="","",Checks!$V$348)&amp;IF(Checks!$AC$348="","",IF(Checks!$V$348="","",CHAR(10))&amp;"N/A just.: "&amp;Checks!$AC$348)&amp;IF(Checks!$W$348="","",CHAR(10)&amp;"Batch: "&amp;Checks!$W$348)&amp;IF(AND(Checks!$X$348="",Checks!$Y$348=""),"",CHAR(10)&amp;"Exp: "&amp;Checks!$X$348&amp;"  /  Act: "&amp;Checks!$Y$348)</f>
        <v/>
      </c>
      <c r="F52" s="112" t="str">
        <f aca="false">IF(Checks!$Z$348="","","Evidence: "&amp;Checks!$Z$348)&amp;IF(Checks!$AA$348="","",IF(Checks!$Z$348="","",CHAR(10))&amp;"CA: "&amp;Checks!$AA$348)</f>
        <v/>
      </c>
      <c r="G52" s="112" t="str">
        <f aca="false">IF(ISNUMBER(Checks!$AD$348),TEXT(Checks!$AD$348,"DD-MMM-YY HH:MM")&amp;" "&amp;Checks!$P$348,"")&amp;IF(Checks!$AE$348="","",CHAR(10)&amp;"Verifier: "&amp;Checks!$AE$348)&amp;IF(Checks!$T$348="","",CHAR(10)&amp;"PIC: "&amp;Checks!$T$348)</f>
        <v/>
      </c>
      <c r="H52" s="113" t="str">
        <f aca="false">IF(Checks!$AH$348="","",Checks!$AH$348)</f>
        <v>OPEN</v>
      </c>
    </row>
    <row r="53" customFormat="false" ht="114" hidden="false" customHeight="true" outlineLevel="0" collapsed="false">
      <c r="A53" s="112" t="str">
        <f aca="false">Checks!$A$349&amp;CHAR(10)&amp;IF(Checks!$I$349="","",Checks!$I$349&amp;": ")&amp;Checks!$J$349</f>
        <v>F10-UPL-03
Amenities: Disposable slippers in DAM cart (BC, on request) - on board</v>
      </c>
      <c r="B53" s="112" t="str">
        <f aca="false">Checks!$K$349&amp;IF(Checks!$O$349="","",IF(Checks!$K$349="","",CHAR(10))&amp;"Note: "&amp;Checks!$O$349)</f>
        <v>Available in DAM cart on request basis
Note: Sector has no BC slippers; note C83: disposable slipper available in DAM cart (on request basis).</v>
      </c>
      <c r="C53" s="112" t="str">
        <f aca="false">Checks!$N$349&amp;CHAR(10)&amp;IF(ISNUMBER(Checks!$R$349),TEXT(Checks!$R$349,"DD-MMM-YY HH:MM"),"")&amp;" "&amp;Checks!$P$349</f>
        <v>Required
12-Oct-26 11:45 KUL</v>
      </c>
      <c r="D53" s="112" t="str">
        <f aca="false">IF(Checks!$U$349="","",Checks!$U$349)&amp;IF(Checks!$AB$349="","",CHAR(10)&amp;"CA: "&amp;Checks!$AB$349)</f>
        <v/>
      </c>
      <c r="E53" s="112" t="str">
        <f aca="false">IF(Checks!$V$349="","",Checks!$V$349)&amp;IF(Checks!$AC$349="","",IF(Checks!$V$349="","",CHAR(10))&amp;"N/A just.: "&amp;Checks!$AC$349)&amp;IF(Checks!$W$349="","",CHAR(10)&amp;"Batch: "&amp;Checks!$W$349)&amp;IF(AND(Checks!$X$349="",Checks!$Y$349=""),"",CHAR(10)&amp;"Exp: "&amp;Checks!$X$349&amp;"  /  Act: "&amp;Checks!$Y$349)</f>
        <v/>
      </c>
      <c r="F53" s="112" t="str">
        <f aca="false">IF(Checks!$Z$349="","","Evidence: "&amp;Checks!$Z$349)&amp;IF(Checks!$AA$349="","",IF(Checks!$Z$349="","",CHAR(10))&amp;"CA: "&amp;Checks!$AA$349)</f>
        <v/>
      </c>
      <c r="G53" s="112" t="str">
        <f aca="false">IF(ISNUMBER(Checks!$AD$349),TEXT(Checks!$AD$349,"DD-MMM-YY HH:MM")&amp;" "&amp;Checks!$P$349,"")&amp;IF(Checks!$AE$349="","",CHAR(10)&amp;"Verifier: "&amp;Checks!$AE$349)&amp;IF(Checks!$T$349="","",CHAR(10)&amp;"PIC: "&amp;Checks!$T$349)</f>
        <v/>
      </c>
      <c r="H53" s="113" t="str">
        <f aca="false">IF(Checks!$AH$349="","",Checks!$AH$349)</f>
        <v>OPEN</v>
      </c>
    </row>
    <row r="54" customFormat="false" ht="114" hidden="false" customHeight="true" outlineLevel="0" collapsed="false">
      <c r="A54" s="112" t="str">
        <f aca="false">Checks!$A$350&amp;CHAR(10)&amp;IF(Checks!$I$350="","",Checks!$I$350&amp;": ")&amp;Checks!$J$350</f>
        <v>F10-UPL-04
F&amp;B Linen: Towel - on board</v>
      </c>
      <c r="B54" s="112" t="str">
        <f aca="false">Checks!$K$350&amp;IF(Checks!$O$350="","",IF(Checks!$K$350="","",CHAR(10))&amp;"Note: "&amp;Checks!$O$350)</f>
        <v>Available (ticked in reference)</v>
      </c>
      <c r="C54" s="112" t="str">
        <f aca="false">Checks!$N$350&amp;CHAR(10)&amp;IF(ISNUMBER(Checks!$R$350),TEXT(Checks!$R$350,"DD-MMM-YY HH:MM"),"")&amp;" "&amp;Checks!$P$350</f>
        <v>Required
12-Oct-26 11:45 KUL</v>
      </c>
      <c r="D54" s="112" t="str">
        <f aca="false">IF(Checks!$U$350="","",Checks!$U$350)&amp;IF(Checks!$AB$350="","",CHAR(10)&amp;"CA: "&amp;Checks!$AB$350)</f>
        <v/>
      </c>
      <c r="E54" s="112" t="str">
        <f aca="false">IF(Checks!$V$350="","",Checks!$V$350)&amp;IF(Checks!$AC$350="","",IF(Checks!$V$350="","",CHAR(10))&amp;"N/A just.: "&amp;Checks!$AC$350)&amp;IF(Checks!$W$350="","",CHAR(10)&amp;"Batch: "&amp;Checks!$W$350)&amp;IF(AND(Checks!$X$350="",Checks!$Y$350=""),"",CHAR(10)&amp;"Exp: "&amp;Checks!$X$350&amp;"  /  Act: "&amp;Checks!$Y$350)</f>
        <v/>
      </c>
      <c r="F54" s="112" t="str">
        <f aca="false">IF(Checks!$Z$350="","","Evidence: "&amp;Checks!$Z$350)&amp;IF(Checks!$AA$350="","",IF(Checks!$Z$350="","",CHAR(10))&amp;"CA: "&amp;Checks!$AA$350)</f>
        <v/>
      </c>
      <c r="G54" s="112" t="str">
        <f aca="false">IF(ISNUMBER(Checks!$AD$350),TEXT(Checks!$AD$350,"DD-MMM-YY HH:MM")&amp;" "&amp;Checks!$P$350,"")&amp;IF(Checks!$AE$350="","",CHAR(10)&amp;"Verifier: "&amp;Checks!$AE$350)&amp;IF(Checks!$T$350="","",CHAR(10)&amp;"PIC: "&amp;Checks!$T$350)</f>
        <v/>
      </c>
      <c r="H54" s="113" t="str">
        <f aca="false">IF(Checks!$AH$350="","",Checks!$AH$350)</f>
        <v>OPEN</v>
      </c>
    </row>
    <row r="55" customFormat="false" ht="114" hidden="false" customHeight="true" outlineLevel="0" collapsed="false">
      <c r="A55" s="112" t="str">
        <f aca="false">Checks!$A$351&amp;CHAR(10)&amp;IF(Checks!$I$351="","",Checks!$I$351&amp;": ")&amp;Checks!$J$351</f>
        <v>F10-UPL-05
F&amp;B Linen: Tray cloth - on board</v>
      </c>
      <c r="B55" s="112" t="str">
        <f aca="false">Checks!$K$351&amp;IF(Checks!$O$351="","",IF(Checks!$K$351="","",CHAR(10))&amp;"Note: "&amp;Checks!$O$351)</f>
        <v>Available (ticked in reference)</v>
      </c>
      <c r="C55" s="112" t="str">
        <f aca="false">Checks!$N$351&amp;CHAR(10)&amp;IF(ISNUMBER(Checks!$R$351),TEXT(Checks!$R$351,"DD-MMM-YY HH:MM"),"")&amp;" "&amp;Checks!$P$351</f>
        <v>Required
12-Oct-26 11:45 KUL</v>
      </c>
      <c r="D55" s="112" t="str">
        <f aca="false">IF(Checks!$U$351="","",Checks!$U$351)&amp;IF(Checks!$AB$351="","",CHAR(10)&amp;"CA: "&amp;Checks!$AB$351)</f>
        <v/>
      </c>
      <c r="E55" s="112" t="str">
        <f aca="false">IF(Checks!$V$351="","",Checks!$V$351)&amp;IF(Checks!$AC$351="","",IF(Checks!$V$351="","",CHAR(10))&amp;"N/A just.: "&amp;Checks!$AC$351)&amp;IF(Checks!$W$351="","",CHAR(10)&amp;"Batch: "&amp;Checks!$W$351)&amp;IF(AND(Checks!$X$351="",Checks!$Y$351=""),"",CHAR(10)&amp;"Exp: "&amp;Checks!$X$351&amp;"  /  Act: "&amp;Checks!$Y$351)</f>
        <v/>
      </c>
      <c r="F55" s="112" t="str">
        <f aca="false">IF(Checks!$Z$351="","","Evidence: "&amp;Checks!$Z$351)&amp;IF(Checks!$AA$351="","",IF(Checks!$Z$351="","",CHAR(10))&amp;"CA: "&amp;Checks!$AA$351)</f>
        <v/>
      </c>
      <c r="G55" s="112" t="str">
        <f aca="false">IF(ISNUMBER(Checks!$AD$351),TEXT(Checks!$AD$351,"DD-MMM-YY HH:MM")&amp;" "&amp;Checks!$P$351,"")&amp;IF(Checks!$AE$351="","",CHAR(10)&amp;"Verifier: "&amp;Checks!$AE$351)&amp;IF(Checks!$T$351="","",CHAR(10)&amp;"PIC: "&amp;Checks!$T$351)</f>
        <v/>
      </c>
      <c r="H55" s="113" t="str">
        <f aca="false">IF(Checks!$AH$351="","",Checks!$AH$351)</f>
        <v>OPEN</v>
      </c>
    </row>
    <row r="56" customFormat="false" ht="114" hidden="false" customHeight="true" outlineLevel="0" collapsed="false">
      <c r="A56" s="112" t="str">
        <f aca="false">Checks!$A$352&amp;CHAR(10)&amp;IF(Checks!$I$352="","",Checks!$I$352&amp;": ")&amp;Checks!$J$352</f>
        <v>F10-UPL-06
F&amp;B Linen: Napkin - on board</v>
      </c>
      <c r="B56" s="112" t="str">
        <f aca="false">Checks!$K$352&amp;IF(Checks!$O$352="","",IF(Checks!$K$352="","",CHAR(10))&amp;"Note: "&amp;Checks!$O$352)</f>
        <v>Available (ticked in reference)</v>
      </c>
      <c r="C56" s="112" t="str">
        <f aca="false">Checks!$N$352&amp;CHAR(10)&amp;IF(ISNUMBER(Checks!$R$352),TEXT(Checks!$R$352,"DD-MMM-YY HH:MM"),"")&amp;" "&amp;Checks!$P$352</f>
        <v>Required
12-Oct-26 11:45 KUL</v>
      </c>
      <c r="D56" s="112" t="str">
        <f aca="false">IF(Checks!$U$352="","",Checks!$U$352)&amp;IF(Checks!$AB$352="","",CHAR(10)&amp;"CA: "&amp;Checks!$AB$352)</f>
        <v/>
      </c>
      <c r="E56" s="112" t="str">
        <f aca="false">IF(Checks!$V$352="","",Checks!$V$352)&amp;IF(Checks!$AC$352="","",IF(Checks!$V$352="","",CHAR(10))&amp;"N/A just.: "&amp;Checks!$AC$352)&amp;IF(Checks!$W$352="","",CHAR(10)&amp;"Batch: "&amp;Checks!$W$352)&amp;IF(AND(Checks!$X$352="",Checks!$Y$352=""),"",CHAR(10)&amp;"Exp: "&amp;Checks!$X$352&amp;"  /  Act: "&amp;Checks!$Y$352)</f>
        <v/>
      </c>
      <c r="F56" s="112" t="str">
        <f aca="false">IF(Checks!$Z$352="","","Evidence: "&amp;Checks!$Z$352)&amp;IF(Checks!$AA$352="","",IF(Checks!$Z$352="","",CHAR(10))&amp;"CA: "&amp;Checks!$AA$352)</f>
        <v/>
      </c>
      <c r="G56" s="112" t="str">
        <f aca="false">IF(ISNUMBER(Checks!$AD$352),TEXT(Checks!$AD$352,"DD-MMM-YY HH:MM")&amp;" "&amp;Checks!$P$352,"")&amp;IF(Checks!$AE$352="","",CHAR(10)&amp;"Verifier: "&amp;Checks!$AE$352)&amp;IF(Checks!$T$352="","",CHAR(10)&amp;"PIC: "&amp;Checks!$T$352)</f>
        <v/>
      </c>
      <c r="H56" s="113" t="str">
        <f aca="false">IF(Checks!$AH$352="","",Checks!$AH$352)</f>
        <v>OPEN</v>
      </c>
    </row>
    <row r="57" customFormat="false" ht="114" hidden="false" customHeight="true" outlineLevel="0" collapsed="false">
      <c r="A57" s="112" t="str">
        <f aca="false">Checks!$A$353&amp;CHAR(10)&amp;IF(Checks!$I$353="","",Checks!$I$353&amp;": ")&amp;Checks!$J$353</f>
        <v>F10-UPL-07
F&amp;B Linen: Trolley cloth - on board</v>
      </c>
      <c r="B57" s="112" t="str">
        <f aca="false">SUBSTITUTE(Checks!$K$353&amp;IF(Checks!$O$353="","",IF(Checks!$K$353="","",CHAR(10))&amp;"Note: "&amp;Checks!$O$353),"F&amp;B LINEN!","Ref: F&amp;B LINEN!")</f>
        <v>Narrow body: Top only
Note: Per note Ref: F&amp;B LINEN!B79:C80.</v>
      </c>
      <c r="C57" s="112" t="str">
        <f aca="false">Checks!$N$353&amp;CHAR(10)&amp;IF(ISNUMBER(Checks!$R$353),TEXT(Checks!$R$353,"DD-MMM-YY HH:MM"),"")&amp;" "&amp;Checks!$P$353</f>
        <v>Required
12-Oct-26 11:45 KUL</v>
      </c>
      <c r="D57" s="112" t="str">
        <f aca="false">IF(Checks!$U$353="","",Checks!$U$353)&amp;IF(Checks!$AB$353="","",CHAR(10)&amp;"CA: "&amp;Checks!$AB$353)</f>
        <v/>
      </c>
      <c r="E57" s="112" t="str">
        <f aca="false">IF(Checks!$V$353="","",Checks!$V$353)&amp;IF(Checks!$AC$353="","",IF(Checks!$V$353="","",CHAR(10))&amp;"N/A just.: "&amp;Checks!$AC$353)&amp;IF(Checks!$W$353="","",CHAR(10)&amp;"Batch: "&amp;Checks!$W$353)&amp;IF(AND(Checks!$X$353="",Checks!$Y$353=""),"",CHAR(10)&amp;"Exp: "&amp;Checks!$X$353&amp;"  /  Act: "&amp;Checks!$Y$353)</f>
        <v/>
      </c>
      <c r="F57" s="112" t="str">
        <f aca="false">IF(Checks!$Z$353="","","Evidence: "&amp;Checks!$Z$353)&amp;IF(Checks!$AA$353="","",IF(Checks!$Z$353="","",CHAR(10))&amp;"CA: "&amp;Checks!$AA$353)</f>
        <v/>
      </c>
      <c r="G57" s="112" t="str">
        <f aca="false">IF(ISNUMBER(Checks!$AD$353),TEXT(Checks!$AD$353,"DD-MMM-YY HH:MM")&amp;" "&amp;Checks!$P$353,"")&amp;IF(Checks!$AE$353="","",CHAR(10)&amp;"Verifier: "&amp;Checks!$AE$353)&amp;IF(Checks!$T$353="","",CHAR(10)&amp;"PIC: "&amp;Checks!$T$353)</f>
        <v/>
      </c>
      <c r="H57" s="113" t="str">
        <f aca="false">IF(Checks!$AH$353="","",Checks!$AH$353)</f>
        <v>OPEN</v>
      </c>
    </row>
    <row r="58" customFormat="false" ht="114" hidden="false" customHeight="true" outlineLevel="0" collapsed="false">
      <c r="A58" s="112" t="str">
        <f aca="false">Checks!$A$354&amp;CHAR(10)&amp;IF(Checks!$I$354="","",Checks!$I$354&amp;": ")&amp;Checks!$J$354</f>
        <v>F10-UPL-08
F&amp;B Linen: Linen bag - on board</v>
      </c>
      <c r="B58" s="112" t="str">
        <f aca="false">Checks!$K$354&amp;IF(Checks!$O$354="","",IF(Checks!$K$354="","",CHAR(10))&amp;"Note: "&amp;Checks!$O$354)</f>
        <v>Available (ticked in reference)</v>
      </c>
      <c r="C58" s="112" t="str">
        <f aca="false">Checks!$N$354&amp;CHAR(10)&amp;IF(ISNUMBER(Checks!$R$354),TEXT(Checks!$R$354,"DD-MMM-YY HH:MM"),"")&amp;" "&amp;Checks!$P$354</f>
        <v>Required
12-Oct-26 11:45 KUL</v>
      </c>
      <c r="D58" s="112" t="str">
        <f aca="false">IF(Checks!$U$354="","",Checks!$U$354)&amp;IF(Checks!$AB$354="","",CHAR(10)&amp;"CA: "&amp;Checks!$AB$354)</f>
        <v/>
      </c>
      <c r="E58" s="112" t="str">
        <f aca="false">IF(Checks!$V$354="","",Checks!$V$354)&amp;IF(Checks!$AC$354="","",IF(Checks!$V$354="","",CHAR(10))&amp;"N/A just.: "&amp;Checks!$AC$354)&amp;IF(Checks!$W$354="","",CHAR(10)&amp;"Batch: "&amp;Checks!$W$354)&amp;IF(AND(Checks!$X$354="",Checks!$Y$354=""),"",CHAR(10)&amp;"Exp: "&amp;Checks!$X$354&amp;"  /  Act: "&amp;Checks!$Y$354)</f>
        <v/>
      </c>
      <c r="F58" s="112" t="str">
        <f aca="false">IF(Checks!$Z$354="","","Evidence: "&amp;Checks!$Z$354)&amp;IF(Checks!$AA$354="","",IF(Checks!$Z$354="","",CHAR(10))&amp;"CA: "&amp;Checks!$AA$354)</f>
        <v/>
      </c>
      <c r="G58" s="112" t="str">
        <f aca="false">IF(ISNUMBER(Checks!$AD$354),TEXT(Checks!$AD$354,"DD-MMM-YY HH:MM")&amp;" "&amp;Checks!$P$354,"")&amp;IF(Checks!$AE$354="","",CHAR(10)&amp;"Verifier: "&amp;Checks!$AE$354)&amp;IF(Checks!$T$354="","",CHAR(10)&amp;"PIC: "&amp;Checks!$T$354)</f>
        <v/>
      </c>
      <c r="H58" s="113" t="str">
        <f aca="false">IF(Checks!$AH$354="","",Checks!$AH$354)</f>
        <v>OPEN</v>
      </c>
    </row>
    <row r="59" customFormat="false" ht="114" hidden="false" customHeight="true" outlineLevel="0" collapsed="false">
      <c r="A59" s="112" t="str">
        <f aca="false">Checks!$A$355&amp;CHAR(10)&amp;IF(Checks!$I$355="","",Checks!$I$355&amp;": ")&amp;Checks!$J$355</f>
        <v>F10-UPL-09
Seat Linen: Seat pillow (BS &amp; BC) - on board</v>
      </c>
      <c r="B59" s="112" t="str">
        <f aca="false">Checks!$K$355&amp;IF(Checks!$O$355="","",IF(Checks!$K$355="","",CHAR(10))&amp;"Note: "&amp;Checks!$O$355)</f>
        <v>Available 100% (ticked in reference)</v>
      </c>
      <c r="C59" s="112" t="str">
        <f aca="false">Checks!$N$355&amp;CHAR(10)&amp;IF(ISNUMBER(Checks!$R$355),TEXT(Checks!$R$355,"DD-MMM-YY HH:MM"),"")&amp;" "&amp;Checks!$P$355</f>
        <v>Required
12-Oct-26 11:45 KUL</v>
      </c>
      <c r="D59" s="112" t="str">
        <f aca="false">IF(Checks!$U$355="","",Checks!$U$355)&amp;IF(Checks!$AB$355="","",CHAR(10)&amp;"CA: "&amp;Checks!$AB$355)</f>
        <v/>
      </c>
      <c r="E59" s="112" t="str">
        <f aca="false">IF(Checks!$V$355="","",Checks!$V$355)&amp;IF(Checks!$AC$355="","",IF(Checks!$V$355="","",CHAR(10))&amp;"N/A just.: "&amp;Checks!$AC$355)&amp;IF(Checks!$W$355="","",CHAR(10)&amp;"Batch: "&amp;Checks!$W$355)&amp;IF(AND(Checks!$X$355="",Checks!$Y$355=""),"",CHAR(10)&amp;"Exp: "&amp;Checks!$X$355&amp;"  /  Act: "&amp;Checks!$Y$355)</f>
        <v/>
      </c>
      <c r="F59" s="112" t="str">
        <f aca="false">IF(Checks!$Z$355="","","Evidence: "&amp;Checks!$Z$355)&amp;IF(Checks!$AA$355="","",IF(Checks!$Z$355="","",CHAR(10))&amp;"CA: "&amp;Checks!$AA$355)</f>
        <v/>
      </c>
      <c r="G59" s="112" t="str">
        <f aca="false">IF(ISNUMBER(Checks!$AD$355),TEXT(Checks!$AD$355,"DD-MMM-YY HH:MM")&amp;" "&amp;Checks!$P$355,"")&amp;IF(Checks!$AE$355="","",CHAR(10)&amp;"Verifier: "&amp;Checks!$AE$355)&amp;IF(Checks!$T$355="","",CHAR(10)&amp;"PIC: "&amp;Checks!$T$355)</f>
        <v/>
      </c>
      <c r="H59" s="113" t="str">
        <f aca="false">IF(Checks!$AH$355="","",Checks!$AH$355)</f>
        <v>OPEN</v>
      </c>
    </row>
    <row r="60" customFormat="false" ht="114" hidden="false" customHeight="true" outlineLevel="0" collapsed="false">
      <c r="A60" s="112" t="str">
        <f aca="false">Checks!$A$356&amp;CHAR(10)&amp;IF(Checks!$I$356="","",Checks!$I$356&amp;": ")&amp;Checks!$J$356</f>
        <v>F10-UPL-10
Seat Linen: Blanket (BS &amp; BC) - on board</v>
      </c>
      <c r="B60" s="112" t="str">
        <f aca="false">Checks!$K$356&amp;IF(Checks!$O$356="","",IF(Checks!$K$356="","",CHAR(10))&amp;"Note: "&amp;Checks!$O$356)</f>
        <v>Available 100% (ticked in reference)</v>
      </c>
      <c r="C60" s="112" t="str">
        <f aca="false">Checks!$N$356&amp;CHAR(10)&amp;IF(ISNUMBER(Checks!$R$356),TEXT(Checks!$R$356,"DD-MMM-YY HH:MM"),"")&amp;" "&amp;Checks!$P$356</f>
        <v>Required
12-Oct-26 11:45 KUL</v>
      </c>
      <c r="D60" s="112" t="str">
        <f aca="false">IF(Checks!$U$356="","",Checks!$U$356)&amp;IF(Checks!$AB$356="","",CHAR(10)&amp;"CA: "&amp;Checks!$AB$356)</f>
        <v/>
      </c>
      <c r="E60" s="112" t="str">
        <f aca="false">IF(Checks!$V$356="","",Checks!$V$356)&amp;IF(Checks!$AC$356="","",IF(Checks!$V$356="","",CHAR(10))&amp;"N/A just.: "&amp;Checks!$AC$356)&amp;IF(Checks!$W$356="","",CHAR(10)&amp;"Batch: "&amp;Checks!$W$356)&amp;IF(AND(Checks!$X$356="",Checks!$Y$356=""),"",CHAR(10)&amp;"Exp: "&amp;Checks!$X$356&amp;"  /  Act: "&amp;Checks!$Y$356)</f>
        <v/>
      </c>
      <c r="F60" s="112" t="str">
        <f aca="false">IF(Checks!$Z$356="","","Evidence: "&amp;Checks!$Z$356)&amp;IF(Checks!$AA$356="","",IF(Checks!$Z$356="","",CHAR(10))&amp;"CA: "&amp;Checks!$AA$356)</f>
        <v/>
      </c>
      <c r="G60" s="112" t="str">
        <f aca="false">IF(ISNUMBER(Checks!$AD$356),TEXT(Checks!$AD$356,"DD-MMM-YY HH:MM")&amp;" "&amp;Checks!$P$356,"")&amp;IF(Checks!$AE$356="","",CHAR(10)&amp;"Verifier: "&amp;Checks!$AE$356)&amp;IF(Checks!$T$356="","",CHAR(10)&amp;"PIC: "&amp;Checks!$T$356)</f>
        <v/>
      </c>
      <c r="H60" s="113" t="str">
        <f aca="false">IF(Checks!$AH$356="","",Checks!$AH$356)</f>
        <v>OPEN</v>
      </c>
    </row>
    <row r="62" customFormat="false" ht="24" hidden="false" customHeight="true" outlineLevel="0" collapsed="false">
      <c r="A62" s="114" t="s">
        <v>1647</v>
      </c>
      <c r="B62" s="114"/>
      <c r="C62" s="114"/>
      <c r="D62" s="114"/>
      <c r="E62" s="114" t="s">
        <v>1648</v>
      </c>
      <c r="F62" s="114"/>
      <c r="G62" s="114"/>
      <c r="H62" s="114"/>
    </row>
    <row r="63" customFormat="false" ht="21.75" hidden="false" customHeight="true" outlineLevel="0" collapsed="false">
      <c r="A63" s="115"/>
      <c r="B63" s="115"/>
      <c r="C63" s="115"/>
      <c r="D63" s="115"/>
      <c r="E63" s="115"/>
      <c r="F63" s="115"/>
      <c r="G63" s="115"/>
      <c r="H63" s="115"/>
    </row>
    <row r="64" customFormat="false" ht="21.75" hidden="false" customHeight="true" outlineLevel="0" collapsed="false">
      <c r="A64" s="115"/>
      <c r="B64" s="115"/>
      <c r="C64" s="115"/>
      <c r="D64" s="115"/>
      <c r="E64" s="115"/>
      <c r="F64" s="115"/>
      <c r="G64" s="115"/>
      <c r="H64" s="115"/>
    </row>
    <row r="65" customFormat="false" ht="21.75" hidden="false" customHeight="true" outlineLevel="0" collapsed="false">
      <c r="A65" s="115"/>
      <c r="B65" s="115"/>
      <c r="C65" s="115"/>
      <c r="D65" s="115"/>
      <c r="E65" s="115"/>
      <c r="F65" s="115"/>
      <c r="G65" s="115"/>
      <c r="H65" s="115"/>
    </row>
    <row r="66" customFormat="false" ht="21.75" hidden="false" customHeight="true" outlineLevel="0" collapsed="false">
      <c r="A66" s="115"/>
      <c r="B66" s="115"/>
      <c r="C66" s="115"/>
      <c r="D66" s="115"/>
      <c r="E66" s="115"/>
      <c r="F66" s="115"/>
      <c r="G66" s="115"/>
      <c r="H66" s="115"/>
    </row>
    <row r="67" customFormat="false" ht="21.75" hidden="false" customHeight="true" outlineLevel="0" collapsed="false">
      <c r="A67" s="115"/>
      <c r="B67" s="115"/>
      <c r="C67" s="115"/>
      <c r="D67" s="115"/>
      <c r="E67" s="115"/>
      <c r="F67" s="115"/>
      <c r="G67" s="115"/>
      <c r="H67" s="115"/>
    </row>
    <row r="68" customFormat="false" ht="21.75" hidden="false" customHeight="true" outlineLevel="0" collapsed="false">
      <c r="A68" s="115"/>
      <c r="B68" s="115"/>
      <c r="C68" s="115"/>
      <c r="D68" s="115"/>
      <c r="E68" s="115"/>
      <c r="F68" s="115"/>
      <c r="G68" s="115"/>
      <c r="H68" s="115"/>
    </row>
    <row r="69" customFormat="false" ht="21.75" hidden="false" customHeight="true" outlineLevel="0" collapsed="false">
      <c r="A69" s="115"/>
      <c r="B69" s="115"/>
      <c r="C69" s="115"/>
      <c r="D69" s="115"/>
      <c r="E69" s="115"/>
      <c r="F69" s="115"/>
      <c r="G69" s="115"/>
      <c r="H69" s="115"/>
    </row>
    <row r="70" customFormat="false" ht="21.75" hidden="false" customHeight="true" outlineLevel="0" collapsed="false">
      <c r="A70" s="115"/>
      <c r="B70" s="115"/>
      <c r="C70" s="115"/>
      <c r="D70" s="115"/>
      <c r="E70" s="115"/>
      <c r="F70" s="115"/>
      <c r="G70" s="115"/>
      <c r="H70" s="115"/>
    </row>
    <row r="71" customFormat="false" ht="21.75" hidden="false" customHeight="true" outlineLevel="0" collapsed="false">
      <c r="A71" s="115"/>
      <c r="B71" s="115"/>
      <c r="C71" s="115"/>
      <c r="D71" s="115"/>
      <c r="E71" s="115"/>
      <c r="F71" s="115"/>
      <c r="G71" s="115"/>
      <c r="H71" s="115"/>
    </row>
    <row r="72" customFormat="false" ht="21.75" hidden="false" customHeight="true" outlineLevel="0" collapsed="false">
      <c r="A72" s="115"/>
      <c r="B72" s="115"/>
      <c r="C72" s="115"/>
      <c r="D72" s="115"/>
      <c r="E72" s="115"/>
      <c r="F72" s="115"/>
      <c r="G72" s="115"/>
      <c r="H72"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0">
    <cfRule type="expression" priority="17" aboveAverage="0" equalAverage="0" bottom="0" percent="0" rank="0" text="" dxfId="34">
      <formula>LEFT($H23,3)="N/A"</formula>
    </cfRule>
  </conditionalFormatting>
  <conditionalFormatting sqref="D23:D6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F11  "&amp;Flights!$F$15&amp;"  "&amp;TEXT(Flights!$D$15,"DD-MMM-YY")&amp;" ("&amp;Flights!$E$15&amp;")  "&amp;Flights!$G$15&amp;" → "&amp;Flights!$H$15&amp;"  |  Class "&amp;Flights!$K$15</f>
        <v>SKYTRAX 2026 CATERING READINESS CHECKLIST  |  F11  MH1149  12-Oct-26 (MON)  PEN → KUL  |  Class EY</v>
      </c>
      <c r="B1" s="90"/>
      <c r="C1" s="90"/>
      <c r="D1" s="90"/>
      <c r="E1" s="90"/>
      <c r="F1" s="90"/>
      <c r="G1" s="90"/>
      <c r="H1" s="90"/>
    </row>
    <row r="2" customFormat="false" ht="12.75" hidden="false" customHeight="true" outlineLevel="0" collapsed="false">
      <c r="A2" s="91" t="s">
        <v>1602</v>
      </c>
      <c r="B2" s="92" t="str">
        <f aca="false">Flights!$F$15&amp;"   "&amp;TEXT(Flights!$D$15,"DD-MMM-YY")&amp;" ("&amp;Flights!$E$15&amp;")"</f>
        <v>MH1149   12-Oct-26 (MON)</v>
      </c>
      <c r="C2" s="92"/>
      <c r="D2" s="92"/>
      <c r="E2" s="93" t="s">
        <v>1603</v>
      </c>
      <c r="F2" s="94" t="str">
        <f aca="false">Flights!$AT$15</f>
        <v>NOT READY – DOCUMENTS</v>
      </c>
      <c r="G2" s="94"/>
      <c r="H2" s="94"/>
    </row>
    <row r="3" customFormat="false" ht="24" hidden="false" customHeight="true" outlineLevel="0" collapsed="false">
      <c r="A3" s="91" t="s">
        <v>1604</v>
      </c>
      <c r="B3" s="92" t="str">
        <f aca="false">Flights!$G$15&amp;" → "&amp;Flights!$H$15&amp;"   Class "&amp;Flights!$K$15&amp;"   Seat "&amp;Flights!$O$15</f>
        <v>PEN → KUL   Class EY   Seat 4A</v>
      </c>
      <c r="C3" s="92"/>
      <c r="D3" s="92"/>
      <c r="E3" s="93" t="s">
        <v>66</v>
      </c>
      <c r="F3" s="93" t="s">
        <v>1605</v>
      </c>
      <c r="G3" s="93" t="s">
        <v>1606</v>
      </c>
      <c r="H3" s="93"/>
    </row>
    <row r="4" customFormat="false" ht="24" hidden="false" customHeight="true" outlineLevel="0" collapsed="false">
      <c r="A4" s="91" t="s">
        <v>1607</v>
      </c>
      <c r="B4" s="92" t="str">
        <f aca="false">IF(ISNUMBER(Flights!$I$15),TEXT(Flights!$I$15,"DD-MMM-YY HH:MM"),"")&amp;" "&amp;Flights!$G$15&amp;"  →  "&amp;IF(ISNUMBER(Flights!$J$15),TEXT(Flights!$J$15,"DD-MMM-YY HH:MM"),"")&amp;" "&amp;Flights!$H$15</f>
        <v>12-Oct-26 15:50 PEN  →  12-Oct-26 16:55 KUL</v>
      </c>
      <c r="C4" s="92"/>
      <c r="D4" s="92"/>
      <c r="E4" s="91" t="s">
        <v>1608</v>
      </c>
      <c r="F4" s="95" t="str">
        <f aca="false">IF(ISNUMBER(Flights!$AG$15),TEXT(Flights!$AG$15,"DD-MMM-YY HH:MM"),"")&amp;" "&amp;Flights!$V$15</f>
        <v>05-Oct-26 15:50 KUL</v>
      </c>
      <c r="G4" s="96" t="n">
        <f aca="false">Flights!$AJ$15</f>
        <v>0</v>
      </c>
      <c r="H4" s="96"/>
    </row>
    <row r="5" customFormat="false" ht="24" hidden="false" customHeight="true" outlineLevel="0" collapsed="false">
      <c r="A5" s="91" t="s">
        <v>1609</v>
      </c>
      <c r="B5" s="92" t="str">
        <f aca="false">Flights!$L$15&amp;" – "&amp;Flights!$M$15</f>
        <v>B738MAX – B737-8 (B7M8)</v>
      </c>
      <c r="C5" s="92"/>
      <c r="D5" s="92"/>
      <c r="E5" s="91" t="s">
        <v>1610</v>
      </c>
      <c r="F5" s="95" t="str">
        <f aca="false">IF(ISNUMBER(Flights!$AH$15),TEXT(Flights!$AH$15,"DD-MMM-YY HH:MM"),"")&amp;" "&amp;Flights!$V$15</f>
        <v>11-Oct-26 15:50 KUL</v>
      </c>
      <c r="G5" s="96" t="n">
        <f aca="false">Flights!$AK$15</f>
        <v>0</v>
      </c>
      <c r="H5" s="96"/>
    </row>
    <row r="6" customFormat="false" ht="24" hidden="false" customHeight="true" outlineLevel="0" collapsed="false">
      <c r="A6" s="91" t="s">
        <v>1611</v>
      </c>
      <c r="B6" s="92" t="str">
        <f aca="false">IF(TRIM(Flights!$N$15)="","__________________",Flights!$N$15)</f>
        <v>__________________</v>
      </c>
      <c r="C6" s="92"/>
      <c r="D6" s="92"/>
      <c r="E6" s="91" t="s">
        <v>1612</v>
      </c>
      <c r="F6" s="95" t="str">
        <f aca="false">IF(ISNUMBER(Flights!$AI$15),TEXT(Flights!$AI$15,"DD-MMM-YY HH:MM"),"")&amp;" "&amp;Flights!$V$15&amp;IF(Flights!$AI$15=Flights!$AH$15,"  (= T-24H due)","")</f>
        <v>12-Oct-26 03:50 KUL</v>
      </c>
      <c r="G6" s="96" t="n">
        <f aca="false">Flights!$AL$15</f>
        <v>0</v>
      </c>
      <c r="H6" s="96"/>
    </row>
    <row r="7" customFormat="false" ht="24" hidden="false" customHeight="true" outlineLevel="0" collapsed="false">
      <c r="A7" s="91" t="s">
        <v>1613</v>
      </c>
      <c r="B7" s="92" t="str">
        <f aca="false">Flights!$T$15</f>
        <v>Refreshment (Peanut &amp; Water)</v>
      </c>
      <c r="C7" s="92"/>
      <c r="D7" s="92"/>
      <c r="E7" s="91" t="s">
        <v>1614</v>
      </c>
      <c r="F7" s="95" t="str">
        <f aca="false">"STD "&amp;IF(ISNUMBER(Flights!$I$15),TEXT(Flights!$I$15,"DD-MMM-YY HH:MM"),"")&amp;" "&amp;Flights!$G$15&amp;" (dep stn)"</f>
        <v>STD 12-Oct-26 15:50 PEN (dep stn)</v>
      </c>
      <c r="G7" s="96" t="n">
        <f aca="false">Flights!$AM$15</f>
        <v>0</v>
      </c>
      <c r="H7" s="96"/>
    </row>
    <row r="8" customFormat="false" ht="12.75" hidden="false" customHeight="true" outlineLevel="0" collapsed="false">
      <c r="A8" s="91" t="s">
        <v>148</v>
      </c>
      <c r="B8" s="92" t="str">
        <f aca="false">Flights!$V$15&amp;"   (reference uplift stns: "&amp;Flights!$U$15&amp;")"</f>
        <v>KUL   (reference uplift stns: KUL)</v>
      </c>
      <c r="C8" s="92"/>
      <c r="D8" s="92"/>
      <c r="E8" s="91" t="s">
        <v>1615</v>
      </c>
      <c r="F8" s="97" t="s">
        <v>1616</v>
      </c>
      <c r="G8" s="96" t="n">
        <f aca="false">Flights!$AN$15</f>
        <v>0</v>
      </c>
      <c r="H8" s="96"/>
    </row>
    <row r="9" customFormat="false" ht="12.75" hidden="false" customHeight="true" outlineLevel="0" collapsed="false">
      <c r="A9" s="91" t="s">
        <v>1617</v>
      </c>
      <c r="B9" s="92" t="str">
        <f aca="false">TRIM(Flights!$P$15&amp;"  "&amp;Flights!$Q$15)</f>
        <v>3H 05M</v>
      </c>
      <c r="C9" s="92"/>
      <c r="D9" s="92"/>
      <c r="E9" s="91" t="s">
        <v>1618</v>
      </c>
      <c r="F9" s="98" t="n">
        <f aca="false">Flights!$AP$15</f>
        <v>0</v>
      </c>
      <c r="G9" s="98" t="n">
        <f aca="false">Flights!$AQ$15</f>
        <v>0</v>
      </c>
      <c r="H9" s="98" t="n">
        <f aca="false">Flights!$AU$15</f>
        <v>0</v>
      </c>
    </row>
    <row r="10" customFormat="false" ht="24" hidden="false" customHeight="true" outlineLevel="0" collapsed="false">
      <c r="A10" s="91" t="s">
        <v>1619</v>
      </c>
      <c r="B10" s="92" t="str">
        <f aca="false">IF(TRIM(Flights!$X$15)="","__________________",Flights!$X$15)</f>
        <v>__________________</v>
      </c>
      <c r="C10" s="92"/>
      <c r="D10" s="92"/>
      <c r="E10" s="91" t="s">
        <v>1620</v>
      </c>
      <c r="F10" s="98" t="n">
        <f aca="false">Flights!$AO$15</f>
        <v>22</v>
      </c>
      <c r="G10" s="98" t="n">
        <f aca="false">Flights!$AS$15</f>
        <v>1</v>
      </c>
      <c r="H10" s="98" t="n">
        <f aca="false">Flights!$AR$15</f>
        <v>2</v>
      </c>
    </row>
    <row r="11" customFormat="false" ht="21" hidden="false" customHeight="true" outlineLevel="0" collapsed="false">
      <c r="A11" s="91" t="s">
        <v>1621</v>
      </c>
      <c r="B11" s="92" t="str">
        <f aca="false">IF(TRIM(Flights!$Y$15)="","__________________",Flights!$Y$15)</f>
        <v>__________________</v>
      </c>
      <c r="C11" s="92"/>
      <c r="D11" s="92"/>
      <c r="E11" s="91" t="s">
        <v>1622</v>
      </c>
      <c r="F11" s="98" t="str">
        <f aca="false">Flights!$AV$15&amp;" / "&amp;Flights!$AW$15</f>
        <v>0 / 22</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45.75" hidden="false" customHeight="true" outlineLevel="0" collapsed="false">
      <c r="A13" s="116"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"&amp;Flights!$G$15&amp;"."&amp;CHAR(10)&amp;"Prep must be complete by (loading window opens):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 (estimated – enter actual on Flights AX)")</f>
        <v>ROUND-TRIP LEG: all catering is uplifted at KUL on the carrying flight (agenda candidate F10 MH1140). T-24H / T-12H PREP are capped at the KUL loading window; on-board UPLIFT checks are at PEN.
Prep must be complete by (loading window opens): 12-Oct-26 05:45 KUL   |   Carrying flight KUL departure (loading confirmed by): 12-Oct-26 11:45 KUL (estimated – enter actual on Flights AX)</v>
      </c>
      <c r="B13" s="116"/>
      <c r="C13" s="116"/>
      <c r="D13" s="116"/>
      <c r="E13" s="116"/>
      <c r="F13" s="116"/>
      <c r="G13" s="116"/>
      <c r="H13" s="116"/>
    </row>
    <row r="14" customFormat="false" ht="13.5" hidden="false" customHeight="true" outlineLevel="0" collapsed="false">
      <c r="A14" s="93" t="s">
        <v>1627</v>
      </c>
      <c r="B14" s="93" t="s">
        <v>1628</v>
      </c>
      <c r="C14" s="93" t="s">
        <v>1629</v>
      </c>
      <c r="D14" s="93"/>
      <c r="E14" s="93" t="s">
        <v>1630</v>
      </c>
      <c r="F14" s="93" t="s">
        <v>1631</v>
      </c>
      <c r="G14" s="93"/>
      <c r="H14" s="93"/>
    </row>
    <row r="15" customFormat="false" ht="36" hidden="false" customHeight="true" outlineLevel="0" collapsed="false">
      <c r="A15" s="91" t="s">
        <v>1632</v>
      </c>
      <c r="B15" s="92" t="str">
        <f aca="false">IF(Documents!$F$15="","",Documents!$F$15)</f>
        <v/>
      </c>
      <c r="C15" s="97" t="str">
        <f aca="false">IF(Documents!$G$15="","",Documents!$G$15)&amp;IF(ISNUMBER(Documents!$H$15),"  "&amp;TEXT(Documents!$H$15,"DD-MMM-YY"),"")</f>
        <v/>
      </c>
      <c r="D15" s="97"/>
      <c r="E15" s="105" t="str">
        <f aca="false">IF(Documents!$J$15="OUTSTANDING","OUTSTANDING – attach before T-7D (due "&amp;IF(ISNUMBER(Flights!$AG$15),TEXT(Flights!$AG$15,"DD-MMM-YY HH:MM"),"")&amp;" "&amp;Flights!$V$15&amp;")",IF(Documents!$J$15="","Status not recorded",Documents!$J$15))</f>
        <v>OUTSTANDING – attach before T-7D (due 05-Oct-26 15:50 KUL)</v>
      </c>
      <c r="F15" s="106" t="str">
        <f aca="false">"Staple behind this sheet as page A1."&amp;IF(Documents!$I$15="",""," Location: "&amp;Documents!$I$15)</f>
        <v>Staple behind this sheet as page A1.</v>
      </c>
      <c r="G15" s="106"/>
      <c r="H15" s="106"/>
    </row>
    <row r="16" customFormat="false" ht="36" hidden="false" customHeight="true" outlineLevel="0" collapsed="false">
      <c r="A16" s="91" t="s">
        <v>1633</v>
      </c>
      <c r="B16" s="92" t="str">
        <f aca="false">IF(Documents!$K$15="","",Documents!$K$15)</f>
        <v/>
      </c>
      <c r="C16" s="97" t="str">
        <f aca="false">IF(Documents!$L$15="","",Documents!$L$15)&amp;IF(ISNUMBER(Documents!$M$15),"  "&amp;TEXT(Documents!$M$15,"DD-MMM-YY"),"")</f>
        <v/>
      </c>
      <c r="D16" s="97"/>
      <c r="E16" s="105" t="str">
        <f aca="false">IF(Documents!$O$15="OUTSTANDING","OUTSTANDING – attach before T-7D (due "&amp;IF(ISNUMBER(Flights!$AG$15),TEXT(Flights!$AG$15,"DD-MMM-YY HH:MM"),"")&amp;" "&amp;Flights!$V$15&amp;")",IF(Documents!$O$15="","Status not recorded",Documents!$O$15))</f>
        <v>OUTSTANDING – attach before T-7D (due 05-Oct-26 15:50 KUL)</v>
      </c>
      <c r="F16" s="106" t="str">
        <f aca="false">"Staple behind this sheet as page A2."&amp;IF(Documents!$N$15="",""," Location: "&amp;Documents!$N$15)</f>
        <v>Staple behind this sheet as page A2.</v>
      </c>
      <c r="G16" s="106"/>
      <c r="H16" s="106"/>
    </row>
    <row r="17" customFormat="false" ht="22.5" hidden="false" customHeight="true" outlineLevel="0" collapsed="false">
      <c r="A17" s="91" t="s">
        <v>1634</v>
      </c>
      <c r="B17" s="107" t="str">
        <f aca="false">IF(Documents!$Q$15="","",Documents!$Q$15)</f>
        <v>Not supplied with brief – obtain from caterer / MAGCS. Return catering loaded at KUL: GLD must show return-leg stowage.</v>
      </c>
      <c r="C17" s="107"/>
      <c r="D17" s="107"/>
      <c r="E17" s="107"/>
      <c r="F17" s="107"/>
      <c r="G17" s="107"/>
      <c r="H17" s="107"/>
    </row>
    <row r="18" customFormat="false" ht="13.5" hidden="false" customHeight="true" outlineLevel="0" collapsed="false">
      <c r="A18" s="108" t="s">
        <v>1635</v>
      </c>
      <c r="B18" s="108"/>
      <c r="C18" s="108" t="s">
        <v>1636</v>
      </c>
      <c r="D18" s="108"/>
      <c r="E18" s="108"/>
      <c r="F18" s="108" t="s">
        <v>1637</v>
      </c>
      <c r="G18" s="108"/>
      <c r="H18" s="108"/>
    </row>
    <row r="19" customFormat="false" ht="18" hidden="false" customHeight="true" outlineLevel="0" collapsed="false">
      <c r="A19" s="92" t="str">
        <f aca="false">"Name: "&amp;IF(TRIM(Flights!$Y$15)="","__________________",Flights!$Y$15)</f>
        <v>Name: __________________</v>
      </c>
      <c r="B19" s="92"/>
      <c r="C19" s="92" t="str">
        <f aca="false">"Name: __________________"</f>
        <v>Name: __________________</v>
      </c>
      <c r="D19" s="92"/>
      <c r="E19" s="92"/>
      <c r="F19" s="92" t="str">
        <f aca="false">"Name: __________________"&amp;"   Station: "&amp;Flights!$V$15</f>
        <v>Name: __________________   Station: KUL</v>
      </c>
      <c r="G19" s="92"/>
      <c r="H19" s="92"/>
    </row>
    <row r="20" customFormat="false" ht="30" hidden="false" customHeight="true" outlineLevel="0" collapsed="false">
      <c r="A20" s="109" t="s">
        <v>1638</v>
      </c>
      <c r="B20" s="109"/>
      <c r="C20" s="109" t="s">
        <v>1638</v>
      </c>
      <c r="D20" s="109"/>
      <c r="E20" s="109"/>
      <c r="F20" s="109" t="s">
        <v>1638</v>
      </c>
      <c r="G20" s="109"/>
      <c r="H20" s="109"/>
    </row>
    <row r="21" customFormat="false" ht="13.5" hidden="false" customHeight="true" outlineLevel="0" collapsed="false">
      <c r="A21" s="110" t="s">
        <v>1639</v>
      </c>
      <c r="B21" s="110"/>
      <c r="C21" s="110"/>
      <c r="D21" s="110"/>
      <c r="E21" s="110"/>
      <c r="F21" s="110"/>
      <c r="G21" s="110"/>
      <c r="H21" s="110"/>
    </row>
    <row r="22" customFormat="false" ht="24" hidden="false" customHeight="true" outlineLevel="0" collapsed="false">
      <c r="A22" s="93" t="s">
        <v>1640</v>
      </c>
      <c r="B22" s="93" t="s">
        <v>1641</v>
      </c>
      <c r="C22" s="93" t="s">
        <v>1642</v>
      </c>
      <c r="D22" s="93" t="s">
        <v>1643</v>
      </c>
      <c r="E22" s="93" t="s">
        <v>1644</v>
      </c>
      <c r="F22" s="93" t="s">
        <v>1645</v>
      </c>
      <c r="G22" s="93" t="s">
        <v>1646</v>
      </c>
      <c r="H22" s="93" t="s">
        <v>119</v>
      </c>
    </row>
    <row r="23" customFormat="false" ht="25.5" hidden="false" customHeight="true" outlineLevel="0" collapsed="false">
      <c r="A23" s="111"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1"/>
      <c r="C23" s="111"/>
      <c r="D23" s="111"/>
      <c r="E23" s="111"/>
      <c r="F23" s="111"/>
      <c r="G23" s="111"/>
      <c r="H23" s="111"/>
    </row>
    <row r="24" customFormat="false" ht="114" hidden="false" customHeight="true" outlineLevel="0" collapsed="false">
      <c r="A24" s="112" t="str">
        <f aca="false">Checks!$A$357&amp;CHAR(10)&amp;IF(Checks!$I$357="","",Checks!$I$357&amp;": ")&amp;Checks!$J$357</f>
        <v>F11-T7-01
Meal: Meal sensory testing completed for this flight's menu cycle (assessed class)</v>
      </c>
      <c r="B24" s="112" t="str">
        <f aca="false">Checks!$K$357&amp;IF(Checks!$O$357="","",IF(Checks!$K$357="","",CHAR(10))&amp;"Note: "&amp;Checks!$O$357)</f>
        <v>Record panel result / score in Result
Note: Refreshment service: sensory test covers the refreshment items.</v>
      </c>
      <c r="C24" s="112" t="str">
        <f aca="false">Checks!$N$357&amp;CHAR(10)&amp;IF(ISNUMBER(Checks!$R$357),TEXT(Checks!$R$357,"DD-MMM-YY HH:MM"),"")&amp;" "&amp;Checks!$P$357</f>
        <v>Required
05-Oct-26 15:50 KUL</v>
      </c>
      <c r="D24" s="112" t="str">
        <f aca="false">IF(Checks!$U$357="","",Checks!$U$357)&amp;IF(Checks!$AB$357="","",CHAR(10)&amp;"CA: "&amp;Checks!$AB$357)</f>
        <v/>
      </c>
      <c r="E24" s="112" t="str">
        <f aca="false">IF(Checks!$V$357="","",Checks!$V$357)&amp;IF(Checks!$AC$357="","",IF(Checks!$V$357="","",CHAR(10))&amp;"N/A just.: "&amp;Checks!$AC$357)&amp;IF(Checks!$W$357="","",CHAR(10)&amp;"Batch: "&amp;Checks!$W$357)&amp;IF(AND(Checks!$X$357="",Checks!$Y$357=""),"",CHAR(10)&amp;"Exp: "&amp;Checks!$X$357&amp;"  /  Act: "&amp;Checks!$Y$357)</f>
        <v/>
      </c>
      <c r="F24" s="112" t="str">
        <f aca="false">IF(Checks!$Z$357="","","Evidence: "&amp;Checks!$Z$357)&amp;IF(Checks!$AA$357="","",IF(Checks!$Z$357="","",CHAR(10))&amp;"CA: "&amp;Checks!$AA$357)</f>
        <v/>
      </c>
      <c r="G24" s="112" t="str">
        <f aca="false">IF(ISNUMBER(Checks!$AD$357),TEXT(Checks!$AD$357,"DD-MMM-YY HH:MM")&amp;" "&amp;Checks!$P$357,"")&amp;IF(Checks!$AE$357="","",CHAR(10)&amp;"Verifier: "&amp;Checks!$AE$357)&amp;IF(Checks!$T$357="","",CHAR(10)&amp;"PIC: "&amp;Checks!$T$357)</f>
        <v/>
      </c>
      <c r="H24" s="113" t="str">
        <f aca="false">IF(Checks!$AH$357="","",Checks!$AH$357)</f>
        <v>OPEN</v>
      </c>
    </row>
    <row r="25" customFormat="false" ht="114" hidden="false" customHeight="true" outlineLevel="0" collapsed="false">
      <c r="A25" s="112" t="str">
        <f aca="false">Checks!$A$358&amp;CHAR(10)&amp;IF(Checks!$I$358="","",Checks!$I$358&amp;": ")&amp;Checks!$J$358</f>
        <v>F11-T7-02
Menu: Printed menu cards confirmed (content, cycle, language, quantity)</v>
      </c>
      <c r="B25" s="112" t="str">
        <f aca="false">Checks!$K$358&amp;IF(Checks!$O$358="","",IF(Checks!$K$358="","",CHAR(10))&amp;"Note: "&amp;Checks!$O$358)</f>
        <v>Menu card matches approved menu for this flight
Note: Refreshment service (peanut &amp; water). If no printed menu card is used, mark N/A with the confirmation as justification.</v>
      </c>
      <c r="C25" s="112" t="str">
        <f aca="false">Checks!$N$358&amp;CHAR(10)&amp;IF(ISNUMBER(Checks!$R$358),TEXT(Checks!$R$358,"DD-MMM-YY HH:MM"),"")&amp;" "&amp;Checks!$P$358</f>
        <v>Required
05-Oct-26 15:50 KUL</v>
      </c>
      <c r="D25" s="112" t="str">
        <f aca="false">IF(Checks!$U$358="","",Checks!$U$358)&amp;IF(Checks!$AB$358="","",CHAR(10)&amp;"CA: "&amp;Checks!$AB$358)</f>
        <v/>
      </c>
      <c r="E25" s="112" t="str">
        <f aca="false">IF(Checks!$V$358="","",Checks!$V$358)&amp;IF(Checks!$AC$358="","",IF(Checks!$V$358="","",CHAR(10))&amp;"N/A just.: "&amp;Checks!$AC$358)&amp;IF(Checks!$W$358="","",CHAR(10)&amp;"Batch: "&amp;Checks!$W$358)&amp;IF(AND(Checks!$X$358="",Checks!$Y$358=""),"",CHAR(10)&amp;"Exp: "&amp;Checks!$X$358&amp;"  /  Act: "&amp;Checks!$Y$358)</f>
        <v/>
      </c>
      <c r="F25" s="112" t="str">
        <f aca="false">IF(Checks!$Z$358="","","Evidence: "&amp;Checks!$Z$358)&amp;IF(Checks!$AA$358="","",IF(Checks!$Z$358="","",CHAR(10))&amp;"CA: "&amp;Checks!$AA$358)</f>
        <v/>
      </c>
      <c r="G25" s="112" t="str">
        <f aca="false">IF(ISNUMBER(Checks!$AD$358),TEXT(Checks!$AD$358,"DD-MMM-YY HH:MM")&amp;" "&amp;Checks!$P$358,"")&amp;IF(Checks!$AE$358="","",CHAR(10)&amp;"Verifier: "&amp;Checks!$AE$358)&amp;IF(Checks!$T$358="","",CHAR(10)&amp;"PIC: "&amp;Checks!$T$358)</f>
        <v/>
      </c>
      <c r="H25" s="113" t="str">
        <f aca="false">IF(Checks!$AH$358="","",Checks!$AH$358)</f>
        <v>OPEN</v>
      </c>
    </row>
    <row r="26" customFormat="false" ht="114" hidden="false" customHeight="true" outlineLevel="0" collapsed="false">
      <c r="A26" s="112" t="str">
        <f aca="false">Checks!$A$359&amp;CHAR(10)&amp;IF(Checks!$I$359="","",Checks!$I$359&amp;": ")&amp;Checks!$J$359</f>
        <v>F11-T7-03
IFE: Digital menu in IFE confirmed (A339 only)</v>
      </c>
      <c r="B26" s="112" t="str">
        <f aca="false">Checks!$K$359&amp;IF(Checks!$O$359="","",IF(Checks!$K$359="","",CHAR(10))&amp;"Note: "&amp;Checks!$O$359)</f>
        <v>Applies when fleet = A339
Note: Digital IFE menu applies to A339 only (user brief). Applicability follows the Fleet cell on Flights.</v>
      </c>
      <c r="C26" s="112" t="str">
        <f aca="false">Checks!$N$359&amp;CHAR(10)&amp;IF(ISNUMBER(Checks!$R$359),TEXT(Checks!$R$359,"DD-MMM-YY HH:MM"),"")&amp;" "&amp;Checks!$P$359</f>
        <v>N/A – rule
05-Oct-26 15:50 KUL</v>
      </c>
      <c r="D26" s="112" t="str">
        <f aca="false">IF(Checks!$U$359="","",Checks!$U$359)&amp;IF(Checks!$AB$359="","",CHAR(10)&amp;"CA: "&amp;Checks!$AB$359)</f>
        <v/>
      </c>
      <c r="E26" s="112" t="str">
        <f aca="false">IF(Checks!$V$359="","",Checks!$V$359)&amp;IF(Checks!$AC$359="","",IF(Checks!$V$359="","",CHAR(10))&amp;"N/A just.: "&amp;Checks!$AC$359)&amp;IF(Checks!$W$359="","",CHAR(10)&amp;"Batch: "&amp;Checks!$W$359)&amp;IF(AND(Checks!$X$359="",Checks!$Y$359=""),"",CHAR(10)&amp;"Exp: "&amp;Checks!$X$359&amp;"  /  Act: "&amp;Checks!$Y$359)</f>
        <v/>
      </c>
      <c r="F26" s="112" t="str">
        <f aca="false">IF(Checks!$Z$359="","","Evidence: "&amp;Checks!$Z$359)&amp;IF(Checks!$AA$359="","",IF(Checks!$Z$359="","",CHAR(10))&amp;"CA: "&amp;Checks!$AA$359)</f>
        <v/>
      </c>
      <c r="G26" s="112" t="str">
        <f aca="false">IF(ISNUMBER(Checks!$AD$359),TEXT(Checks!$AD$359,"DD-MMM-YY HH:MM")&amp;" "&amp;Checks!$P$359,"")&amp;IF(Checks!$AE$359="","",CHAR(10)&amp;"Verifier: "&amp;Checks!$AE$359)&amp;IF(Checks!$T$359="","",CHAR(10)&amp;"PIC: "&amp;Checks!$T$359)</f>
        <v/>
      </c>
      <c r="H26" s="113" t="str">
        <f aca="false">IF(Checks!$AH$359="","",Checks!$AH$359)</f>
        <v>N/A – RULE</v>
      </c>
    </row>
    <row r="27" customFormat="false" ht="114" hidden="false" customHeight="true" outlineLevel="0" collapsed="false">
      <c r="A27" s="112" t="str">
        <f aca="false">Checks!$A$360&amp;CHAR(10)&amp;IF(Checks!$I$360="","",Checks!$I$360&amp;": ")&amp;Checks!$J$360</f>
        <v>F11-T7-04
Staffing: Experienced catering officer assigned to this flight</v>
      </c>
      <c r="B27" s="112" t="str">
        <f aca="false">Checks!$K$360&amp;IF(Checks!$O$360="","",IF(Checks!$K$360="","",CHAR(10))&amp;"Note: "&amp;Checks!$O$360)</f>
        <v>Record officer name in Result</v>
      </c>
      <c r="C27" s="112" t="str">
        <f aca="false">Checks!$N$360&amp;CHAR(10)&amp;IF(ISNUMBER(Checks!$R$360),TEXT(Checks!$R$360,"DD-MMM-YY HH:MM"),"")&amp;" "&amp;Checks!$P$360</f>
        <v>Required
05-Oct-26 15:50 KUL</v>
      </c>
      <c r="D27" s="112" t="str">
        <f aca="false">IF(Checks!$U$360="","",Checks!$U$360)&amp;IF(Checks!$AB$360="","",CHAR(10)&amp;"CA: "&amp;Checks!$AB$360)</f>
        <v/>
      </c>
      <c r="E27" s="112" t="str">
        <f aca="false">IF(Checks!$V$360="","",Checks!$V$360)&amp;IF(Checks!$AC$360="","",IF(Checks!$V$360="","",CHAR(10))&amp;"N/A just.: "&amp;Checks!$AC$360)&amp;IF(Checks!$W$360="","",CHAR(10)&amp;"Batch: "&amp;Checks!$W$360)&amp;IF(AND(Checks!$X$360="",Checks!$Y$360=""),"",CHAR(10)&amp;"Exp: "&amp;Checks!$X$360&amp;"  /  Act: "&amp;Checks!$Y$360)</f>
        <v/>
      </c>
      <c r="F27" s="112" t="str">
        <f aca="false">IF(Checks!$Z$360="","","Evidence: "&amp;Checks!$Z$360)&amp;IF(Checks!$AA$360="","",IF(Checks!$Z$360="","",CHAR(10))&amp;"CA: "&amp;Checks!$AA$360)</f>
        <v/>
      </c>
      <c r="G27" s="112" t="str">
        <f aca="false">IF(ISNUMBER(Checks!$AD$360),TEXT(Checks!$AD$360,"DD-MMM-YY HH:MM")&amp;" "&amp;Checks!$P$360,"")&amp;IF(Checks!$AE$360="","",CHAR(10)&amp;"Verifier: "&amp;Checks!$AE$360)&amp;IF(Checks!$T$360="","",CHAR(10)&amp;"PIC: "&amp;Checks!$T$360)</f>
        <v/>
      </c>
      <c r="H27" s="113" t="str">
        <f aca="false">IF(Checks!$AH$360="","",Checks!$AH$360)</f>
        <v>OPEN</v>
      </c>
    </row>
    <row r="28" customFormat="false" ht="114" hidden="false" customHeight="true" outlineLevel="0" collapsed="false">
      <c r="A28" s="112" t="str">
        <f aca="false">Checks!$A$361&amp;CHAR(10)&amp;IF(Checks!$I$361="","",Checks!$I$361&amp;": ")&amp;Checks!$J$361</f>
        <v>F11-T7-05
ISOP: All latest applicable ISOP revisions communicated to caterer</v>
      </c>
      <c r="B28" s="112" t="str">
        <f aca="false">Checks!$K$361&amp;IF(Checks!$O$361="","",IF(Checks!$K$361="","",CHAR(10))&amp;"Note: "&amp;Checks!$O$361)</f>
        <v>List revision numbers in Result (see ISOP register)</v>
      </c>
      <c r="C28" s="112" t="str">
        <f aca="false">Checks!$N$361&amp;CHAR(10)&amp;IF(ISNUMBER(Checks!$R$361),TEXT(Checks!$R$361,"DD-MMM-YY HH:MM"),"")&amp;" "&amp;Checks!$P$361</f>
        <v>Required
05-Oct-26 15:50 KUL</v>
      </c>
      <c r="D28" s="112" t="str">
        <f aca="false">IF(Checks!$U$361="","",Checks!$U$361)&amp;IF(Checks!$AB$361="","",CHAR(10)&amp;"CA: "&amp;Checks!$AB$361)</f>
        <v/>
      </c>
      <c r="E28" s="112" t="str">
        <f aca="false">IF(Checks!$V$361="","",Checks!$V$361)&amp;IF(Checks!$AC$361="","",IF(Checks!$V$361="","",CHAR(10))&amp;"N/A just.: "&amp;Checks!$AC$361)&amp;IF(Checks!$W$361="","",CHAR(10)&amp;"Batch: "&amp;Checks!$W$361)&amp;IF(AND(Checks!$X$361="",Checks!$Y$361=""),"",CHAR(10)&amp;"Exp: "&amp;Checks!$X$361&amp;"  /  Act: "&amp;Checks!$Y$361)</f>
        <v/>
      </c>
      <c r="F28" s="112" t="str">
        <f aca="false">IF(Checks!$Z$361="","","Evidence: "&amp;Checks!$Z$361)&amp;IF(Checks!$AA$361="","",IF(Checks!$Z$361="","",CHAR(10))&amp;"CA: "&amp;Checks!$AA$361)</f>
        <v/>
      </c>
      <c r="G28" s="112" t="str">
        <f aca="false">IF(ISNUMBER(Checks!$AD$361),TEXT(Checks!$AD$361,"DD-MMM-YY HH:MM")&amp;" "&amp;Checks!$P$361,"")&amp;IF(Checks!$AE$361="","",CHAR(10)&amp;"Verifier: "&amp;Checks!$AE$361)&amp;IF(Checks!$T$361="","",CHAR(10)&amp;"PIC: "&amp;Checks!$T$361)</f>
        <v/>
      </c>
      <c r="H28" s="113" t="str">
        <f aca="false">IF(Checks!$AH$361="","",Checks!$AH$361)</f>
        <v>OPEN</v>
      </c>
    </row>
    <row r="29" customFormat="false" ht="114" hidden="false" customHeight="true" outlineLevel="0" collapsed="false">
      <c r="A29" s="112" t="str">
        <f aca="false">Checks!$A$362&amp;CHAR(10)&amp;IF(Checks!$I$362="","",Checks!$I$362&amp;": ")&amp;Checks!$J$362</f>
        <v>F11-T7-06
ISOP: Caterer acknowledgement of ISOP revisions recorded</v>
      </c>
      <c r="B29" s="112" t="str">
        <f aca="false">Checks!$K$362&amp;IF(Checks!$O$362="","",IF(Checks!$K$362="","",CHAR(10))&amp;"Note: "&amp;Checks!$O$362)</f>
        <v>Record acknowledgement ref in Evidence</v>
      </c>
      <c r="C29" s="112" t="str">
        <f aca="false">Checks!$N$362&amp;CHAR(10)&amp;IF(ISNUMBER(Checks!$R$362),TEXT(Checks!$R$362,"DD-MMM-YY HH:MM"),"")&amp;" "&amp;Checks!$P$362</f>
        <v>Required
05-Oct-26 15:50 KUL</v>
      </c>
      <c r="D29" s="112" t="str">
        <f aca="false">IF(Checks!$U$362="","",Checks!$U$362)&amp;IF(Checks!$AB$362="","",CHAR(10)&amp;"CA: "&amp;Checks!$AB$362)</f>
        <v/>
      </c>
      <c r="E29" s="112" t="str">
        <f aca="false">IF(Checks!$V$362="","",Checks!$V$362)&amp;IF(Checks!$AC$362="","",IF(Checks!$V$362="","",CHAR(10))&amp;"N/A just.: "&amp;Checks!$AC$362)&amp;IF(Checks!$W$362="","",CHAR(10)&amp;"Batch: "&amp;Checks!$W$362)&amp;IF(AND(Checks!$X$362="",Checks!$Y$362=""),"",CHAR(10)&amp;"Exp: "&amp;Checks!$X$362&amp;"  /  Act: "&amp;Checks!$Y$362)</f>
        <v/>
      </c>
      <c r="F29" s="112" t="str">
        <f aca="false">IF(Checks!$Z$362="","","Evidence: "&amp;Checks!$Z$362)&amp;IF(Checks!$AA$362="","",IF(Checks!$Z$362="","",CHAR(10))&amp;"CA: "&amp;Checks!$AA$362)</f>
        <v/>
      </c>
      <c r="G29" s="112" t="str">
        <f aca="false">IF(ISNUMBER(Checks!$AD$362),TEXT(Checks!$AD$362,"DD-MMM-YY HH:MM")&amp;" "&amp;Checks!$P$362,"")&amp;IF(Checks!$AE$362="","",CHAR(10)&amp;"Verifier: "&amp;Checks!$AE$362)&amp;IF(Checks!$T$362="","",CHAR(10)&amp;"PIC: "&amp;Checks!$T$362)</f>
        <v/>
      </c>
      <c r="H29" s="113" t="str">
        <f aca="false">IF(Checks!$AH$362="","",Checks!$AH$362)</f>
        <v>OPEN</v>
      </c>
    </row>
    <row r="30" customFormat="false" ht="114" hidden="false" customHeight="true" outlineLevel="0" collapsed="false">
      <c r="A30" s="112" t="str">
        <f aca="false">Checks!$A$363&amp;CHAR(10)&amp;IF(Checks!$I$363="","",Checks!$I$363&amp;": ")&amp;Checks!$J$363</f>
        <v>F11-T7-07
Documents: Galley loading diagram (GLD) received, revision recorded &amp; attached</v>
      </c>
      <c r="B30" s="112" t="str">
        <f aca="false">Checks!$K$363&amp;IF(Checks!$O$363="","",IF(Checks!$K$363="","",CHAR(10))&amp;"Note: "&amp;Checks!$O$363)</f>
        <v>Documents sheet row complete</v>
      </c>
      <c r="C30" s="112" t="str">
        <f aca="false">Checks!$N$363&amp;CHAR(10)&amp;IF(ISNUMBER(Checks!$R$363),TEXT(Checks!$R$363,"DD-MMM-YY HH:MM"),"")&amp;" "&amp;Checks!$P$363</f>
        <v>Required
05-Oct-26 15:50 KUL</v>
      </c>
      <c r="D30" s="112" t="str">
        <f aca="false">IF(Checks!$U$363="","",Checks!$U$363)&amp;IF(Checks!$AB$363="","",CHAR(10)&amp;"CA: "&amp;Checks!$AB$363)</f>
        <v/>
      </c>
      <c r="E30" s="112" t="str">
        <f aca="false">IF(Checks!$V$363="","",Checks!$V$363)&amp;IF(Checks!$AC$363="","",IF(Checks!$V$363="","",CHAR(10))&amp;"N/A just.: "&amp;Checks!$AC$363)&amp;IF(Checks!$W$363="","",CHAR(10)&amp;"Batch: "&amp;Checks!$W$363)&amp;IF(AND(Checks!$X$363="",Checks!$Y$363=""),"",CHAR(10)&amp;"Exp: "&amp;Checks!$X$363&amp;"  /  Act: "&amp;Checks!$Y$363)</f>
        <v/>
      </c>
      <c r="F30" s="112" t="str">
        <f aca="false">IF(Checks!$Z$363="","","Evidence: "&amp;Checks!$Z$363)&amp;IF(Checks!$AA$363="","",IF(Checks!$Z$363="","",CHAR(10))&amp;"CA: "&amp;Checks!$AA$363)</f>
        <v/>
      </c>
      <c r="G30" s="112" t="str">
        <f aca="false">IF(ISNUMBER(Checks!$AD$363),TEXT(Checks!$AD$363,"DD-MMM-YY HH:MM")&amp;" "&amp;Checks!$P$363,"")&amp;IF(Checks!$AE$363="","",CHAR(10)&amp;"Verifier: "&amp;Checks!$AE$363)&amp;IF(Checks!$T$363="","",CHAR(10)&amp;"PIC: "&amp;Checks!$T$363)</f>
        <v/>
      </c>
      <c r="H30" s="113" t="str">
        <f aca="false">IF(Checks!$AH$363="","",Checks!$AH$363)</f>
        <v>OPEN</v>
      </c>
    </row>
    <row r="31" customFormat="false" ht="114" hidden="false" customHeight="true" outlineLevel="0" collapsed="false">
      <c r="A31" s="112" t="str">
        <f aca="false">Checks!$A$364&amp;CHAR(10)&amp;IF(Checks!$I$364="","",Checks!$I$364&amp;": ")&amp;Checks!$J$364</f>
        <v>F11-T7-08
Documents: Menu checklist received, revision recorded &amp; attached</v>
      </c>
      <c r="B31" s="112" t="str">
        <f aca="false">Checks!$K$364&amp;IF(Checks!$O$364="","",IF(Checks!$K$364="","",CHAR(10))&amp;"Note: "&amp;Checks!$O$364)</f>
        <v>Documents sheet row complete</v>
      </c>
      <c r="C31" s="112" t="str">
        <f aca="false">Checks!$N$364&amp;CHAR(10)&amp;IF(ISNUMBER(Checks!$R$364),TEXT(Checks!$R$364,"DD-MMM-YY HH:MM"),"")&amp;" "&amp;Checks!$P$364</f>
        <v>Required
05-Oct-26 15:50 KUL</v>
      </c>
      <c r="D31" s="112" t="str">
        <f aca="false">IF(Checks!$U$364="","",Checks!$U$364)&amp;IF(Checks!$AB$364="","",CHAR(10)&amp;"CA: "&amp;Checks!$AB$364)</f>
        <v/>
      </c>
      <c r="E31" s="112" t="str">
        <f aca="false">IF(Checks!$V$364="","",Checks!$V$364)&amp;IF(Checks!$AC$364="","",IF(Checks!$V$364="","",CHAR(10))&amp;"N/A just.: "&amp;Checks!$AC$364)&amp;IF(Checks!$W$364="","",CHAR(10)&amp;"Batch: "&amp;Checks!$W$364)&amp;IF(AND(Checks!$X$364="",Checks!$Y$364=""),"",CHAR(10)&amp;"Exp: "&amp;Checks!$X$364&amp;"  /  Act: "&amp;Checks!$Y$364)</f>
        <v/>
      </c>
      <c r="F31" s="112" t="str">
        <f aca="false">IF(Checks!$Z$364="","","Evidence: "&amp;Checks!$Z$364)&amp;IF(Checks!$AA$364="","",IF(Checks!$Z$364="","",CHAR(10))&amp;"CA: "&amp;Checks!$AA$364)</f>
        <v/>
      </c>
      <c r="G31" s="112" t="str">
        <f aca="false">IF(ISNUMBER(Checks!$AD$364),TEXT(Checks!$AD$364,"DD-MMM-YY HH:MM")&amp;" "&amp;Checks!$P$364,"")&amp;IF(Checks!$AE$364="","",CHAR(10)&amp;"Verifier: "&amp;Checks!$AE$364)&amp;IF(Checks!$T$364="","",CHAR(10)&amp;"PIC: "&amp;Checks!$T$364)</f>
        <v/>
      </c>
      <c r="H31" s="113" t="str">
        <f aca="false">IF(Checks!$AH$364="","",Checks!$AH$364)</f>
        <v>OPEN</v>
      </c>
    </row>
    <row r="32" customFormat="false" ht="114" hidden="false" customHeight="true" outlineLevel="0" collapsed="false">
      <c r="A32" s="112" t="str">
        <f aca="false">Checks!$A$365&amp;CHAR(10)&amp;IF(Checks!$I$365="","",Checks!$I$365&amp;": ")&amp;Checks!$J$365</f>
        <v>F11-T7-09
Uplift plan: Uplift plan confirmed with caterer vs STD Uplift Information</v>
      </c>
      <c r="B32" s="112" t="str">
        <f aca="false">Checks!$K$365&amp;IF(Checks!$O$365="","",IF(Checks!$K$365="","",CHAR(10))&amp;"Note: "&amp;Checks!$O$365)</f>
        <v>Service: Refreshment (Peanut &amp; Water); meal uplift stn KUL (ref lists KUL)
Note: Return catering uplifted at KUL on the outbound rotation (ref uplift stn = KUL). Confirm aircraft rotation.</v>
      </c>
      <c r="C32" s="112" t="str">
        <f aca="false">Checks!$N$365&amp;CHAR(10)&amp;IF(ISNUMBER(Checks!$R$365),TEXT(Checks!$R$365,"DD-MMM-YY HH:MM"),"")&amp;" "&amp;Checks!$P$365</f>
        <v>Required
05-Oct-26 15:50 KUL</v>
      </c>
      <c r="D32" s="112" t="str">
        <f aca="false">IF(Checks!$U$365="","",Checks!$U$365)&amp;IF(Checks!$AB$365="","",CHAR(10)&amp;"CA: "&amp;Checks!$AB$365)</f>
        <v/>
      </c>
      <c r="E32" s="112" t="str">
        <f aca="false">IF(Checks!$V$365="","",Checks!$V$365)&amp;IF(Checks!$AC$365="","",IF(Checks!$V$365="","",CHAR(10))&amp;"N/A just.: "&amp;Checks!$AC$365)&amp;IF(Checks!$W$365="","",CHAR(10)&amp;"Batch: "&amp;Checks!$W$365)&amp;IF(AND(Checks!$X$365="",Checks!$Y$365=""),"",CHAR(10)&amp;"Exp: "&amp;Checks!$X$365&amp;"  /  Act: "&amp;Checks!$Y$365)</f>
        <v/>
      </c>
      <c r="F32" s="112" t="str">
        <f aca="false">IF(Checks!$Z$365="","","Evidence: "&amp;Checks!$Z$365)&amp;IF(Checks!$AA$365="","",IF(Checks!$Z$365="","",CHAR(10))&amp;"CA: "&amp;Checks!$AA$365)</f>
        <v/>
      </c>
      <c r="G32" s="112" t="str">
        <f aca="false">IF(ISNUMBER(Checks!$AD$365),TEXT(Checks!$AD$365,"DD-MMM-YY HH:MM")&amp;" "&amp;Checks!$P$365,"")&amp;IF(Checks!$AE$365="","",CHAR(10)&amp;"Verifier: "&amp;Checks!$AE$365)&amp;IF(Checks!$T$365="","",CHAR(10)&amp;"PIC: "&amp;Checks!$T$365)</f>
        <v/>
      </c>
      <c r="H32" s="113" t="str">
        <f aca="false">IF(Checks!$AH$365="","",Checks!$AH$365)</f>
        <v>OPEN</v>
      </c>
    </row>
    <row r="33" customFormat="false" ht="223.5" hidden="false" customHeight="true" outlineLevel="0" collapsed="false">
      <c r="A33" s="112" t="str">
        <f aca="false">Checks!$A$366&amp;CHAR(10)&amp;IF(Checks!$I$366="","",Checks!$I$366&amp;": ")&amp;Checks!$J$366</f>
        <v>F11-T7-10
Uplift plan: Carrying flight for this leg's return catering identified and its KUL departure (UTC) entered on Flights col AX</v>
      </c>
      <c r="B33" s="112"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2" t="str">
        <f aca="false">Checks!$N$366&amp;CHAR(10)&amp;IF(ISNUMBER(Checks!$R$366),TEXT(Checks!$R$366,"DD-MMM-YY HH:MM"),"")&amp;" "&amp;Checks!$P$366</f>
        <v>Clarification required
05-Oct-26 15:50 KUL</v>
      </c>
      <c r="D33" s="112" t="str">
        <f aca="false">IF(Checks!$U$366="","",Checks!$U$366)&amp;IF(Checks!$AB$366="","",CHAR(10)&amp;"CA: "&amp;Checks!$AB$366)</f>
        <v/>
      </c>
      <c r="E33" s="112" t="str">
        <f aca="false">IF(Checks!$V$366="","",Checks!$V$366)&amp;IF(Checks!$AC$366="","",IF(Checks!$V$366="","",CHAR(10))&amp;"N/A just.: "&amp;Checks!$AC$366)&amp;IF(Checks!$W$366="","",CHAR(10)&amp;"Batch: "&amp;Checks!$W$366)&amp;IF(AND(Checks!$X$366="",Checks!$Y$366=""),"",CHAR(10)&amp;"Exp: "&amp;Checks!$X$366&amp;"  /  Act: "&amp;Checks!$Y$366)</f>
        <v/>
      </c>
      <c r="F33" s="112" t="str">
        <f aca="false">IF(Checks!$Z$366="","","Evidence: "&amp;Checks!$Z$366)&amp;IF(Checks!$AA$366="","",IF(Checks!$Z$366="","",CHAR(10))&amp;"CA: "&amp;Checks!$AA$366)</f>
        <v/>
      </c>
      <c r="G33" s="112" t="str">
        <f aca="false">IF(ISNUMBER(Checks!$AD$366),TEXT(Checks!$AD$366,"DD-MMM-YY HH:MM")&amp;" "&amp;Checks!$P$366,"")&amp;IF(Checks!$AE$366="","",CHAR(10)&amp;"Verifier: "&amp;Checks!$AE$366)&amp;IF(Checks!$T$366="","",CHAR(10)&amp;"PIC: "&amp;Checks!$T$366)</f>
        <v/>
      </c>
      <c r="H33" s="113" t="str">
        <f aca="false">IF(Checks!$AH$366="","",Checks!$AH$366)</f>
        <v>OPEN – CLARIFICATION</v>
      </c>
    </row>
    <row r="34" customFormat="false" ht="25.5" hidden="false" customHeight="true" outlineLevel="0" collapsed="false">
      <c r="A34" s="111"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1"/>
      <c r="C34" s="111"/>
      <c r="D34" s="111"/>
      <c r="E34" s="111"/>
      <c r="F34" s="111"/>
      <c r="G34" s="111"/>
      <c r="H34" s="111"/>
    </row>
    <row r="35" customFormat="false" ht="114" hidden="false" customHeight="true" outlineLevel="0" collapsed="false">
      <c r="A35" s="112" t="str">
        <f aca="false">Checks!$A$367&amp;CHAR(10)&amp;IF(Checks!$I$367="","",Checks!$I$367&amp;": ")&amp;Checks!$J$367</f>
        <v>F11-T24-01
Meal: Sensory test repeated on ACTUAL production batch for this flight</v>
      </c>
      <c r="B35" s="112" t="str">
        <f aca="false">Checks!$K$367&amp;IF(Checks!$O$367="","",IF(Checks!$K$367="","",CHAR(10))&amp;"Note: "&amp;Checks!$O$367)</f>
        <v>Batch ID, result, CA and acceptance mandatory
Note: Round-trip catered from KUL: due capped at the KUL loading deadline (Flights AY).</v>
      </c>
      <c r="C35" s="112" t="str">
        <f aca="false">Checks!$N$367&amp;CHAR(10)&amp;IF(ISNUMBER(Checks!$R$367),TEXT(Checks!$R$367,"DD-MMM-YY HH:MM"),"")&amp;" "&amp;Checks!$P$367</f>
        <v>Required
11-Oct-26 15:50 KUL</v>
      </c>
      <c r="D35" s="112" t="str">
        <f aca="false">IF(Checks!$U$367="","",Checks!$U$367)&amp;IF(Checks!$AB$367="","",CHAR(10)&amp;"CA: "&amp;Checks!$AB$367)</f>
        <v/>
      </c>
      <c r="E35" s="112" t="str">
        <f aca="false">IF(Checks!$V$367="","",Checks!$V$367)&amp;IF(Checks!$AC$367="","",IF(Checks!$V$367="","",CHAR(10))&amp;"N/A just.: "&amp;Checks!$AC$367)&amp;IF(Checks!$W$367="","",CHAR(10)&amp;"Batch: "&amp;Checks!$W$367)&amp;IF(AND(Checks!$X$367="",Checks!$Y$367=""),"",CHAR(10)&amp;"Exp: "&amp;Checks!$X$367&amp;"  /  Act: "&amp;Checks!$Y$367)</f>
        <v/>
      </c>
      <c r="F35" s="112" t="str">
        <f aca="false">IF(Checks!$Z$367="","","Evidence: "&amp;Checks!$Z$367)&amp;IF(Checks!$AA$367="","",IF(Checks!$Z$367="","",CHAR(10))&amp;"CA: "&amp;Checks!$AA$367)</f>
        <v/>
      </c>
      <c r="G35" s="112" t="str">
        <f aca="false">IF(ISNUMBER(Checks!$AD$367),TEXT(Checks!$AD$367,"DD-MMM-YY HH:MM")&amp;" "&amp;Checks!$P$367,"")&amp;IF(Checks!$AE$367="","",CHAR(10)&amp;"Verifier: "&amp;Checks!$AE$367)&amp;IF(Checks!$T$367="","",CHAR(10)&amp;"PIC: "&amp;Checks!$T$367)</f>
        <v/>
      </c>
      <c r="H35" s="113" t="str">
        <f aca="false">IF(Checks!$AH$367="","",Checks!$AH$367)</f>
        <v>OPEN</v>
      </c>
    </row>
    <row r="36" customFormat="false" ht="25.5" hidden="false" customHeight="true" outlineLevel="0" collapsed="false">
      <c r="A36" s="111"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1"/>
      <c r="C36" s="111"/>
      <c r="D36" s="111"/>
      <c r="E36" s="111"/>
      <c r="F36" s="111"/>
      <c r="G36" s="111"/>
      <c r="H36" s="111"/>
    </row>
    <row r="37" customFormat="false" ht="114" hidden="false" customHeight="true" outlineLevel="0" collapsed="false">
      <c r="A37" s="112" t="str">
        <f aca="false">Checks!$A$368&amp;CHAR(10)&amp;IF(Checks!$I$368="","",Checks!$I$368&amp;": ")&amp;Checks!$J$368</f>
        <v>F11-T12-01
Meal: Meal quality vs menu checklist</v>
      </c>
      <c r="B37" s="112" t="str">
        <f aca="false">Checks!$K$368&amp;IF(Checks!$O$368="","",IF(Checks!$K$368="","",CHAR(10))&amp;"Note: "&amp;Checks!$O$368)</f>
        <v>Note: Preparation check at caterer - does NOT confirm loading. Round-trip catered from KUL: due capped at the KUL loading deadline (Flights AY).</v>
      </c>
      <c r="C37" s="112" t="str">
        <f aca="false">Checks!$N$368&amp;CHAR(10)&amp;IF(ISNUMBER(Checks!$R$368),TEXT(Checks!$R$368,"DD-MMM-YY HH:MM"),"")&amp;" "&amp;Checks!$P$368</f>
        <v>Required
12-Oct-26 03:50 KUL</v>
      </c>
      <c r="D37" s="112" t="str">
        <f aca="false">IF(Checks!$U$368="","",Checks!$U$368)&amp;IF(Checks!$AB$368="","",CHAR(10)&amp;"CA: "&amp;Checks!$AB$368)</f>
        <v/>
      </c>
      <c r="E37" s="112" t="str">
        <f aca="false">IF(Checks!$V$368="","",Checks!$V$368)&amp;IF(Checks!$AC$368="","",IF(Checks!$V$368="","",CHAR(10))&amp;"N/A just.: "&amp;Checks!$AC$368)&amp;IF(Checks!$W$368="","",CHAR(10)&amp;"Batch: "&amp;Checks!$W$368)&amp;IF(AND(Checks!$X$368="",Checks!$Y$368=""),"",CHAR(10)&amp;"Exp: "&amp;Checks!$X$368&amp;"  /  Act: "&amp;Checks!$Y$368)</f>
        <v/>
      </c>
      <c r="F37" s="112" t="str">
        <f aca="false">IF(Checks!$Z$368="","","Evidence: "&amp;Checks!$Z$368)&amp;IF(Checks!$AA$368="","",IF(Checks!$Z$368="","",CHAR(10))&amp;"CA: "&amp;Checks!$AA$368)</f>
        <v/>
      </c>
      <c r="G37" s="112" t="str">
        <f aca="false">IF(ISNUMBER(Checks!$AD$368),TEXT(Checks!$AD$368,"DD-MMM-YY HH:MM")&amp;" "&amp;Checks!$P$368,"")&amp;IF(Checks!$AE$368="","",CHAR(10)&amp;"Verifier: "&amp;Checks!$AE$368)&amp;IF(Checks!$T$368="","",CHAR(10)&amp;"PIC: "&amp;Checks!$T$368)</f>
        <v/>
      </c>
      <c r="H37" s="113" t="str">
        <f aca="false">IF(Checks!$AH$368="","",Checks!$AH$368)</f>
        <v>OPEN</v>
      </c>
    </row>
    <row r="38" customFormat="false" ht="114" hidden="false" customHeight="true" outlineLevel="0" collapsed="false">
      <c r="A38" s="112" t="str">
        <f aca="false">Checks!$A$369&amp;CHAR(10)&amp;IF(Checks!$I$369="","",Checks!$I$369&amp;": ")&amp;Checks!$J$369</f>
        <v>F11-T12-02
Meal: Meal quantities vs menu checklist</v>
      </c>
      <c r="B38" s="112" t="str">
        <f aca="false">Checks!$K$369&amp;IF(Checks!$O$369="","",IF(Checks!$K$369="","",CHAR(10))&amp;"Note: "&amp;Checks!$O$369)</f>
        <v>Enter expected &amp; actual
Note: Preparation check at caterer - does NOT confirm loading. Round-trip catered from KUL: due capped at the KUL loading deadline (Flights AY).</v>
      </c>
      <c r="C38" s="112" t="str">
        <f aca="false">Checks!$N$369&amp;CHAR(10)&amp;IF(ISNUMBER(Checks!$R$369),TEXT(Checks!$R$369,"DD-MMM-YY HH:MM"),"")&amp;" "&amp;Checks!$P$369</f>
        <v>Required
12-Oct-26 03:50 KUL</v>
      </c>
      <c r="D38" s="112" t="str">
        <f aca="false">IF(Checks!$U$369="","",Checks!$U$369)&amp;IF(Checks!$AB$369="","",CHAR(10)&amp;"CA: "&amp;Checks!$AB$369)</f>
        <v/>
      </c>
      <c r="E38" s="112" t="str">
        <f aca="false">IF(Checks!$V$369="","",Checks!$V$369)&amp;IF(Checks!$AC$369="","",IF(Checks!$V$369="","",CHAR(10))&amp;"N/A just.: "&amp;Checks!$AC$369)&amp;IF(Checks!$W$369="","",CHAR(10)&amp;"Batch: "&amp;Checks!$W$369)&amp;IF(AND(Checks!$X$369="",Checks!$Y$369=""),"",CHAR(10)&amp;"Exp: "&amp;Checks!$X$369&amp;"  /  Act: "&amp;Checks!$Y$369)</f>
        <v/>
      </c>
      <c r="F38" s="112" t="str">
        <f aca="false">IF(Checks!$Z$369="","","Evidence: "&amp;Checks!$Z$369)&amp;IF(Checks!$AA$369="","",IF(Checks!$Z$369="","",CHAR(10))&amp;"CA: "&amp;Checks!$AA$369)</f>
        <v/>
      </c>
      <c r="G38" s="112" t="str">
        <f aca="false">IF(ISNUMBER(Checks!$AD$369),TEXT(Checks!$AD$369,"DD-MMM-YY HH:MM")&amp;" "&amp;Checks!$P$369,"")&amp;IF(Checks!$AE$369="","",CHAR(10)&amp;"Verifier: "&amp;Checks!$AE$369)&amp;IF(Checks!$T$369="","",CHAR(10)&amp;"PIC: "&amp;Checks!$T$369)</f>
        <v/>
      </c>
      <c r="H38" s="113" t="str">
        <f aca="false">IF(Checks!$AH$369="","",Checks!$AH$369)</f>
        <v>OPEN</v>
      </c>
    </row>
    <row r="39" customFormat="false" ht="114" hidden="false" customHeight="true" outlineLevel="0" collapsed="false">
      <c r="A39" s="112" t="str">
        <f aca="false">Checks!$A$370&amp;CHAR(10)&amp;IF(Checks!$I$370="","",Checks!$I$370&amp;": ")&amp;Checks!$J$370</f>
        <v>F11-T12-03
Equipment: Equipment cleanliness vs GLD</v>
      </c>
      <c r="B39" s="112" t="str">
        <f aca="false">Checks!$K$370&amp;IF(Checks!$O$370="","",IF(Checks!$K$370="","",CHAR(10))&amp;"Note: "&amp;Checks!$O$370)</f>
        <v>Note: Preparation check at caterer - does NOT confirm loading. Round-trip catered from KUL: due capped at the KUL loading deadline (Flights AY).</v>
      </c>
      <c r="C39" s="112" t="str">
        <f aca="false">Checks!$N$370&amp;CHAR(10)&amp;IF(ISNUMBER(Checks!$R$370),TEXT(Checks!$R$370,"DD-MMM-YY HH:MM"),"")&amp;" "&amp;Checks!$P$370</f>
        <v>Required
12-Oct-26 03:50 KUL</v>
      </c>
      <c r="D39" s="112" t="str">
        <f aca="false">IF(Checks!$U$370="","",Checks!$U$370)&amp;IF(Checks!$AB$370="","",CHAR(10)&amp;"CA: "&amp;Checks!$AB$370)</f>
        <v/>
      </c>
      <c r="E39" s="112" t="str">
        <f aca="false">IF(Checks!$V$370="","",Checks!$V$370)&amp;IF(Checks!$AC$370="","",IF(Checks!$V$370="","",CHAR(10))&amp;"N/A just.: "&amp;Checks!$AC$370)&amp;IF(Checks!$W$370="","",CHAR(10)&amp;"Batch: "&amp;Checks!$W$370)&amp;IF(AND(Checks!$X$370="",Checks!$Y$370=""),"",CHAR(10)&amp;"Exp: "&amp;Checks!$X$370&amp;"  /  Act: "&amp;Checks!$Y$370)</f>
        <v/>
      </c>
      <c r="F39" s="112" t="str">
        <f aca="false">IF(Checks!$Z$370="","","Evidence: "&amp;Checks!$Z$370)&amp;IF(Checks!$AA$370="","",IF(Checks!$Z$370="","",CHAR(10))&amp;"CA: "&amp;Checks!$AA$370)</f>
        <v/>
      </c>
      <c r="G39" s="112" t="str">
        <f aca="false">IF(ISNUMBER(Checks!$AD$370),TEXT(Checks!$AD$370,"DD-MMM-YY HH:MM")&amp;" "&amp;Checks!$P$370,"")&amp;IF(Checks!$AE$370="","",CHAR(10)&amp;"Verifier: "&amp;Checks!$AE$370)&amp;IF(Checks!$T$370="","",CHAR(10)&amp;"PIC: "&amp;Checks!$T$370)</f>
        <v/>
      </c>
      <c r="H39" s="113" t="str">
        <f aca="false">IF(Checks!$AH$370="","",Checks!$AH$370)</f>
        <v>OPEN</v>
      </c>
    </row>
    <row r="40" customFormat="false" ht="114" hidden="false" customHeight="true" outlineLevel="0" collapsed="false">
      <c r="A40" s="112" t="str">
        <f aca="false">Checks!$A$371&amp;CHAR(10)&amp;IF(Checks!$I$371="","",Checks!$I$371&amp;": ")&amp;Checks!$J$371</f>
        <v>F11-T12-04
Equipment: Equipment presentation vs GLD</v>
      </c>
      <c r="B40" s="112" t="str">
        <f aca="false">Checks!$K$371&amp;IF(Checks!$O$371="","",IF(Checks!$K$371="","",CHAR(10))&amp;"Note: "&amp;Checks!$O$371)</f>
        <v>Note: Preparation check at caterer - does NOT confirm loading. Round-trip catered from KUL: due capped at the KUL loading deadline (Flights AY).</v>
      </c>
      <c r="C40" s="112" t="str">
        <f aca="false">Checks!$N$371&amp;CHAR(10)&amp;IF(ISNUMBER(Checks!$R$371),TEXT(Checks!$R$371,"DD-MMM-YY HH:MM"),"")&amp;" "&amp;Checks!$P$371</f>
        <v>Required
12-Oct-26 03:50 KUL</v>
      </c>
      <c r="D40" s="112" t="str">
        <f aca="false">IF(Checks!$U$371="","",Checks!$U$371)&amp;IF(Checks!$AB$371="","",CHAR(10)&amp;"CA: "&amp;Checks!$AB$371)</f>
        <v/>
      </c>
      <c r="E40" s="112" t="str">
        <f aca="false">IF(Checks!$V$371="","",Checks!$V$371)&amp;IF(Checks!$AC$371="","",IF(Checks!$V$371="","",CHAR(10))&amp;"N/A just.: "&amp;Checks!$AC$371)&amp;IF(Checks!$W$371="","",CHAR(10)&amp;"Batch: "&amp;Checks!$W$371)&amp;IF(AND(Checks!$X$371="",Checks!$Y$371=""),"",CHAR(10)&amp;"Exp: "&amp;Checks!$X$371&amp;"  /  Act: "&amp;Checks!$Y$371)</f>
        <v/>
      </c>
      <c r="F40" s="112" t="str">
        <f aca="false">IF(Checks!$Z$371="","","Evidence: "&amp;Checks!$Z$371)&amp;IF(Checks!$AA$371="","",IF(Checks!$Z$371="","",CHAR(10))&amp;"CA: "&amp;Checks!$AA$371)</f>
        <v/>
      </c>
      <c r="G40" s="112" t="str">
        <f aca="false">IF(ISNUMBER(Checks!$AD$371),TEXT(Checks!$AD$371,"DD-MMM-YY HH:MM")&amp;" "&amp;Checks!$P$371,"")&amp;IF(Checks!$AE$371="","",CHAR(10)&amp;"Verifier: "&amp;Checks!$AE$371)&amp;IF(Checks!$T$371="","",CHAR(10)&amp;"PIC: "&amp;Checks!$T$371)</f>
        <v/>
      </c>
      <c r="H40" s="113" t="str">
        <f aca="false">IF(Checks!$AH$371="","",Checks!$AH$371)</f>
        <v>OPEN</v>
      </c>
    </row>
    <row r="41" customFormat="false" ht="114" hidden="false" customHeight="true" outlineLevel="0" collapsed="false">
      <c r="A41" s="112" t="str">
        <f aca="false">Checks!$A$372&amp;CHAR(10)&amp;IF(Checks!$I$372="","",Checks!$I$372&amp;": ")&amp;Checks!$J$372</f>
        <v>F11-T12-05
Equipment: Equipment serviceability vs GLD</v>
      </c>
      <c r="B41" s="112" t="str">
        <f aca="false">Checks!$K$372&amp;IF(Checks!$O$372="","",IF(Checks!$K$372="","",CHAR(10))&amp;"Note: "&amp;Checks!$O$372)</f>
        <v>Note: Preparation check at caterer - does NOT confirm loading. Round-trip catered from KUL: due capped at the KUL loading deadline (Flights AY).</v>
      </c>
      <c r="C41" s="112" t="str">
        <f aca="false">Checks!$N$372&amp;CHAR(10)&amp;IF(ISNUMBER(Checks!$R$372),TEXT(Checks!$R$372,"DD-MMM-YY HH:MM"),"")&amp;" "&amp;Checks!$P$372</f>
        <v>Required
12-Oct-26 03:50 KUL</v>
      </c>
      <c r="D41" s="112" t="str">
        <f aca="false">IF(Checks!$U$372="","",Checks!$U$372)&amp;IF(Checks!$AB$372="","",CHAR(10)&amp;"CA: "&amp;Checks!$AB$372)</f>
        <v/>
      </c>
      <c r="E41" s="112" t="str">
        <f aca="false">IF(Checks!$V$372="","",Checks!$V$372)&amp;IF(Checks!$AC$372="","",IF(Checks!$V$372="","",CHAR(10))&amp;"N/A just.: "&amp;Checks!$AC$372)&amp;IF(Checks!$W$372="","",CHAR(10)&amp;"Batch: "&amp;Checks!$W$372)&amp;IF(AND(Checks!$X$372="",Checks!$Y$372=""),"",CHAR(10)&amp;"Exp: "&amp;Checks!$X$372&amp;"  /  Act: "&amp;Checks!$Y$372)</f>
        <v/>
      </c>
      <c r="F41" s="112" t="str">
        <f aca="false">IF(Checks!$Z$372="","","Evidence: "&amp;Checks!$Z$372)&amp;IF(Checks!$AA$372="","",IF(Checks!$Z$372="","",CHAR(10))&amp;"CA: "&amp;Checks!$AA$372)</f>
        <v/>
      </c>
      <c r="G41" s="112" t="str">
        <f aca="false">IF(ISNUMBER(Checks!$AD$372),TEXT(Checks!$AD$372,"DD-MMM-YY HH:MM")&amp;" "&amp;Checks!$P$372,"")&amp;IF(Checks!$AE$372="","",CHAR(10)&amp;"Verifier: "&amp;Checks!$AE$372)&amp;IF(Checks!$T$372="","",CHAR(10)&amp;"PIC: "&amp;Checks!$T$372)</f>
        <v/>
      </c>
      <c r="H41" s="113" t="str">
        <f aca="false">IF(Checks!$AH$372="","",Checks!$AH$372)</f>
        <v>OPEN</v>
      </c>
    </row>
    <row r="42" customFormat="false" ht="234.75" hidden="false" customHeight="true" outlineLevel="0" collapsed="false">
      <c r="A42" s="112" t="str">
        <f aca="false">Checks!$A$373&amp;CHAR(10)&amp;IF(Checks!$I$373="","",Checks!$I$373&amp;": ")&amp;Checks!$J$373</f>
        <v>F11-T12-06
Equipment: Equipment quantities vs GLD</v>
      </c>
      <c r="B42" s="112"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2" t="str">
        <f aca="false">Checks!$N$373&amp;CHAR(10)&amp;IF(ISNUMBER(Checks!$R$373),TEXT(Checks!$R$373,"DD-MMM-YY HH:MM"),"")&amp;" "&amp;Checks!$P$373</f>
        <v>Required
12-Oct-26 03:50 KUL</v>
      </c>
      <c r="D42" s="112" t="str">
        <f aca="false">IF(Checks!$U$373="","",Checks!$U$373)&amp;IF(Checks!$AB$373="","",CHAR(10)&amp;"CA: "&amp;Checks!$AB$373)</f>
        <v/>
      </c>
      <c r="E42" s="112" t="str">
        <f aca="false">IF(Checks!$V$373="","",Checks!$V$373)&amp;IF(Checks!$AC$373="","",IF(Checks!$V$373="","",CHAR(10))&amp;"N/A just.: "&amp;Checks!$AC$373)&amp;IF(Checks!$W$373="","",CHAR(10)&amp;"Batch: "&amp;Checks!$W$373)&amp;IF(AND(Checks!$X$373="",Checks!$Y$373=""),"",CHAR(10)&amp;"Exp: "&amp;Checks!$X$373&amp;"  /  Act: "&amp;Checks!$Y$373)</f>
        <v/>
      </c>
      <c r="F42" s="112" t="str">
        <f aca="false">IF(Checks!$Z$373="","","Evidence: "&amp;Checks!$Z$373)&amp;IF(Checks!$AA$373="","",IF(Checks!$Z$373="","",CHAR(10))&amp;"CA: "&amp;Checks!$AA$373)</f>
        <v/>
      </c>
      <c r="G42" s="112" t="str">
        <f aca="false">IF(ISNUMBER(Checks!$AD$373),TEXT(Checks!$AD$373,"DD-MMM-YY HH:MM")&amp;" "&amp;Checks!$P$373,"")&amp;IF(Checks!$AE$373="","",CHAR(10)&amp;"Verifier: "&amp;Checks!$AE$373)&amp;IF(Checks!$T$373="","",CHAR(10)&amp;"PIC: "&amp;Checks!$T$373)</f>
        <v/>
      </c>
      <c r="H42" s="113" t="str">
        <f aca="false">IF(Checks!$AH$373="","",Checks!$AH$373)</f>
        <v>OPEN</v>
      </c>
    </row>
    <row r="43" customFormat="false" ht="114" hidden="false" customHeight="true" outlineLevel="0" collapsed="false">
      <c r="A43" s="112" t="str">
        <f aca="false">Checks!$A$374&amp;CHAR(10)&amp;IF(Checks!$I$374="","",Checks!$I$374&amp;": ")&amp;Checks!$J$374</f>
        <v>F11-T12-07
Equipment: Loading positions planned vs GLD</v>
      </c>
      <c r="B43" s="112" t="str">
        <f aca="false">Checks!$K$374&amp;IF(Checks!$O$374="","",IF(Checks!$K$374="","",CHAR(10))&amp;"Note: "&amp;Checks!$O$374)</f>
        <v>Note: Preparation check at caterer - does NOT confirm loading. Round-trip catered from KUL: due capped at the KUL loading deadline (Flights AY).</v>
      </c>
      <c r="C43" s="112" t="str">
        <f aca="false">Checks!$N$374&amp;CHAR(10)&amp;IF(ISNUMBER(Checks!$R$374),TEXT(Checks!$R$374,"DD-MMM-YY HH:MM"),"")&amp;" "&amp;Checks!$P$374</f>
        <v>Required
12-Oct-26 03:50 KUL</v>
      </c>
      <c r="D43" s="112" t="str">
        <f aca="false">IF(Checks!$U$374="","",Checks!$U$374)&amp;IF(Checks!$AB$374="","",CHAR(10)&amp;"CA: "&amp;Checks!$AB$374)</f>
        <v/>
      </c>
      <c r="E43" s="112" t="str">
        <f aca="false">IF(Checks!$V$374="","",Checks!$V$374)&amp;IF(Checks!$AC$374="","",IF(Checks!$V$374="","",CHAR(10))&amp;"N/A just.: "&amp;Checks!$AC$374)&amp;IF(Checks!$W$374="","",CHAR(10)&amp;"Batch: "&amp;Checks!$W$374)&amp;IF(AND(Checks!$X$374="",Checks!$Y$374=""),"",CHAR(10)&amp;"Exp: "&amp;Checks!$X$374&amp;"  /  Act: "&amp;Checks!$Y$374)</f>
        <v/>
      </c>
      <c r="F43" s="112" t="str">
        <f aca="false">IF(Checks!$Z$374="","","Evidence: "&amp;Checks!$Z$374)&amp;IF(Checks!$AA$374="","",IF(Checks!$Z$374="","",CHAR(10))&amp;"CA: "&amp;Checks!$AA$374)</f>
        <v/>
      </c>
      <c r="G43" s="112" t="str">
        <f aca="false">IF(ISNUMBER(Checks!$AD$374),TEXT(Checks!$AD$374,"DD-MMM-YY HH:MM")&amp;" "&amp;Checks!$P$374,"")&amp;IF(Checks!$AE$374="","",CHAR(10)&amp;"Verifier: "&amp;Checks!$AE$374)&amp;IF(Checks!$T$374="","",CHAR(10)&amp;"PIC: "&amp;Checks!$T$374)</f>
        <v/>
      </c>
      <c r="H43" s="113" t="str">
        <f aca="false">IF(Checks!$AH$374="","",Checks!$AH$374)</f>
        <v>OPEN</v>
      </c>
    </row>
    <row r="44" customFormat="false" ht="168.75" hidden="false" customHeight="true" outlineLevel="0" collapsed="false">
      <c r="A44" s="112" t="str">
        <f aca="false">Checks!$A$375&amp;CHAR(10)&amp;IF(Checks!$I$375="","",Checks!$I$375&amp;": ")&amp;Checks!$J$375</f>
        <v>F11-T12-08
Seat Linen: Seat pillow (EY) - prepared</v>
      </c>
      <c r="B44" s="112"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2" t="str">
        <f aca="false">Checks!$N$375&amp;CHAR(10)&amp;IF(ISNUMBER(Checks!$R$375),TEXT(Checks!$R$375,"DD-MMM-YY HH:MM"),"")&amp;" "&amp;Checks!$P$375</f>
        <v>Required
12-Oct-26 03:50 KUL</v>
      </c>
      <c r="D44" s="112" t="str">
        <f aca="false">IF(Checks!$U$375="","",Checks!$U$375)&amp;IF(Checks!$AB$375="","",CHAR(10)&amp;"CA: "&amp;Checks!$AB$375)</f>
        <v/>
      </c>
      <c r="E44" s="112" t="str">
        <f aca="false">IF(Checks!$V$375="","",Checks!$V$375)&amp;IF(Checks!$AC$375="","",IF(Checks!$V$375="","",CHAR(10))&amp;"N/A just.: "&amp;Checks!$AC$375)&amp;IF(Checks!$W$375="","",CHAR(10)&amp;"Batch: "&amp;Checks!$W$375)&amp;IF(AND(Checks!$X$375="",Checks!$Y$375=""),"",CHAR(10)&amp;"Exp: "&amp;Checks!$X$375&amp;"  /  Act: "&amp;Checks!$Y$375)</f>
        <v/>
      </c>
      <c r="F44" s="112" t="str">
        <f aca="false">IF(Checks!$Z$375="","","Evidence: "&amp;Checks!$Z$375)&amp;IF(Checks!$AA$375="","",IF(Checks!$Z$375="","",CHAR(10))&amp;"CA: "&amp;Checks!$AA$375)</f>
        <v/>
      </c>
      <c r="G44" s="112" t="str">
        <f aca="false">IF(ISNUMBER(Checks!$AD$375),TEXT(Checks!$AD$375,"DD-MMM-YY HH:MM")&amp;" "&amp;Checks!$P$375,"")&amp;IF(Checks!$AE$375="","",CHAR(10)&amp;"Verifier: "&amp;Checks!$AE$375)&amp;IF(Checks!$T$375="","",CHAR(10)&amp;"PIC: "&amp;Checks!$T$375)</f>
        <v/>
      </c>
      <c r="H44" s="113" t="str">
        <f aca="false">IF(Checks!$AH$375="","",Checks!$AH$375)</f>
        <v>OPEN</v>
      </c>
    </row>
    <row r="45" customFormat="false" ht="25.5" hidden="false" customHeight="true" outlineLevel="0" collapsed="false">
      <c r="A45" s="111"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1"/>
      <c r="C45" s="111"/>
      <c r="D45" s="111"/>
      <c r="E45" s="111"/>
      <c r="F45" s="111"/>
      <c r="G45" s="111"/>
      <c r="H45" s="111"/>
    </row>
    <row r="46" customFormat="false" ht="114" hidden="false" customHeight="true" outlineLevel="0" collapsed="false">
      <c r="A46" s="112" t="str">
        <f aca="false">Checks!$A$376&amp;CHAR(10)&amp;IF(Checks!$I$376="","",Checks!$I$376&amp;": ")&amp;Checks!$J$376</f>
        <v>F11-UPL-01
Meal: Meals physically uplifted on board - quantity vs menu checklist</v>
      </c>
      <c r="B46" s="112" t="str">
        <f aca="false">Checks!$K$376&amp;IF(Checks!$O$376="","",IF(Checks!$K$376="","",CHAR(10))&amp;"Note: "&amp;Checks!$O$376)</f>
        <v>Enter expected &amp; actual
Note: Confirm on board before departure; completion time must fall inside the uplift window.</v>
      </c>
      <c r="C46" s="112" t="str">
        <f aca="false">Checks!$N$376&amp;CHAR(10)&amp;IF(ISNUMBER(Checks!$R$376),TEXT(Checks!$R$376,"DD-MMM-YY HH:MM"),"")&amp;" "&amp;Checks!$P$376</f>
        <v>Required
12-Oct-26 15:50 PEN</v>
      </c>
      <c r="D46" s="112" t="str">
        <f aca="false">IF(Checks!$U$376="","",Checks!$U$376)&amp;IF(Checks!$AB$376="","",CHAR(10)&amp;"CA: "&amp;Checks!$AB$376)</f>
        <v/>
      </c>
      <c r="E46" s="112" t="str">
        <f aca="false">IF(Checks!$V$376="","",Checks!$V$376)&amp;IF(Checks!$AC$376="","",IF(Checks!$V$376="","",CHAR(10))&amp;"N/A just.: "&amp;Checks!$AC$376)&amp;IF(Checks!$W$376="","",CHAR(10)&amp;"Batch: "&amp;Checks!$W$376)&amp;IF(AND(Checks!$X$376="",Checks!$Y$376=""),"",CHAR(10)&amp;"Exp: "&amp;Checks!$X$376&amp;"  /  Act: "&amp;Checks!$Y$376)</f>
        <v/>
      </c>
      <c r="F46" s="112" t="str">
        <f aca="false">IF(Checks!$Z$376="","","Evidence: "&amp;Checks!$Z$376)&amp;IF(Checks!$AA$376="","",IF(Checks!$Z$376="","",CHAR(10))&amp;"CA: "&amp;Checks!$AA$376)</f>
        <v/>
      </c>
      <c r="G46" s="112" t="str">
        <f aca="false">IF(ISNUMBER(Checks!$AD$376),TEXT(Checks!$AD$376,"DD-MMM-YY HH:MM")&amp;" "&amp;Checks!$P$376,"")&amp;IF(Checks!$AE$376="","",CHAR(10)&amp;"Verifier: "&amp;Checks!$AE$376)&amp;IF(Checks!$T$376="","",CHAR(10)&amp;"PIC: "&amp;Checks!$T$376)</f>
        <v/>
      </c>
      <c r="H46" s="113" t="str">
        <f aca="false">IF(Checks!$AH$376="","",Checks!$AH$376)</f>
        <v>OPEN</v>
      </c>
    </row>
    <row r="47" customFormat="false" ht="114" hidden="false" customHeight="true" outlineLevel="0" collapsed="false">
      <c r="A47" s="112" t="str">
        <f aca="false">Checks!$A$377&amp;CHAR(10)&amp;IF(Checks!$I$377="","",Checks!$I$377&amp;": ")&amp;Checks!$J$377</f>
        <v>F11-UPL-02
Equipment: Equipment physically loaded at GLD positions - quantity &amp; positions</v>
      </c>
      <c r="B47" s="112" t="str">
        <f aca="false">Checks!$K$377&amp;IF(Checks!$O$377="","",IF(Checks!$K$377="","",CHAR(10))&amp;"Note: "&amp;Checks!$O$377)</f>
        <v>Enter expected &amp; actual
Note: Confirm on board before departure; completion time must fall inside the uplift window.</v>
      </c>
      <c r="C47" s="112" t="str">
        <f aca="false">Checks!$N$377&amp;CHAR(10)&amp;IF(ISNUMBER(Checks!$R$377),TEXT(Checks!$R$377,"DD-MMM-YY HH:MM"),"")&amp;" "&amp;Checks!$P$377</f>
        <v>Required
12-Oct-26 15:50 PEN</v>
      </c>
      <c r="D47" s="112" t="str">
        <f aca="false">IF(Checks!$U$377="","",Checks!$U$377)&amp;IF(Checks!$AB$377="","",CHAR(10)&amp;"CA: "&amp;Checks!$AB$377)</f>
        <v/>
      </c>
      <c r="E47" s="112" t="str">
        <f aca="false">IF(Checks!$V$377="","",Checks!$V$377)&amp;IF(Checks!$AC$377="","",IF(Checks!$V$377="","",CHAR(10))&amp;"N/A just.: "&amp;Checks!$AC$377)&amp;IF(Checks!$W$377="","",CHAR(10)&amp;"Batch: "&amp;Checks!$W$377)&amp;IF(AND(Checks!$X$377="",Checks!$Y$377=""),"",CHAR(10)&amp;"Exp: "&amp;Checks!$X$377&amp;"  /  Act: "&amp;Checks!$Y$377)</f>
        <v/>
      </c>
      <c r="F47" s="112" t="str">
        <f aca="false">IF(Checks!$Z$377="","","Evidence: "&amp;Checks!$Z$377)&amp;IF(Checks!$AA$377="","",IF(Checks!$Z$377="","",CHAR(10))&amp;"CA: "&amp;Checks!$AA$377)</f>
        <v/>
      </c>
      <c r="G47" s="112" t="str">
        <f aca="false">IF(ISNUMBER(Checks!$AD$377),TEXT(Checks!$AD$377,"DD-MMM-YY HH:MM")&amp;" "&amp;Checks!$P$377,"")&amp;IF(Checks!$AE$377="","",CHAR(10)&amp;"Verifier: "&amp;Checks!$AE$377)&amp;IF(Checks!$T$377="","",CHAR(10)&amp;"PIC: "&amp;Checks!$T$377)</f>
        <v/>
      </c>
      <c r="H47" s="113" t="str">
        <f aca="false">IF(Checks!$AH$377="","",Checks!$AH$377)</f>
        <v>OPEN</v>
      </c>
    </row>
    <row r="48" customFormat="false" ht="213" hidden="false" customHeight="true" outlineLevel="0" collapsed="false">
      <c r="A48" s="112" t="str">
        <f aca="false">Checks!$A$378&amp;CHAR(10)&amp;IF(Checks!$I$378="","",Checks!$I$378&amp;": ")&amp;Checks!$J$378</f>
        <v>F11-UPL-03
Uplift plan: Return catering for MH1149 physically loaded at KUL on the carrying flight (meals, equipment and all items below)</v>
      </c>
      <c r="B48" s="112"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2" t="str">
        <f aca="false">Checks!$N$378&amp;CHAR(10)&amp;IF(ISNUMBER(Checks!$R$378),TEXT(Checks!$R$378,"DD-MMM-YY HH:MM"),"")&amp;" "&amp;Checks!$P$378</f>
        <v>Required
12-Oct-26 11:45 KUL</v>
      </c>
      <c r="D48" s="112" t="str">
        <f aca="false">IF(Checks!$U$378="","",Checks!$U$378)&amp;IF(Checks!$AB$378="","",CHAR(10)&amp;"CA: "&amp;Checks!$AB$378)</f>
        <v/>
      </c>
      <c r="E48" s="112" t="str">
        <f aca="false">IF(Checks!$V$378="","",Checks!$V$378)&amp;IF(Checks!$AC$378="","",IF(Checks!$V$378="","",CHAR(10))&amp;"N/A just.: "&amp;Checks!$AC$378)&amp;IF(Checks!$W$378="","",CHAR(10)&amp;"Batch: "&amp;Checks!$W$378)&amp;IF(AND(Checks!$X$378="",Checks!$Y$378=""),"",CHAR(10)&amp;"Exp: "&amp;Checks!$X$378&amp;"  /  Act: "&amp;Checks!$Y$378)</f>
        <v/>
      </c>
      <c r="F48" s="112" t="str">
        <f aca="false">IF(Checks!$Z$378="","","Evidence: "&amp;Checks!$Z$378)&amp;IF(Checks!$AA$378="","",IF(Checks!$Z$378="","",CHAR(10))&amp;"CA: "&amp;Checks!$AA$378)</f>
        <v/>
      </c>
      <c r="G48" s="112" t="str">
        <f aca="false">IF(ISNUMBER(Checks!$AD$378),TEXT(Checks!$AD$378,"DD-MMM-YY HH:MM")&amp;" "&amp;Checks!$P$378,"")&amp;IF(Checks!$AE$378="","",CHAR(10)&amp;"Verifier: "&amp;Checks!$AE$378)&amp;IF(Checks!$T$378="","",CHAR(10)&amp;"PIC: "&amp;Checks!$T$378)</f>
        <v/>
      </c>
      <c r="H48" s="113" t="str">
        <f aca="false">IF(Checks!$AH$378="","",Checks!$AH$378)</f>
        <v>OPEN</v>
      </c>
    </row>
    <row r="49" customFormat="false" ht="114" hidden="false" customHeight="true" outlineLevel="0" collapsed="false">
      <c r="A49" s="112" t="str">
        <f aca="false">Checks!$A$379&amp;CHAR(10)&amp;IF(Checks!$I$379="","",Checks!$I$379&amp;": ")&amp;Checks!$J$379</f>
        <v>F11-UPL-04
Seat Linen: Seat pillow (EY) - on board</v>
      </c>
      <c r="B49" s="112" t="str">
        <f aca="false">Checks!$K$379&amp;IF(Checks!$O$379="","",IF(Checks!$K$379="","",CHAR(10))&amp;"Note: "&amp;Checks!$O$379)</f>
        <v>Available 100% (ticked in reference)</v>
      </c>
      <c r="C49" s="112" t="str">
        <f aca="false">Checks!$N$379&amp;CHAR(10)&amp;IF(ISNUMBER(Checks!$R$379),TEXT(Checks!$R$379,"DD-MMM-YY HH:MM"),"")&amp;" "&amp;Checks!$P$379</f>
        <v>Required
12-Oct-26 15:50 PEN</v>
      </c>
      <c r="D49" s="112" t="str">
        <f aca="false">IF(Checks!$U$379="","",Checks!$U$379)&amp;IF(Checks!$AB$379="","",CHAR(10)&amp;"CA: "&amp;Checks!$AB$379)</f>
        <v/>
      </c>
      <c r="E49" s="112" t="str">
        <f aca="false">IF(Checks!$V$379="","",Checks!$V$379)&amp;IF(Checks!$AC$379="","",IF(Checks!$V$379="","",CHAR(10))&amp;"N/A just.: "&amp;Checks!$AC$379)&amp;IF(Checks!$W$379="","",CHAR(10)&amp;"Batch: "&amp;Checks!$W$379)&amp;IF(AND(Checks!$X$379="",Checks!$Y$379=""),"",CHAR(10)&amp;"Exp: "&amp;Checks!$X$379&amp;"  /  Act: "&amp;Checks!$Y$379)</f>
        <v/>
      </c>
      <c r="F49" s="112" t="str">
        <f aca="false">IF(Checks!$Z$379="","","Evidence: "&amp;Checks!$Z$379)&amp;IF(Checks!$AA$379="","",IF(Checks!$Z$379="","",CHAR(10))&amp;"CA: "&amp;Checks!$AA$379)</f>
        <v/>
      </c>
      <c r="G49" s="112" t="str">
        <f aca="false">IF(ISNUMBER(Checks!$AD$379),TEXT(Checks!$AD$379,"DD-MMM-YY HH:MM")&amp;" "&amp;Checks!$P$379,"")&amp;IF(Checks!$AE$379="","",CHAR(10)&amp;"Verifier: "&amp;Checks!$AE$379)&amp;IF(Checks!$T$379="","",CHAR(10)&amp;"PIC: "&amp;Checks!$T$379)</f>
        <v/>
      </c>
      <c r="H49" s="113" t="str">
        <f aca="false">IF(Checks!$AH$379="","",Checks!$AH$379)</f>
        <v>OPEN</v>
      </c>
    </row>
    <row r="51" customFormat="false" ht="24" hidden="false" customHeight="true" outlineLevel="0" collapsed="false">
      <c r="A51" s="114" t="s">
        <v>1647</v>
      </c>
      <c r="B51" s="114"/>
      <c r="C51" s="114"/>
      <c r="D51" s="114"/>
      <c r="E51" s="114" t="s">
        <v>1648</v>
      </c>
      <c r="F51" s="114"/>
      <c r="G51" s="114"/>
      <c r="H51" s="114"/>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49">
    <cfRule type="expression" priority="17" aboveAverage="0" equalAverage="0" bottom="0" percent="0" rank="0" text="" dxfId="34">
      <formula>LEFT($H24,3)="N/A"</formula>
    </cfRule>
  </conditionalFormatting>
  <conditionalFormatting sqref="D24:D4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F12  "&amp;Flights!$F$16&amp;"  "&amp;TEXT(Flights!$D$16,"DD-MMM-YY")&amp;" ("&amp;Flights!$E$16&amp;")  "&amp;Flights!$G$16&amp;" → "&amp;Flights!$H$16&amp;"  |  Class "&amp;Flights!$K$16</f>
        <v>SKYTRAX 2026 CATERING READINESS CHECKLIST  |  F12  MH0139  12-Oct-26 (MON)  KUL → ADL  |  Class BC</v>
      </c>
      <c r="B1" s="90"/>
      <c r="C1" s="90"/>
      <c r="D1" s="90"/>
      <c r="E1" s="90"/>
      <c r="F1" s="90"/>
      <c r="G1" s="90"/>
      <c r="H1" s="90"/>
    </row>
    <row r="2" customFormat="false" ht="12.75" hidden="false" customHeight="true" outlineLevel="0" collapsed="false">
      <c r="A2" s="91" t="s">
        <v>1602</v>
      </c>
      <c r="B2" s="92" t="str">
        <f aca="false">Flights!$F$16&amp;"   "&amp;TEXT(Flights!$D$16,"DD-MMM-YY")&amp;" ("&amp;Flights!$E$16&amp;")"</f>
        <v>MH0139   12-Oct-26 (MON)</v>
      </c>
      <c r="C2" s="92"/>
      <c r="D2" s="92"/>
      <c r="E2" s="93" t="s">
        <v>1603</v>
      </c>
      <c r="F2" s="94" t="str">
        <f aca="false">Flights!$AT$16</f>
        <v>NOT READY – DOCUMENTS</v>
      </c>
      <c r="G2" s="94"/>
      <c r="H2" s="94"/>
    </row>
    <row r="3" customFormat="false" ht="24" hidden="false" customHeight="true" outlineLevel="0" collapsed="false">
      <c r="A3" s="91" t="s">
        <v>1604</v>
      </c>
      <c r="B3" s="92" t="str">
        <f aca="false">Flights!$G$16&amp;" → "&amp;Flights!$H$16&amp;"   Class "&amp;Flights!$K$16&amp;"   Seat "&amp;Flights!$O$16</f>
        <v>KUL → ADL   Class BC   Seat 1K</v>
      </c>
      <c r="C3" s="92"/>
      <c r="D3" s="92"/>
      <c r="E3" s="93" t="s">
        <v>66</v>
      </c>
      <c r="F3" s="93" t="s">
        <v>1605</v>
      </c>
      <c r="G3" s="93" t="s">
        <v>1606</v>
      </c>
      <c r="H3" s="93"/>
    </row>
    <row r="4" customFormat="false" ht="24" hidden="false" customHeight="true" outlineLevel="0" collapsed="false">
      <c r="A4" s="91" t="s">
        <v>1607</v>
      </c>
      <c r="B4" s="92" t="str">
        <f aca="false">IF(ISNUMBER(Flights!$I$16),TEXT(Flights!$I$16,"DD-MMM-YY HH:MM"),"")&amp;" "&amp;Flights!$G$16&amp;"  →  "&amp;IF(ISNUMBER(Flights!$J$16),TEXT(Flights!$J$16,"DD-MMM-YY HH:MM"),"")&amp;" "&amp;Flights!$H$16</f>
        <v>12-Oct-26 22:25 KUL  →  13-Oct-26 08:00 ADL</v>
      </c>
      <c r="C4" s="92"/>
      <c r="D4" s="92"/>
      <c r="E4" s="91" t="s">
        <v>1608</v>
      </c>
      <c r="F4" s="95" t="str">
        <f aca="false">IF(ISNUMBER(Flights!$AG$16),TEXT(Flights!$AG$16,"DD-MMM-YY HH:MM"),"")&amp;" "&amp;Flights!$V$16</f>
        <v>05-Oct-26 22:25 KUL</v>
      </c>
      <c r="G4" s="96" t="n">
        <f aca="false">Flights!$AJ$16</f>
        <v>0</v>
      </c>
      <c r="H4" s="96"/>
    </row>
    <row r="5" customFormat="false" ht="24" hidden="false" customHeight="true" outlineLevel="0" collapsed="false">
      <c r="A5" s="91" t="s">
        <v>1609</v>
      </c>
      <c r="B5" s="92" t="str">
        <f aca="false">Flights!$L$16&amp;" – "&amp;Flights!$M$16</f>
        <v>A339 – A330-900 (A339)</v>
      </c>
      <c r="C5" s="92"/>
      <c r="D5" s="92"/>
      <c r="E5" s="91" t="s">
        <v>1610</v>
      </c>
      <c r="F5" s="95" t="str">
        <f aca="false">IF(ISNUMBER(Flights!$AH$16),TEXT(Flights!$AH$16,"DD-MMM-YY HH:MM"),"")&amp;" "&amp;Flights!$V$16</f>
        <v>11-Oct-26 22:25 KUL</v>
      </c>
      <c r="G5" s="96" t="n">
        <f aca="false">Flights!$AK$16</f>
        <v>0</v>
      </c>
      <c r="H5" s="96"/>
    </row>
    <row r="6" customFormat="false" ht="24" hidden="false" customHeight="true" outlineLevel="0" collapsed="false">
      <c r="A6" s="91" t="s">
        <v>1611</v>
      </c>
      <c r="B6" s="92" t="str">
        <f aca="false">IF(TRIM(Flights!$N$16)="","__________________",Flights!$N$16)</f>
        <v>__________________</v>
      </c>
      <c r="C6" s="92"/>
      <c r="D6" s="92"/>
      <c r="E6" s="91" t="s">
        <v>1612</v>
      </c>
      <c r="F6" s="95" t="str">
        <f aca="false">IF(ISNUMBER(Flights!$AI$16),TEXT(Flights!$AI$16,"DD-MMM-YY HH:MM"),"")&amp;" "&amp;Flights!$V$16&amp;IF(Flights!$AI$16=Flights!$AH$16,"  (= T-24H due)","")</f>
        <v>12-Oct-26 10:25 KUL</v>
      </c>
      <c r="G6" s="96" t="n">
        <f aca="false">Flights!$AL$16</f>
        <v>0</v>
      </c>
      <c r="H6" s="96"/>
    </row>
    <row r="7" customFormat="false" ht="24" hidden="false" customHeight="true" outlineLevel="0" collapsed="false">
      <c r="A7" s="91" t="s">
        <v>1613</v>
      </c>
      <c r="B7" s="92" t="str">
        <f aca="false">Flights!$T$16</f>
        <v>1.5 Meal (Meal)</v>
      </c>
      <c r="C7" s="92"/>
      <c r="D7" s="92"/>
      <c r="E7" s="91" t="s">
        <v>1614</v>
      </c>
      <c r="F7" s="95" t="str">
        <f aca="false">"STD "&amp;IF(ISNUMBER(Flights!$I$16),TEXT(Flights!$I$16,"DD-MMM-YY HH:MM"),"")&amp;" "&amp;Flights!$G$16&amp;" (dep stn)"</f>
        <v>STD 12-Oct-26 22:25 KUL (dep stn)</v>
      </c>
      <c r="G7" s="96" t="n">
        <f aca="false">Flights!$AM$16</f>
        <v>0</v>
      </c>
      <c r="H7" s="96"/>
    </row>
    <row r="8" customFormat="false" ht="12.75" hidden="false" customHeight="true" outlineLevel="0" collapsed="false">
      <c r="A8" s="91" t="s">
        <v>148</v>
      </c>
      <c r="B8" s="92" t="str">
        <f aca="false">Flights!$V$16&amp;"   (reference uplift stns: "&amp;Flights!$U$16&amp;")"</f>
        <v>KUL   (reference uplift stns: KUL/ADL)</v>
      </c>
      <c r="C8" s="92"/>
      <c r="D8" s="92"/>
      <c r="E8" s="91" t="s">
        <v>1615</v>
      </c>
      <c r="F8" s="97" t="s">
        <v>1616</v>
      </c>
      <c r="G8" s="96" t="n">
        <f aca="false">Flights!$AN$16</f>
        <v>0</v>
      </c>
      <c r="H8" s="96"/>
    </row>
    <row r="9" customFormat="false" ht="12.75" hidden="false" customHeight="true" outlineLevel="0" collapsed="false">
      <c r="A9" s="91" t="s">
        <v>1617</v>
      </c>
      <c r="B9" s="92" t="str">
        <f aca="false">TRIM(Flights!$P$16&amp;"  "&amp;Flights!$Q$16)</f>
        <v>5H 30M Overnight ADL</v>
      </c>
      <c r="C9" s="92"/>
      <c r="D9" s="92"/>
      <c r="E9" s="91" t="s">
        <v>1618</v>
      </c>
      <c r="F9" s="98" t="n">
        <f aca="false">Flights!$AP$16</f>
        <v>0</v>
      </c>
      <c r="G9" s="98" t="n">
        <f aca="false">Flights!$AQ$16</f>
        <v>0</v>
      </c>
      <c r="H9" s="98" t="n">
        <f aca="false">Flights!$AU$16</f>
        <v>0</v>
      </c>
    </row>
    <row r="10" customFormat="false" ht="24" hidden="false" customHeight="true" outlineLevel="0" collapsed="false">
      <c r="A10" s="91" t="s">
        <v>1619</v>
      </c>
      <c r="B10" s="92" t="str">
        <f aca="false">IF(TRIM(Flights!$X$16)="","__________________",Flights!$X$16)</f>
        <v>__________________</v>
      </c>
      <c r="C10" s="92"/>
      <c r="D10" s="92"/>
      <c r="E10" s="91" t="s">
        <v>1620</v>
      </c>
      <c r="F10" s="98" t="n">
        <f aca="false">Flights!$AO$16</f>
        <v>47</v>
      </c>
      <c r="G10" s="98" t="n">
        <f aca="false">Flights!$AS$16</f>
        <v>0</v>
      </c>
      <c r="H10" s="98" t="n">
        <f aca="false">Flights!$AR$16</f>
        <v>2</v>
      </c>
    </row>
    <row r="11" customFormat="false" ht="21" hidden="false" customHeight="true" outlineLevel="0" collapsed="false">
      <c r="A11" s="91" t="s">
        <v>1621</v>
      </c>
      <c r="B11" s="92" t="str">
        <f aca="false">IF(TRIM(Flights!$Y$16)="","__________________",Flights!$Y$16)</f>
        <v>__________________</v>
      </c>
      <c r="C11" s="92"/>
      <c r="D11" s="92"/>
      <c r="E11" s="91" t="s">
        <v>1622</v>
      </c>
      <c r="F11" s="98" t="str">
        <f aca="false">Flights!$AV$16&amp;" / "&amp;Flights!$AW$16</f>
        <v>0 / 47</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IF(Documents!$F$16="","",Documents!$F$16)</f>
        <v/>
      </c>
      <c r="C14" s="97" t="str">
        <f aca="false">IF(Documents!$G$16="","",Documents!$G$16)&amp;IF(ISNUMBER(Documents!$H$16),"  "&amp;TEXT(Documents!$H$16,"DD-MMM-YY"),"")</f>
        <v/>
      </c>
      <c r="D14" s="97"/>
      <c r="E14" s="105" t="str">
        <f aca="false">IF(Documents!$J$16="OUTSTANDING","OUTSTANDING – attach before T-7D (due "&amp;IF(ISNUMBER(Flights!$AG$16),TEXT(Flights!$AG$16,"DD-MMM-YY HH:MM"),"")&amp;" "&amp;Flights!$V$16&amp;")",IF(Documents!$J$16="","Status not recorded",Documents!$J$16))</f>
        <v>OUTSTANDING – attach before T-7D (due 05-Oct-26 22:25 KUL)</v>
      </c>
      <c r="F14" s="106" t="str">
        <f aca="false">"Staple behind this sheet as page A1."&amp;IF(Documents!$I$16="",""," Location: "&amp;Documents!$I$16)</f>
        <v>Staple behind this sheet as page A1.</v>
      </c>
      <c r="G14" s="106"/>
      <c r="H14" s="106"/>
    </row>
    <row r="15" customFormat="false" ht="36" hidden="false" customHeight="true" outlineLevel="0" collapsed="false">
      <c r="A15" s="91" t="s">
        <v>1633</v>
      </c>
      <c r="B15" s="92" t="str">
        <f aca="false">IF(Documents!$K$16="","",Documents!$K$16)</f>
        <v/>
      </c>
      <c r="C15" s="97" t="str">
        <f aca="false">IF(Documents!$L$16="","",Documents!$L$16)&amp;IF(ISNUMBER(Documents!$M$16),"  "&amp;TEXT(Documents!$M$16,"DD-MMM-YY"),"")</f>
        <v/>
      </c>
      <c r="D15" s="97"/>
      <c r="E15" s="105" t="str">
        <f aca="false">IF(Documents!$O$16="OUTSTANDING","OUTSTANDING – attach before T-7D (due "&amp;IF(ISNUMBER(Flights!$AG$16),TEXT(Flights!$AG$16,"DD-MMM-YY HH:MM"),"")&amp;" "&amp;Flights!$V$16&amp;")",IF(Documents!$O$16="","Status not recorded",Documents!$O$16))</f>
        <v>OUTSTANDING – attach before T-7D (due 05-Oct-26 22:25 KUL)</v>
      </c>
      <c r="F15" s="106" t="str">
        <f aca="false">"Staple behind this sheet as page A2."&amp;IF(Documents!$N$16="",""," Location: "&amp;Documents!$N$16)</f>
        <v>Staple behind this sheet as page A2.</v>
      </c>
      <c r="G15" s="106"/>
      <c r="H15" s="106"/>
    </row>
    <row r="16" customFormat="false" ht="22.5" hidden="false" customHeight="true" outlineLevel="0" collapsed="false">
      <c r="A16" s="91" t="s">
        <v>1634</v>
      </c>
      <c r="B16" s="107" t="str">
        <f aca="false">IF(Documents!$Q$16="","",Documents!$Q$16)</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"&amp;IF(TRIM(Flights!$Y$16)="","__________________",Flights!$Y$16)</f>
        <v>Name: __________________</v>
      </c>
      <c r="B18" s="92"/>
      <c r="C18" s="92" t="str">
        <f aca="false">"Name: __________________"</f>
        <v>Name: __________________</v>
      </c>
      <c r="D18" s="92"/>
      <c r="E18" s="92"/>
      <c r="F18" s="92" t="str">
        <f aca="false">"Name: __________________"&amp;"   Station: "&amp;Flights!$V$16</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Checks!$A$380&amp;CHAR(10)&amp;IF(Checks!$I$380="","",Checks!$I$380&amp;": ")&amp;Checks!$J$380</f>
        <v>F12-T7-01
Meal: Meal sensory testing completed for this flight's menu cycle (assessed class)</v>
      </c>
      <c r="B23" s="112" t="str">
        <f aca="false">Checks!$K$380&amp;IF(Checks!$O$380="","",IF(Checks!$K$380="","",CHAR(10))&amp;"Note: "&amp;Checks!$O$380)</f>
        <v>Record panel result / score in Result</v>
      </c>
      <c r="C23" s="112" t="str">
        <f aca="false">Checks!$N$380&amp;CHAR(10)&amp;IF(ISNUMBER(Checks!$R$380),TEXT(Checks!$R$380,"DD-MMM-YY HH:MM"),"")&amp;" "&amp;Checks!$P$380</f>
        <v>Required
05-Oct-26 22:25 KUL</v>
      </c>
      <c r="D23" s="112" t="str">
        <f aca="false">IF(Checks!$U$380="","",Checks!$U$380)&amp;IF(Checks!$AB$380="","",CHAR(10)&amp;"CA: "&amp;Checks!$AB$380)</f>
        <v/>
      </c>
      <c r="E23" s="112" t="str">
        <f aca="false">IF(Checks!$V$380="","",Checks!$V$380)&amp;IF(Checks!$AC$380="","",IF(Checks!$V$380="","",CHAR(10))&amp;"N/A just.: "&amp;Checks!$AC$380)&amp;IF(Checks!$W$380="","",CHAR(10)&amp;"Batch: "&amp;Checks!$W$380)&amp;IF(AND(Checks!$X$380="",Checks!$Y$380=""),"",CHAR(10)&amp;"Exp: "&amp;Checks!$X$380&amp;"  /  Act: "&amp;Checks!$Y$380)</f>
        <v/>
      </c>
      <c r="F23" s="112" t="str">
        <f aca="false">IF(Checks!$Z$380="","","Evidence: "&amp;Checks!$Z$380)&amp;IF(Checks!$AA$380="","",IF(Checks!$Z$380="","",CHAR(10))&amp;"CA: "&amp;Checks!$AA$380)</f>
        <v/>
      </c>
      <c r="G23" s="112" t="str">
        <f aca="false">IF(ISNUMBER(Checks!$AD$380),TEXT(Checks!$AD$380,"DD-MMM-YY HH:MM")&amp;" "&amp;Checks!$P$380,"")&amp;IF(Checks!$AE$380="","",CHAR(10)&amp;"Verifier: "&amp;Checks!$AE$380)&amp;IF(Checks!$T$380="","",CHAR(10)&amp;"PIC: "&amp;Checks!$T$380)</f>
        <v/>
      </c>
      <c r="H23" s="113" t="str">
        <f aca="false">IF(Checks!$AH$380="","",Checks!$AH$380)</f>
        <v>OPEN</v>
      </c>
    </row>
    <row r="24" customFormat="false" ht="114" hidden="false" customHeight="true" outlineLevel="0" collapsed="false">
      <c r="A24" s="112" t="str">
        <f aca="false">Checks!$A$381&amp;CHAR(10)&amp;IF(Checks!$I$381="","",Checks!$I$381&amp;": ")&amp;Checks!$J$381</f>
        <v>F12-T7-02
Menu: Printed menu cards confirmed (content, cycle, language, quantity)</v>
      </c>
      <c r="B24" s="112" t="str">
        <f aca="false">Checks!$K$381&amp;IF(Checks!$O$381="","",IF(Checks!$K$381="","",CHAR(10))&amp;"Note: "&amp;Checks!$O$381)</f>
        <v>Menu card matches approved menu for this flight</v>
      </c>
      <c r="C24" s="112" t="str">
        <f aca="false">Checks!$N$381&amp;CHAR(10)&amp;IF(ISNUMBER(Checks!$R$381),TEXT(Checks!$R$381,"DD-MMM-YY HH:MM"),"")&amp;" "&amp;Checks!$P$381</f>
        <v>Required
05-Oct-26 22:25 KUL</v>
      </c>
      <c r="D24" s="112" t="str">
        <f aca="false">IF(Checks!$U$381="","",Checks!$U$381)&amp;IF(Checks!$AB$381="","",CHAR(10)&amp;"CA: "&amp;Checks!$AB$381)</f>
        <v/>
      </c>
      <c r="E24" s="112" t="str">
        <f aca="false">IF(Checks!$V$381="","",Checks!$V$381)&amp;IF(Checks!$AC$381="","",IF(Checks!$V$381="","",CHAR(10))&amp;"N/A just.: "&amp;Checks!$AC$381)&amp;IF(Checks!$W$381="","",CHAR(10)&amp;"Batch: "&amp;Checks!$W$381)&amp;IF(AND(Checks!$X$381="",Checks!$Y$381=""),"",CHAR(10)&amp;"Exp: "&amp;Checks!$X$381&amp;"  /  Act: "&amp;Checks!$Y$381)</f>
        <v/>
      </c>
      <c r="F24" s="112" t="str">
        <f aca="false">IF(Checks!$Z$381="","","Evidence: "&amp;Checks!$Z$381)&amp;IF(Checks!$AA$381="","",IF(Checks!$Z$381="","",CHAR(10))&amp;"CA: "&amp;Checks!$AA$381)</f>
        <v/>
      </c>
      <c r="G24" s="112" t="str">
        <f aca="false">IF(ISNUMBER(Checks!$AD$381),TEXT(Checks!$AD$381,"DD-MMM-YY HH:MM")&amp;" "&amp;Checks!$P$381,"")&amp;IF(Checks!$AE$381="","",CHAR(10)&amp;"Verifier: "&amp;Checks!$AE$381)&amp;IF(Checks!$T$381="","",CHAR(10)&amp;"PIC: "&amp;Checks!$T$381)</f>
        <v/>
      </c>
      <c r="H24" s="113" t="str">
        <f aca="false">IF(Checks!$AH$381="","",Checks!$AH$381)</f>
        <v>OPEN</v>
      </c>
    </row>
    <row r="25" customFormat="false" ht="114" hidden="false" customHeight="true" outlineLevel="0" collapsed="false">
      <c r="A25" s="112" t="str">
        <f aca="false">Checks!$A$382&amp;CHAR(10)&amp;IF(Checks!$I$382="","",Checks!$I$382&amp;": ")&amp;Checks!$J$382</f>
        <v>F12-T7-03
IFE: Digital menu in IFE confirmed (A339 only)</v>
      </c>
      <c r="B25" s="112" t="str">
        <f aca="false">Checks!$K$382&amp;IF(Checks!$O$382="","",IF(Checks!$K$382="","",CHAR(10))&amp;"Note: "&amp;Checks!$O$382)</f>
        <v>Applies when fleet = A339
Note: Digital IFE menu applies to A339 only (user brief). Applicability follows the Fleet cell on Flights.</v>
      </c>
      <c r="C25" s="112" t="str">
        <f aca="false">Checks!$N$382&amp;CHAR(10)&amp;IF(ISNUMBER(Checks!$R$382),TEXT(Checks!$R$382,"DD-MMM-YY HH:MM"),"")&amp;" "&amp;Checks!$P$382</f>
        <v>Required
05-Oct-26 22:25 KUL</v>
      </c>
      <c r="D25" s="112" t="str">
        <f aca="false">IF(Checks!$U$382="","",Checks!$U$382)&amp;IF(Checks!$AB$382="","",CHAR(10)&amp;"CA: "&amp;Checks!$AB$382)</f>
        <v/>
      </c>
      <c r="E25" s="112" t="str">
        <f aca="false">IF(Checks!$V$382="","",Checks!$V$382)&amp;IF(Checks!$AC$382="","",IF(Checks!$V$382="","",CHAR(10))&amp;"N/A just.: "&amp;Checks!$AC$382)&amp;IF(Checks!$W$382="","",CHAR(10)&amp;"Batch: "&amp;Checks!$W$382)&amp;IF(AND(Checks!$X$382="",Checks!$Y$382=""),"",CHAR(10)&amp;"Exp: "&amp;Checks!$X$382&amp;"  /  Act: "&amp;Checks!$Y$382)</f>
        <v/>
      </c>
      <c r="F25" s="112" t="str">
        <f aca="false">IF(Checks!$Z$382="","","Evidence: "&amp;Checks!$Z$382)&amp;IF(Checks!$AA$382="","",IF(Checks!$Z$382="","",CHAR(10))&amp;"CA: "&amp;Checks!$AA$382)</f>
        <v/>
      </c>
      <c r="G25" s="112" t="str">
        <f aca="false">IF(ISNUMBER(Checks!$AD$382),TEXT(Checks!$AD$382,"DD-MMM-YY HH:MM")&amp;" "&amp;Checks!$P$382,"")&amp;IF(Checks!$AE$382="","",CHAR(10)&amp;"Verifier: "&amp;Checks!$AE$382)&amp;IF(Checks!$T$382="","",CHAR(10)&amp;"PIC: "&amp;Checks!$T$382)</f>
        <v/>
      </c>
      <c r="H25" s="113" t="str">
        <f aca="false">IF(Checks!$AH$382="","",Checks!$AH$382)</f>
        <v>OPEN</v>
      </c>
    </row>
    <row r="26" customFormat="false" ht="114" hidden="false" customHeight="true" outlineLevel="0" collapsed="false">
      <c r="A26" s="112" t="str">
        <f aca="false">Checks!$A$383&amp;CHAR(10)&amp;IF(Checks!$I$383="","",Checks!$I$383&amp;": ")&amp;Checks!$J$383</f>
        <v>F12-T7-04
Staffing: Experienced catering officer assigned to this flight</v>
      </c>
      <c r="B26" s="112" t="str">
        <f aca="false">Checks!$K$383&amp;IF(Checks!$O$383="","",IF(Checks!$K$383="","",CHAR(10))&amp;"Note: "&amp;Checks!$O$383)</f>
        <v>Record officer name in Result</v>
      </c>
      <c r="C26" s="112" t="str">
        <f aca="false">Checks!$N$383&amp;CHAR(10)&amp;IF(ISNUMBER(Checks!$R$383),TEXT(Checks!$R$383,"DD-MMM-YY HH:MM"),"")&amp;" "&amp;Checks!$P$383</f>
        <v>Required
05-Oct-26 22:25 KUL</v>
      </c>
      <c r="D26" s="112" t="str">
        <f aca="false">IF(Checks!$U$383="","",Checks!$U$383)&amp;IF(Checks!$AB$383="","",CHAR(10)&amp;"CA: "&amp;Checks!$AB$383)</f>
        <v/>
      </c>
      <c r="E26" s="112" t="str">
        <f aca="false">IF(Checks!$V$383="","",Checks!$V$383)&amp;IF(Checks!$AC$383="","",IF(Checks!$V$383="","",CHAR(10))&amp;"N/A just.: "&amp;Checks!$AC$383)&amp;IF(Checks!$W$383="","",CHAR(10)&amp;"Batch: "&amp;Checks!$W$383)&amp;IF(AND(Checks!$X$383="",Checks!$Y$383=""),"",CHAR(10)&amp;"Exp: "&amp;Checks!$X$383&amp;"  /  Act: "&amp;Checks!$Y$383)</f>
        <v/>
      </c>
      <c r="F26" s="112" t="str">
        <f aca="false">IF(Checks!$Z$383="","","Evidence: "&amp;Checks!$Z$383)&amp;IF(Checks!$AA$383="","",IF(Checks!$Z$383="","",CHAR(10))&amp;"CA: "&amp;Checks!$AA$383)</f>
        <v/>
      </c>
      <c r="G26" s="112" t="str">
        <f aca="false">IF(ISNUMBER(Checks!$AD$383),TEXT(Checks!$AD$383,"DD-MMM-YY HH:MM")&amp;" "&amp;Checks!$P$383,"")&amp;IF(Checks!$AE$383="","",CHAR(10)&amp;"Verifier: "&amp;Checks!$AE$383)&amp;IF(Checks!$T$383="","",CHAR(10)&amp;"PIC: "&amp;Checks!$T$383)</f>
        <v/>
      </c>
      <c r="H26" s="113" t="str">
        <f aca="false">IF(Checks!$AH$383="","",Checks!$AH$383)</f>
        <v>OPEN</v>
      </c>
    </row>
    <row r="27" customFormat="false" ht="114" hidden="false" customHeight="true" outlineLevel="0" collapsed="false">
      <c r="A27" s="112" t="str">
        <f aca="false">Checks!$A$384&amp;CHAR(10)&amp;IF(Checks!$I$384="","",Checks!$I$384&amp;": ")&amp;Checks!$J$384</f>
        <v>F12-T7-05
ISOP: All latest applicable ISOP revisions communicated to caterer</v>
      </c>
      <c r="B27" s="112" t="str">
        <f aca="false">Checks!$K$384&amp;IF(Checks!$O$384="","",IF(Checks!$K$384="","",CHAR(10))&amp;"Note: "&amp;Checks!$O$384)</f>
        <v>List revision numbers in Result (see ISOP register)</v>
      </c>
      <c r="C27" s="112" t="str">
        <f aca="false">Checks!$N$384&amp;CHAR(10)&amp;IF(ISNUMBER(Checks!$R$384),TEXT(Checks!$R$384,"DD-MMM-YY HH:MM"),"")&amp;" "&amp;Checks!$P$384</f>
        <v>Required
05-Oct-26 22:25 KUL</v>
      </c>
      <c r="D27" s="112" t="str">
        <f aca="false">IF(Checks!$U$384="","",Checks!$U$384)&amp;IF(Checks!$AB$384="","",CHAR(10)&amp;"CA: "&amp;Checks!$AB$384)</f>
        <v/>
      </c>
      <c r="E27" s="112" t="str">
        <f aca="false">IF(Checks!$V$384="","",Checks!$V$384)&amp;IF(Checks!$AC$384="","",IF(Checks!$V$384="","",CHAR(10))&amp;"N/A just.: "&amp;Checks!$AC$384)&amp;IF(Checks!$W$384="","",CHAR(10)&amp;"Batch: "&amp;Checks!$W$384)&amp;IF(AND(Checks!$X$384="",Checks!$Y$384=""),"",CHAR(10)&amp;"Exp: "&amp;Checks!$X$384&amp;"  /  Act: "&amp;Checks!$Y$384)</f>
        <v/>
      </c>
      <c r="F27" s="112" t="str">
        <f aca="false">IF(Checks!$Z$384="","","Evidence: "&amp;Checks!$Z$384)&amp;IF(Checks!$AA$384="","",IF(Checks!$Z$384="","",CHAR(10))&amp;"CA: "&amp;Checks!$AA$384)</f>
        <v/>
      </c>
      <c r="G27" s="112" t="str">
        <f aca="false">IF(ISNUMBER(Checks!$AD$384),TEXT(Checks!$AD$384,"DD-MMM-YY HH:MM")&amp;" "&amp;Checks!$P$384,"")&amp;IF(Checks!$AE$384="","",CHAR(10)&amp;"Verifier: "&amp;Checks!$AE$384)&amp;IF(Checks!$T$384="","",CHAR(10)&amp;"PIC: "&amp;Checks!$T$384)</f>
        <v/>
      </c>
      <c r="H27" s="113" t="str">
        <f aca="false">IF(Checks!$AH$384="","",Checks!$AH$384)</f>
        <v>OPEN</v>
      </c>
    </row>
    <row r="28" customFormat="false" ht="114" hidden="false" customHeight="true" outlineLevel="0" collapsed="false">
      <c r="A28" s="112" t="str">
        <f aca="false">Checks!$A$385&amp;CHAR(10)&amp;IF(Checks!$I$385="","",Checks!$I$385&amp;": ")&amp;Checks!$J$385</f>
        <v>F12-T7-06
ISOP: Caterer acknowledgement of ISOP revisions recorded</v>
      </c>
      <c r="B28" s="112" t="str">
        <f aca="false">Checks!$K$385&amp;IF(Checks!$O$385="","",IF(Checks!$K$385="","",CHAR(10))&amp;"Note: "&amp;Checks!$O$385)</f>
        <v>Record acknowledgement ref in Evidence</v>
      </c>
      <c r="C28" s="112" t="str">
        <f aca="false">Checks!$N$385&amp;CHAR(10)&amp;IF(ISNUMBER(Checks!$R$385),TEXT(Checks!$R$385,"DD-MMM-YY HH:MM"),"")&amp;" "&amp;Checks!$P$385</f>
        <v>Required
05-Oct-26 22:25 KUL</v>
      </c>
      <c r="D28" s="112" t="str">
        <f aca="false">IF(Checks!$U$385="","",Checks!$U$385)&amp;IF(Checks!$AB$385="","",CHAR(10)&amp;"CA: "&amp;Checks!$AB$385)</f>
        <v/>
      </c>
      <c r="E28" s="112" t="str">
        <f aca="false">IF(Checks!$V$385="","",Checks!$V$385)&amp;IF(Checks!$AC$385="","",IF(Checks!$V$385="","",CHAR(10))&amp;"N/A just.: "&amp;Checks!$AC$385)&amp;IF(Checks!$W$385="","",CHAR(10)&amp;"Batch: "&amp;Checks!$W$385)&amp;IF(AND(Checks!$X$385="",Checks!$Y$385=""),"",CHAR(10)&amp;"Exp: "&amp;Checks!$X$385&amp;"  /  Act: "&amp;Checks!$Y$385)</f>
        <v/>
      </c>
      <c r="F28" s="112" t="str">
        <f aca="false">IF(Checks!$Z$385="","","Evidence: "&amp;Checks!$Z$385)&amp;IF(Checks!$AA$385="","",IF(Checks!$Z$385="","",CHAR(10))&amp;"CA: "&amp;Checks!$AA$385)</f>
        <v/>
      </c>
      <c r="G28" s="112" t="str">
        <f aca="false">IF(ISNUMBER(Checks!$AD$385),TEXT(Checks!$AD$385,"DD-MMM-YY HH:MM")&amp;" "&amp;Checks!$P$385,"")&amp;IF(Checks!$AE$385="","",CHAR(10)&amp;"Verifier: "&amp;Checks!$AE$385)&amp;IF(Checks!$T$385="","",CHAR(10)&amp;"PIC: "&amp;Checks!$T$385)</f>
        <v/>
      </c>
      <c r="H28" s="113" t="str">
        <f aca="false">IF(Checks!$AH$385="","",Checks!$AH$385)</f>
        <v>OPEN</v>
      </c>
    </row>
    <row r="29" customFormat="false" ht="114" hidden="false" customHeight="true" outlineLevel="0" collapsed="false">
      <c r="A29" s="112" t="str">
        <f aca="false">Checks!$A$386&amp;CHAR(10)&amp;IF(Checks!$I$386="","",Checks!$I$386&amp;": ")&amp;Checks!$J$386</f>
        <v>F12-T7-07
Documents: Galley loading diagram (GLD) received, revision recorded &amp; attached</v>
      </c>
      <c r="B29" s="112" t="str">
        <f aca="false">Checks!$K$386&amp;IF(Checks!$O$386="","",IF(Checks!$K$386="","",CHAR(10))&amp;"Note: "&amp;Checks!$O$386)</f>
        <v>Documents sheet row complete</v>
      </c>
      <c r="C29" s="112" t="str">
        <f aca="false">Checks!$N$386&amp;CHAR(10)&amp;IF(ISNUMBER(Checks!$R$386),TEXT(Checks!$R$386,"DD-MMM-YY HH:MM"),"")&amp;" "&amp;Checks!$P$386</f>
        <v>Required
05-Oct-26 22:25 KUL</v>
      </c>
      <c r="D29" s="112" t="str">
        <f aca="false">IF(Checks!$U$386="","",Checks!$U$386)&amp;IF(Checks!$AB$386="","",CHAR(10)&amp;"CA: "&amp;Checks!$AB$386)</f>
        <v/>
      </c>
      <c r="E29" s="112" t="str">
        <f aca="false">IF(Checks!$V$386="","",Checks!$V$386)&amp;IF(Checks!$AC$386="","",IF(Checks!$V$386="","",CHAR(10))&amp;"N/A just.: "&amp;Checks!$AC$386)&amp;IF(Checks!$W$386="","",CHAR(10)&amp;"Batch: "&amp;Checks!$W$386)&amp;IF(AND(Checks!$X$386="",Checks!$Y$386=""),"",CHAR(10)&amp;"Exp: "&amp;Checks!$X$386&amp;"  /  Act: "&amp;Checks!$Y$386)</f>
        <v/>
      </c>
      <c r="F29" s="112" t="str">
        <f aca="false">IF(Checks!$Z$386="","","Evidence: "&amp;Checks!$Z$386)&amp;IF(Checks!$AA$386="","",IF(Checks!$Z$386="","",CHAR(10))&amp;"CA: "&amp;Checks!$AA$386)</f>
        <v/>
      </c>
      <c r="G29" s="112" t="str">
        <f aca="false">IF(ISNUMBER(Checks!$AD$386),TEXT(Checks!$AD$386,"DD-MMM-YY HH:MM")&amp;" "&amp;Checks!$P$386,"")&amp;IF(Checks!$AE$386="","",CHAR(10)&amp;"Verifier: "&amp;Checks!$AE$386)&amp;IF(Checks!$T$386="","",CHAR(10)&amp;"PIC: "&amp;Checks!$T$386)</f>
        <v/>
      </c>
      <c r="H29" s="113" t="str">
        <f aca="false">IF(Checks!$AH$386="","",Checks!$AH$386)</f>
        <v>OPEN</v>
      </c>
    </row>
    <row r="30" customFormat="false" ht="114" hidden="false" customHeight="true" outlineLevel="0" collapsed="false">
      <c r="A30" s="112" t="str">
        <f aca="false">Checks!$A$387&amp;CHAR(10)&amp;IF(Checks!$I$387="","",Checks!$I$387&amp;": ")&amp;Checks!$J$387</f>
        <v>F12-T7-08
Documents: Menu checklist received, revision recorded &amp; attached</v>
      </c>
      <c r="B30" s="112" t="str">
        <f aca="false">Checks!$K$387&amp;IF(Checks!$O$387="","",IF(Checks!$K$387="","",CHAR(10))&amp;"Note: "&amp;Checks!$O$387)</f>
        <v>Documents sheet row complete</v>
      </c>
      <c r="C30" s="112" t="str">
        <f aca="false">Checks!$N$387&amp;CHAR(10)&amp;IF(ISNUMBER(Checks!$R$387),TEXT(Checks!$R$387,"DD-MMM-YY HH:MM"),"")&amp;" "&amp;Checks!$P$387</f>
        <v>Required
05-Oct-26 22:25 KUL</v>
      </c>
      <c r="D30" s="112" t="str">
        <f aca="false">IF(Checks!$U$387="","",Checks!$U$387)&amp;IF(Checks!$AB$387="","",CHAR(10)&amp;"CA: "&amp;Checks!$AB$387)</f>
        <v/>
      </c>
      <c r="E30" s="112" t="str">
        <f aca="false">IF(Checks!$V$387="","",Checks!$V$387)&amp;IF(Checks!$AC$387="","",IF(Checks!$V$387="","",CHAR(10))&amp;"N/A just.: "&amp;Checks!$AC$387)&amp;IF(Checks!$W$387="","",CHAR(10)&amp;"Batch: "&amp;Checks!$W$387)&amp;IF(AND(Checks!$X$387="",Checks!$Y$387=""),"",CHAR(10)&amp;"Exp: "&amp;Checks!$X$387&amp;"  /  Act: "&amp;Checks!$Y$387)</f>
        <v/>
      </c>
      <c r="F30" s="112" t="str">
        <f aca="false">IF(Checks!$Z$387="","","Evidence: "&amp;Checks!$Z$387)&amp;IF(Checks!$AA$387="","",IF(Checks!$Z$387="","",CHAR(10))&amp;"CA: "&amp;Checks!$AA$387)</f>
        <v/>
      </c>
      <c r="G30" s="112" t="str">
        <f aca="false">IF(ISNUMBER(Checks!$AD$387),TEXT(Checks!$AD$387,"DD-MMM-YY HH:MM")&amp;" "&amp;Checks!$P$387,"")&amp;IF(Checks!$AE$387="","",CHAR(10)&amp;"Verifier: "&amp;Checks!$AE$387)&amp;IF(Checks!$T$387="","",CHAR(10)&amp;"PIC: "&amp;Checks!$T$387)</f>
        <v/>
      </c>
      <c r="H30" s="113" t="str">
        <f aca="false">IF(Checks!$AH$387="","",Checks!$AH$387)</f>
        <v>OPEN</v>
      </c>
    </row>
    <row r="31" customFormat="false" ht="114" hidden="false" customHeight="true" outlineLevel="0" collapsed="false">
      <c r="A31" s="112" t="str">
        <f aca="false">Checks!$A$388&amp;CHAR(10)&amp;IF(Checks!$I$388="","",Checks!$I$388&amp;": ")&amp;Checks!$J$388</f>
        <v>F12-T7-09
Uplift plan: Uplift plan confirmed with caterer vs STD Uplift Information</v>
      </c>
      <c r="B31" s="112" t="str">
        <f aca="false">Checks!$K$388&amp;IF(Checks!$O$388="","",IF(Checks!$K$388="","",CHAR(10))&amp;"Note: "&amp;Checks!$O$388)</f>
        <v>Service: 1.5 Meal (Meal); meal uplift stn KUL (ref lists KUL/ADL)</v>
      </c>
      <c r="C31" s="112" t="str">
        <f aca="false">Checks!$N$388&amp;CHAR(10)&amp;IF(ISNUMBER(Checks!$R$388),TEXT(Checks!$R$388,"DD-MMM-YY HH:MM"),"")&amp;" "&amp;Checks!$P$388</f>
        <v>Required
05-Oct-26 22:25 KUL</v>
      </c>
      <c r="D31" s="112" t="str">
        <f aca="false">IF(Checks!$U$388="","",Checks!$U$388)&amp;IF(Checks!$AB$388="","",CHAR(10)&amp;"CA: "&amp;Checks!$AB$388)</f>
        <v/>
      </c>
      <c r="E31" s="112" t="str">
        <f aca="false">IF(Checks!$V$388="","",Checks!$V$388)&amp;IF(Checks!$AC$388="","",IF(Checks!$V$388="","",CHAR(10))&amp;"N/A just.: "&amp;Checks!$AC$388)&amp;IF(Checks!$W$388="","",CHAR(10)&amp;"Batch: "&amp;Checks!$W$388)&amp;IF(AND(Checks!$X$388="",Checks!$Y$388=""),"",CHAR(10)&amp;"Exp: "&amp;Checks!$X$388&amp;"  /  Act: "&amp;Checks!$Y$388)</f>
        <v/>
      </c>
      <c r="F31" s="112" t="str">
        <f aca="false">IF(Checks!$Z$388="","","Evidence: "&amp;Checks!$Z$388)&amp;IF(Checks!$AA$388="","",IF(Checks!$Z$388="","",CHAR(10))&amp;"CA: "&amp;Checks!$AA$388)</f>
        <v/>
      </c>
      <c r="G31" s="112" t="str">
        <f aca="false">IF(ISNUMBER(Checks!$AD$388),TEXT(Checks!$AD$388,"DD-MMM-YY HH:MM")&amp;" "&amp;Checks!$P$388,"")&amp;IF(Checks!$AE$388="","",CHAR(10)&amp;"Verifier: "&amp;Checks!$AE$388)&amp;IF(Checks!$T$388="","",CHAR(10)&amp;"PIC: "&amp;Checks!$T$388)</f>
        <v/>
      </c>
      <c r="H31" s="113" t="str">
        <f aca="false">IF(Checks!$AH$388="","",Checks!$AH$388)</f>
        <v>OPEN</v>
      </c>
    </row>
    <row r="32" customFormat="false" ht="25.5" hidden="false" customHeight="true" outlineLevel="0" collapsed="false">
      <c r="A32" s="111"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Checks!$A$389&amp;CHAR(10)&amp;IF(Checks!$I$389="","",Checks!$I$389&amp;": ")&amp;Checks!$J$389</f>
        <v>F12-T24-01
Meal: Sensory test repeated on ACTUAL production batch for this flight</v>
      </c>
      <c r="B33" s="112" t="str">
        <f aca="false">Checks!$K$389&amp;IF(Checks!$O$389="","",IF(Checks!$K$389="","",CHAR(10))&amp;"Note: "&amp;Checks!$O$389)</f>
        <v>Batch ID, result, CA and acceptance mandatory</v>
      </c>
      <c r="C33" s="112" t="str">
        <f aca="false">Checks!$N$389&amp;CHAR(10)&amp;IF(ISNUMBER(Checks!$R$389),TEXT(Checks!$R$389,"DD-MMM-YY HH:MM"),"")&amp;" "&amp;Checks!$P$389</f>
        <v>Required
11-Oct-26 22:25 KUL</v>
      </c>
      <c r="D33" s="112" t="str">
        <f aca="false">IF(Checks!$U$389="","",Checks!$U$389)&amp;IF(Checks!$AB$389="","",CHAR(10)&amp;"CA: "&amp;Checks!$AB$389)</f>
        <v/>
      </c>
      <c r="E33" s="112" t="str">
        <f aca="false">IF(Checks!$V$389="","",Checks!$V$389)&amp;IF(Checks!$AC$389="","",IF(Checks!$V$389="","",CHAR(10))&amp;"N/A just.: "&amp;Checks!$AC$389)&amp;IF(Checks!$W$389="","",CHAR(10)&amp;"Batch: "&amp;Checks!$W$389)&amp;IF(AND(Checks!$X$389="",Checks!$Y$389=""),"",CHAR(10)&amp;"Exp: "&amp;Checks!$X$389&amp;"  /  Act: "&amp;Checks!$Y$389)</f>
        <v/>
      </c>
      <c r="F33" s="112" t="str">
        <f aca="false">IF(Checks!$Z$389="","","Evidence: "&amp;Checks!$Z$389)&amp;IF(Checks!$AA$389="","",IF(Checks!$Z$389="","",CHAR(10))&amp;"CA: "&amp;Checks!$AA$389)</f>
        <v/>
      </c>
      <c r="G33" s="112" t="str">
        <f aca="false">IF(ISNUMBER(Checks!$AD$389),TEXT(Checks!$AD$389,"DD-MMM-YY HH:MM")&amp;" "&amp;Checks!$P$389,"")&amp;IF(Checks!$AE$389="","",CHAR(10)&amp;"Verifier: "&amp;Checks!$AE$389)&amp;IF(Checks!$T$389="","",CHAR(10)&amp;"PIC: "&amp;Checks!$T$389)</f>
        <v/>
      </c>
      <c r="H33" s="113" t="str">
        <f aca="false">IF(Checks!$AH$389="","",Checks!$AH$389)</f>
        <v>OPEN</v>
      </c>
    </row>
    <row r="34" customFormat="false" ht="25.5" hidden="false" customHeight="true" outlineLevel="0" collapsed="false">
      <c r="A34" s="111"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1"/>
      <c r="C34" s="111"/>
      <c r="D34" s="111"/>
      <c r="E34" s="111"/>
      <c r="F34" s="111"/>
      <c r="G34" s="111"/>
      <c r="H34" s="111"/>
    </row>
    <row r="35" customFormat="false" ht="114" hidden="false" customHeight="true" outlineLevel="0" collapsed="false">
      <c r="A35" s="112" t="str">
        <f aca="false">Checks!$A$390&amp;CHAR(10)&amp;IF(Checks!$I$390="","",Checks!$I$390&amp;": ")&amp;Checks!$J$390</f>
        <v>F12-T12-01
Meal: Meal quality vs menu checklist</v>
      </c>
      <c r="B35" s="112" t="str">
        <f aca="false">Checks!$K$390&amp;IF(Checks!$O$390="","",IF(Checks!$K$390="","",CHAR(10))&amp;"Note: "&amp;Checks!$O$390)</f>
        <v>Note: Preparation check at caterer - does NOT confirm loading.</v>
      </c>
      <c r="C35" s="112" t="str">
        <f aca="false">Checks!$N$390&amp;CHAR(10)&amp;IF(ISNUMBER(Checks!$R$390),TEXT(Checks!$R$390,"DD-MMM-YY HH:MM"),"")&amp;" "&amp;Checks!$P$390</f>
        <v>Required
12-Oct-26 10:25 KUL</v>
      </c>
      <c r="D35" s="112" t="str">
        <f aca="false">IF(Checks!$U$390="","",Checks!$U$390)&amp;IF(Checks!$AB$390="","",CHAR(10)&amp;"CA: "&amp;Checks!$AB$390)</f>
        <v/>
      </c>
      <c r="E35" s="112" t="str">
        <f aca="false">IF(Checks!$V$390="","",Checks!$V$390)&amp;IF(Checks!$AC$390="","",IF(Checks!$V$390="","",CHAR(10))&amp;"N/A just.: "&amp;Checks!$AC$390)&amp;IF(Checks!$W$390="","",CHAR(10)&amp;"Batch: "&amp;Checks!$W$390)&amp;IF(AND(Checks!$X$390="",Checks!$Y$390=""),"",CHAR(10)&amp;"Exp: "&amp;Checks!$X$390&amp;"  /  Act: "&amp;Checks!$Y$390)</f>
        <v/>
      </c>
      <c r="F35" s="112" t="str">
        <f aca="false">IF(Checks!$Z$390="","","Evidence: "&amp;Checks!$Z$390)&amp;IF(Checks!$AA$390="","",IF(Checks!$Z$390="","",CHAR(10))&amp;"CA: "&amp;Checks!$AA$390)</f>
        <v/>
      </c>
      <c r="G35" s="112" t="str">
        <f aca="false">IF(ISNUMBER(Checks!$AD$390),TEXT(Checks!$AD$390,"DD-MMM-YY HH:MM")&amp;" "&amp;Checks!$P$390,"")&amp;IF(Checks!$AE$390="","",CHAR(10)&amp;"Verifier: "&amp;Checks!$AE$390)&amp;IF(Checks!$T$390="","",CHAR(10)&amp;"PIC: "&amp;Checks!$T$390)</f>
        <v/>
      </c>
      <c r="H35" s="113" t="str">
        <f aca="false">IF(Checks!$AH$390="","",Checks!$AH$390)</f>
        <v>OPEN</v>
      </c>
    </row>
    <row r="36" customFormat="false" ht="114" hidden="false" customHeight="true" outlineLevel="0" collapsed="false">
      <c r="A36" s="112" t="str">
        <f aca="false">Checks!$A$391&amp;CHAR(10)&amp;IF(Checks!$I$391="","",Checks!$I$391&amp;": ")&amp;Checks!$J$391</f>
        <v>F12-T12-02
Meal: Meal quantities vs menu checklist</v>
      </c>
      <c r="B36" s="112" t="str">
        <f aca="false">Checks!$K$391&amp;IF(Checks!$O$391="","",IF(Checks!$K$391="","",CHAR(10))&amp;"Note: "&amp;Checks!$O$391)</f>
        <v>Enter expected &amp; actual
Note: Preparation check at caterer - does NOT confirm loading.</v>
      </c>
      <c r="C36" s="112" t="str">
        <f aca="false">Checks!$N$391&amp;CHAR(10)&amp;IF(ISNUMBER(Checks!$R$391),TEXT(Checks!$R$391,"DD-MMM-YY HH:MM"),"")&amp;" "&amp;Checks!$P$391</f>
        <v>Required
12-Oct-26 10:25 KUL</v>
      </c>
      <c r="D36" s="112" t="str">
        <f aca="false">IF(Checks!$U$391="","",Checks!$U$391)&amp;IF(Checks!$AB$391="","",CHAR(10)&amp;"CA: "&amp;Checks!$AB$391)</f>
        <v/>
      </c>
      <c r="E36" s="112" t="str">
        <f aca="false">IF(Checks!$V$391="","",Checks!$V$391)&amp;IF(Checks!$AC$391="","",IF(Checks!$V$391="","",CHAR(10))&amp;"N/A just.: "&amp;Checks!$AC$391)&amp;IF(Checks!$W$391="","",CHAR(10)&amp;"Batch: "&amp;Checks!$W$391)&amp;IF(AND(Checks!$X$391="",Checks!$Y$391=""),"",CHAR(10)&amp;"Exp: "&amp;Checks!$X$391&amp;"  /  Act: "&amp;Checks!$Y$391)</f>
        <v/>
      </c>
      <c r="F36" s="112" t="str">
        <f aca="false">IF(Checks!$Z$391="","","Evidence: "&amp;Checks!$Z$391)&amp;IF(Checks!$AA$391="","",IF(Checks!$Z$391="","",CHAR(10))&amp;"CA: "&amp;Checks!$AA$391)</f>
        <v/>
      </c>
      <c r="G36" s="112" t="str">
        <f aca="false">IF(ISNUMBER(Checks!$AD$391),TEXT(Checks!$AD$391,"DD-MMM-YY HH:MM")&amp;" "&amp;Checks!$P$391,"")&amp;IF(Checks!$AE$391="","",CHAR(10)&amp;"Verifier: "&amp;Checks!$AE$391)&amp;IF(Checks!$T$391="","",CHAR(10)&amp;"PIC: "&amp;Checks!$T$391)</f>
        <v/>
      </c>
      <c r="H36" s="113" t="str">
        <f aca="false">IF(Checks!$AH$391="","",Checks!$AH$391)</f>
        <v>OPEN</v>
      </c>
    </row>
    <row r="37" customFormat="false" ht="114" hidden="false" customHeight="true" outlineLevel="0" collapsed="false">
      <c r="A37" s="112" t="str">
        <f aca="false">Checks!$A$392&amp;CHAR(10)&amp;IF(Checks!$I$392="","",Checks!$I$392&amp;": ")&amp;Checks!$J$392</f>
        <v>F12-T12-03
Equipment: Equipment cleanliness vs GLD</v>
      </c>
      <c r="B37" s="112" t="str">
        <f aca="false">Checks!$K$392&amp;IF(Checks!$O$392="","",IF(Checks!$K$392="","",CHAR(10))&amp;"Note: "&amp;Checks!$O$392)</f>
        <v>Note: Preparation check at caterer - does NOT confirm loading.</v>
      </c>
      <c r="C37" s="112" t="str">
        <f aca="false">Checks!$N$392&amp;CHAR(10)&amp;IF(ISNUMBER(Checks!$R$392),TEXT(Checks!$R$392,"DD-MMM-YY HH:MM"),"")&amp;" "&amp;Checks!$P$392</f>
        <v>Required
12-Oct-26 10:25 KUL</v>
      </c>
      <c r="D37" s="112" t="str">
        <f aca="false">IF(Checks!$U$392="","",Checks!$U$392)&amp;IF(Checks!$AB$392="","",CHAR(10)&amp;"CA: "&amp;Checks!$AB$392)</f>
        <v/>
      </c>
      <c r="E37" s="112" t="str">
        <f aca="false">IF(Checks!$V$392="","",Checks!$V$392)&amp;IF(Checks!$AC$392="","",IF(Checks!$V$392="","",CHAR(10))&amp;"N/A just.: "&amp;Checks!$AC$392)&amp;IF(Checks!$W$392="","",CHAR(10)&amp;"Batch: "&amp;Checks!$W$392)&amp;IF(AND(Checks!$X$392="",Checks!$Y$392=""),"",CHAR(10)&amp;"Exp: "&amp;Checks!$X$392&amp;"  /  Act: "&amp;Checks!$Y$392)</f>
        <v/>
      </c>
      <c r="F37" s="112" t="str">
        <f aca="false">IF(Checks!$Z$392="","","Evidence: "&amp;Checks!$Z$392)&amp;IF(Checks!$AA$392="","",IF(Checks!$Z$392="","",CHAR(10))&amp;"CA: "&amp;Checks!$AA$392)</f>
        <v/>
      </c>
      <c r="G37" s="112" t="str">
        <f aca="false">IF(ISNUMBER(Checks!$AD$392),TEXT(Checks!$AD$392,"DD-MMM-YY HH:MM")&amp;" "&amp;Checks!$P$392,"")&amp;IF(Checks!$AE$392="","",CHAR(10)&amp;"Verifier: "&amp;Checks!$AE$392)&amp;IF(Checks!$T$392="","",CHAR(10)&amp;"PIC: "&amp;Checks!$T$392)</f>
        <v/>
      </c>
      <c r="H37" s="113" t="str">
        <f aca="false">IF(Checks!$AH$392="","",Checks!$AH$392)</f>
        <v>OPEN</v>
      </c>
    </row>
    <row r="38" customFormat="false" ht="114" hidden="false" customHeight="true" outlineLevel="0" collapsed="false">
      <c r="A38" s="112" t="str">
        <f aca="false">Checks!$A$393&amp;CHAR(10)&amp;IF(Checks!$I$393="","",Checks!$I$393&amp;": ")&amp;Checks!$J$393</f>
        <v>F12-T12-04
Equipment: Equipment presentation vs GLD</v>
      </c>
      <c r="B38" s="112" t="str">
        <f aca="false">Checks!$K$393&amp;IF(Checks!$O$393="","",IF(Checks!$K$393="","",CHAR(10))&amp;"Note: "&amp;Checks!$O$393)</f>
        <v>Note: Preparation check at caterer - does NOT confirm loading.</v>
      </c>
      <c r="C38" s="112" t="str">
        <f aca="false">Checks!$N$393&amp;CHAR(10)&amp;IF(ISNUMBER(Checks!$R$393),TEXT(Checks!$R$393,"DD-MMM-YY HH:MM"),"")&amp;" "&amp;Checks!$P$393</f>
        <v>Required
12-Oct-26 10:25 KUL</v>
      </c>
      <c r="D38" s="112" t="str">
        <f aca="false">IF(Checks!$U$393="","",Checks!$U$393)&amp;IF(Checks!$AB$393="","",CHAR(10)&amp;"CA: "&amp;Checks!$AB$393)</f>
        <v/>
      </c>
      <c r="E38" s="112" t="str">
        <f aca="false">IF(Checks!$V$393="","",Checks!$V$393)&amp;IF(Checks!$AC$393="","",IF(Checks!$V$393="","",CHAR(10))&amp;"N/A just.: "&amp;Checks!$AC$393)&amp;IF(Checks!$W$393="","",CHAR(10)&amp;"Batch: "&amp;Checks!$W$393)&amp;IF(AND(Checks!$X$393="",Checks!$Y$393=""),"",CHAR(10)&amp;"Exp: "&amp;Checks!$X$393&amp;"  /  Act: "&amp;Checks!$Y$393)</f>
        <v/>
      </c>
      <c r="F38" s="112" t="str">
        <f aca="false">IF(Checks!$Z$393="","","Evidence: "&amp;Checks!$Z$393)&amp;IF(Checks!$AA$393="","",IF(Checks!$Z$393="","",CHAR(10))&amp;"CA: "&amp;Checks!$AA$393)</f>
        <v/>
      </c>
      <c r="G38" s="112" t="str">
        <f aca="false">IF(ISNUMBER(Checks!$AD$393),TEXT(Checks!$AD$393,"DD-MMM-YY HH:MM")&amp;" "&amp;Checks!$P$393,"")&amp;IF(Checks!$AE$393="","",CHAR(10)&amp;"Verifier: "&amp;Checks!$AE$393)&amp;IF(Checks!$T$393="","",CHAR(10)&amp;"PIC: "&amp;Checks!$T$393)</f>
        <v/>
      </c>
      <c r="H38" s="113" t="str">
        <f aca="false">IF(Checks!$AH$393="","",Checks!$AH$393)</f>
        <v>OPEN</v>
      </c>
    </row>
    <row r="39" customFormat="false" ht="114" hidden="false" customHeight="true" outlineLevel="0" collapsed="false">
      <c r="A39" s="112" t="str">
        <f aca="false">Checks!$A$394&amp;CHAR(10)&amp;IF(Checks!$I$394="","",Checks!$I$394&amp;": ")&amp;Checks!$J$394</f>
        <v>F12-T12-05
Equipment: Equipment serviceability vs GLD</v>
      </c>
      <c r="B39" s="112" t="str">
        <f aca="false">Checks!$K$394&amp;IF(Checks!$O$394="","",IF(Checks!$K$394="","",CHAR(10))&amp;"Note: "&amp;Checks!$O$394)</f>
        <v>Note: Preparation check at caterer - does NOT confirm loading.</v>
      </c>
      <c r="C39" s="112" t="str">
        <f aca="false">Checks!$N$394&amp;CHAR(10)&amp;IF(ISNUMBER(Checks!$R$394),TEXT(Checks!$R$394,"DD-MMM-YY HH:MM"),"")&amp;" "&amp;Checks!$P$394</f>
        <v>Required
12-Oct-26 10:25 KUL</v>
      </c>
      <c r="D39" s="112" t="str">
        <f aca="false">IF(Checks!$U$394="","",Checks!$U$394)&amp;IF(Checks!$AB$394="","",CHAR(10)&amp;"CA: "&amp;Checks!$AB$394)</f>
        <v/>
      </c>
      <c r="E39" s="112" t="str">
        <f aca="false">IF(Checks!$V$394="","",Checks!$V$394)&amp;IF(Checks!$AC$394="","",IF(Checks!$V$394="","",CHAR(10))&amp;"N/A just.: "&amp;Checks!$AC$394)&amp;IF(Checks!$W$394="","",CHAR(10)&amp;"Batch: "&amp;Checks!$W$394)&amp;IF(AND(Checks!$X$394="",Checks!$Y$394=""),"",CHAR(10)&amp;"Exp: "&amp;Checks!$X$394&amp;"  /  Act: "&amp;Checks!$Y$394)</f>
        <v/>
      </c>
      <c r="F39" s="112" t="str">
        <f aca="false">IF(Checks!$Z$394="","","Evidence: "&amp;Checks!$Z$394)&amp;IF(Checks!$AA$394="","",IF(Checks!$Z$394="","",CHAR(10))&amp;"CA: "&amp;Checks!$AA$394)</f>
        <v/>
      </c>
      <c r="G39" s="112" t="str">
        <f aca="false">IF(ISNUMBER(Checks!$AD$394),TEXT(Checks!$AD$394,"DD-MMM-YY HH:MM")&amp;" "&amp;Checks!$P$394,"")&amp;IF(Checks!$AE$394="","",CHAR(10)&amp;"Verifier: "&amp;Checks!$AE$394)&amp;IF(Checks!$T$394="","",CHAR(10)&amp;"PIC: "&amp;Checks!$T$394)</f>
        <v/>
      </c>
      <c r="H39" s="113" t="str">
        <f aca="false">IF(Checks!$AH$394="","",Checks!$AH$394)</f>
        <v>OPEN</v>
      </c>
    </row>
    <row r="40" customFormat="false" ht="201.75" hidden="false" customHeight="true" outlineLevel="0" collapsed="false">
      <c r="A40" s="112" t="str">
        <f aca="false">Checks!$A$395&amp;CHAR(10)&amp;IF(Checks!$I$395="","",Checks!$I$395&amp;": ")&amp;Checks!$J$395</f>
        <v>F12-T12-06
Equipment: Equipment quantities vs GLD</v>
      </c>
      <c r="B40" s="112"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2" t="str">
        <f aca="false">Checks!$N$395&amp;CHAR(10)&amp;IF(ISNUMBER(Checks!$R$395),TEXT(Checks!$R$395,"DD-MMM-YY HH:MM"),"")&amp;" "&amp;Checks!$P$395</f>
        <v>Required
12-Oct-26 10:25 KUL</v>
      </c>
      <c r="D40" s="112" t="str">
        <f aca="false">IF(Checks!$U$395="","",Checks!$U$395)&amp;IF(Checks!$AB$395="","",CHAR(10)&amp;"CA: "&amp;Checks!$AB$395)</f>
        <v/>
      </c>
      <c r="E40" s="112" t="str">
        <f aca="false">IF(Checks!$V$395="","",Checks!$V$395)&amp;IF(Checks!$AC$395="","",IF(Checks!$V$395="","",CHAR(10))&amp;"N/A just.: "&amp;Checks!$AC$395)&amp;IF(Checks!$W$395="","",CHAR(10)&amp;"Batch: "&amp;Checks!$W$395)&amp;IF(AND(Checks!$X$395="",Checks!$Y$395=""),"",CHAR(10)&amp;"Exp: "&amp;Checks!$X$395&amp;"  /  Act: "&amp;Checks!$Y$395)</f>
        <v/>
      </c>
      <c r="F40" s="112" t="str">
        <f aca="false">IF(Checks!$Z$395="","","Evidence: "&amp;Checks!$Z$395)&amp;IF(Checks!$AA$395="","",IF(Checks!$Z$395="","",CHAR(10))&amp;"CA: "&amp;Checks!$AA$395)</f>
        <v/>
      </c>
      <c r="G40" s="112" t="str">
        <f aca="false">IF(ISNUMBER(Checks!$AD$395),TEXT(Checks!$AD$395,"DD-MMM-YY HH:MM")&amp;" "&amp;Checks!$P$395,"")&amp;IF(Checks!$AE$395="","",CHAR(10)&amp;"Verifier: "&amp;Checks!$AE$395)&amp;IF(Checks!$T$395="","",CHAR(10)&amp;"PIC: "&amp;Checks!$T$395)</f>
        <v/>
      </c>
      <c r="H40" s="113" t="str">
        <f aca="false">IF(Checks!$AH$395="","",Checks!$AH$395)</f>
        <v>OPEN</v>
      </c>
    </row>
    <row r="41" customFormat="false" ht="114" hidden="false" customHeight="true" outlineLevel="0" collapsed="false">
      <c r="A41" s="112" t="str">
        <f aca="false">Checks!$A$396&amp;CHAR(10)&amp;IF(Checks!$I$396="","",Checks!$I$396&amp;": ")&amp;Checks!$J$396</f>
        <v>F12-T12-07
Equipment: Loading positions planned vs GLD</v>
      </c>
      <c r="B41" s="112" t="str">
        <f aca="false">Checks!$K$396&amp;IF(Checks!$O$396="","",IF(Checks!$K$396="","",CHAR(10))&amp;"Note: "&amp;Checks!$O$396)</f>
        <v>Note: Preparation check at caterer - does NOT confirm loading.</v>
      </c>
      <c r="C41" s="112" t="str">
        <f aca="false">Checks!$N$396&amp;CHAR(10)&amp;IF(ISNUMBER(Checks!$R$396),TEXT(Checks!$R$396,"DD-MMM-YY HH:MM"),"")&amp;" "&amp;Checks!$P$396</f>
        <v>Required
12-Oct-26 10:25 KUL</v>
      </c>
      <c r="D41" s="112" t="str">
        <f aca="false">IF(Checks!$U$396="","",Checks!$U$396)&amp;IF(Checks!$AB$396="","",CHAR(10)&amp;"CA: "&amp;Checks!$AB$396)</f>
        <v/>
      </c>
      <c r="E41" s="112" t="str">
        <f aca="false">IF(Checks!$V$396="","",Checks!$V$396)&amp;IF(Checks!$AC$396="","",IF(Checks!$V$396="","",CHAR(10))&amp;"N/A just.: "&amp;Checks!$AC$396)&amp;IF(Checks!$W$396="","",CHAR(10)&amp;"Batch: "&amp;Checks!$W$396)&amp;IF(AND(Checks!$X$396="",Checks!$Y$396=""),"",CHAR(10)&amp;"Exp: "&amp;Checks!$X$396&amp;"  /  Act: "&amp;Checks!$Y$396)</f>
        <v/>
      </c>
      <c r="F41" s="112" t="str">
        <f aca="false">IF(Checks!$Z$396="","","Evidence: "&amp;Checks!$Z$396)&amp;IF(Checks!$AA$396="","",IF(Checks!$Z$396="","",CHAR(10))&amp;"CA: "&amp;Checks!$AA$396)</f>
        <v/>
      </c>
      <c r="G41" s="112" t="str">
        <f aca="false">IF(ISNUMBER(Checks!$AD$396),TEXT(Checks!$AD$396,"DD-MMM-YY HH:MM")&amp;" "&amp;Checks!$P$396,"")&amp;IF(Checks!$AE$396="","",CHAR(10)&amp;"Verifier: "&amp;Checks!$AE$396)&amp;IF(Checks!$T$396="","",CHAR(10)&amp;"PIC: "&amp;Checks!$T$396)</f>
        <v/>
      </c>
      <c r="H41" s="113" t="str">
        <f aca="false">IF(Checks!$AH$396="","",Checks!$AH$396)</f>
        <v>OPEN</v>
      </c>
    </row>
    <row r="42" customFormat="false" ht="114" hidden="false" customHeight="true" outlineLevel="0" collapsed="false">
      <c r="A42" s="112" t="str">
        <f aca="false">Checks!$A$397&amp;CHAR(10)&amp;IF(Checks!$I$397="","",Checks!$I$397&amp;": ")&amp;Checks!$J$397</f>
        <v>F12-T12-08
Amenities: Toiletry kits - prepared</v>
      </c>
      <c r="B42" s="112" t="str">
        <f aca="false">Checks!$K$397&amp;IF(Checks!$O$397="","",IF(Checks!$K$397="","",CHAR(10))&amp;"Note: "&amp;Checks!$O$397)</f>
        <v>Available (ticked in reference)</v>
      </c>
      <c r="C42" s="112" t="str">
        <f aca="false">Checks!$N$397&amp;CHAR(10)&amp;IF(ISNUMBER(Checks!$R$397),TEXT(Checks!$R$397,"DD-MMM-YY HH:MM"),"")&amp;" "&amp;Checks!$P$397</f>
        <v>Required
12-Oct-26 10:25 KUL</v>
      </c>
      <c r="D42" s="112" t="str">
        <f aca="false">IF(Checks!$U$397="","",Checks!$U$397)&amp;IF(Checks!$AB$397="","",CHAR(10)&amp;"CA: "&amp;Checks!$AB$397)</f>
        <v/>
      </c>
      <c r="E42" s="112" t="str">
        <f aca="false">IF(Checks!$V$397="","",Checks!$V$397)&amp;IF(Checks!$AC$397="","",IF(Checks!$V$397="","",CHAR(10))&amp;"N/A just.: "&amp;Checks!$AC$397)&amp;IF(Checks!$W$397="","",CHAR(10)&amp;"Batch: "&amp;Checks!$W$397)&amp;IF(AND(Checks!$X$397="",Checks!$Y$397=""),"",CHAR(10)&amp;"Exp: "&amp;Checks!$X$397&amp;"  /  Act: "&amp;Checks!$Y$397)</f>
        <v/>
      </c>
      <c r="F42" s="112" t="str">
        <f aca="false">IF(Checks!$Z$397="","","Evidence: "&amp;Checks!$Z$397)&amp;IF(Checks!$AA$397="","",IF(Checks!$Z$397="","",CHAR(10))&amp;"CA: "&amp;Checks!$AA$397)</f>
        <v/>
      </c>
      <c r="G42" s="112" t="str">
        <f aca="false">IF(ISNUMBER(Checks!$AD$397),TEXT(Checks!$AD$397,"DD-MMM-YY HH:MM")&amp;" "&amp;Checks!$P$397,"")&amp;IF(Checks!$AE$397="","",CHAR(10)&amp;"Verifier: "&amp;Checks!$AE$397)&amp;IF(Checks!$T$397="","",CHAR(10)&amp;"PIC: "&amp;Checks!$T$397)</f>
        <v/>
      </c>
      <c r="H42" s="113" t="str">
        <f aca="false">IF(Checks!$AH$397="","",Checks!$AH$397)</f>
        <v>OPEN</v>
      </c>
    </row>
    <row r="43" customFormat="false" ht="114" hidden="false" customHeight="true" outlineLevel="0" collapsed="false">
      <c r="A43" s="112" t="str">
        <f aca="false">Checks!$A$398&amp;CHAR(10)&amp;IF(Checks!$I$398="","",Checks!$I$398&amp;": ")&amp;Checks!$J$398</f>
        <v>F12-T12-09
Amenities: Slippers (BS/BC) - prepared</v>
      </c>
      <c r="B43" s="112" t="str">
        <f aca="false">Checks!$K$398&amp;IF(Checks!$O$398="","",IF(Checks!$K$398="","",CHAR(10))&amp;"Note: "&amp;Checks!$O$398)</f>
        <v>Available (ticked in reference)</v>
      </c>
      <c r="C43" s="112" t="str">
        <f aca="false">Checks!$N$398&amp;CHAR(10)&amp;IF(ISNUMBER(Checks!$R$398),TEXT(Checks!$R$398,"DD-MMM-YY HH:MM"),"")&amp;" "&amp;Checks!$P$398</f>
        <v>Required
12-Oct-26 10:25 KUL</v>
      </c>
      <c r="D43" s="112" t="str">
        <f aca="false">IF(Checks!$U$398="","",Checks!$U$398)&amp;IF(Checks!$AB$398="","",CHAR(10)&amp;"CA: "&amp;Checks!$AB$398)</f>
        <v/>
      </c>
      <c r="E43" s="112" t="str">
        <f aca="false">IF(Checks!$V$398="","",Checks!$V$398)&amp;IF(Checks!$AC$398="","",IF(Checks!$V$398="","",CHAR(10))&amp;"N/A just.: "&amp;Checks!$AC$398)&amp;IF(Checks!$W$398="","",CHAR(10)&amp;"Batch: "&amp;Checks!$W$398)&amp;IF(AND(Checks!$X$398="",Checks!$Y$398=""),"",CHAR(10)&amp;"Exp: "&amp;Checks!$X$398&amp;"  /  Act: "&amp;Checks!$Y$398)</f>
        <v/>
      </c>
      <c r="F43" s="112" t="str">
        <f aca="false">IF(Checks!$Z$398="","","Evidence: "&amp;Checks!$Z$398)&amp;IF(Checks!$AA$398="","",IF(Checks!$Z$398="","",CHAR(10))&amp;"CA: "&amp;Checks!$AA$398)</f>
        <v/>
      </c>
      <c r="G43" s="112" t="str">
        <f aca="false">IF(ISNUMBER(Checks!$AD$398),TEXT(Checks!$AD$398,"DD-MMM-YY HH:MM")&amp;" "&amp;Checks!$P$398,"")&amp;IF(Checks!$AE$398="","",CHAR(10)&amp;"Verifier: "&amp;Checks!$AE$398)&amp;IF(Checks!$T$398="","",CHAR(10)&amp;"PIC: "&amp;Checks!$T$398)</f>
        <v/>
      </c>
      <c r="H43" s="113" t="str">
        <f aca="false">IF(Checks!$AH$398="","",Checks!$AH$398)</f>
        <v>OPEN</v>
      </c>
    </row>
    <row r="44" customFormat="false" ht="114" hidden="false" customHeight="true" outlineLevel="0" collapsed="false">
      <c r="A44" s="112" t="str">
        <f aca="false">Checks!$A$399&amp;CHAR(10)&amp;IF(Checks!$I$399="","",Checks!$I$399&amp;": ")&amp;Checks!$J$399</f>
        <v>F12-T12-10
F&amp;B Linen: Towel - prepared</v>
      </c>
      <c r="B44" s="112" t="str">
        <f aca="false">Checks!$K$399&amp;IF(Checks!$O$399="","",IF(Checks!$K$399="","",CHAR(10))&amp;"Note: "&amp;Checks!$O$399)</f>
        <v>Available (ticked in reference)
Note: Reference gives no uplift stn for this item: preparation checked at the meal uplift stn (KUL) - confirm with caterer.</v>
      </c>
      <c r="C44" s="112" t="str">
        <f aca="false">Checks!$N$399&amp;CHAR(10)&amp;IF(ISNUMBER(Checks!$R$399),TEXT(Checks!$R$399,"DD-MMM-YY HH:MM"),"")&amp;" "&amp;Checks!$P$399</f>
        <v>Required
12-Oct-26 10:25 KUL</v>
      </c>
      <c r="D44" s="112" t="str">
        <f aca="false">IF(Checks!$U$399="","",Checks!$U$399)&amp;IF(Checks!$AB$399="","",CHAR(10)&amp;"CA: "&amp;Checks!$AB$399)</f>
        <v/>
      </c>
      <c r="E44" s="112" t="str">
        <f aca="false">IF(Checks!$V$399="","",Checks!$V$399)&amp;IF(Checks!$AC$399="","",IF(Checks!$V$399="","",CHAR(10))&amp;"N/A just.: "&amp;Checks!$AC$399)&amp;IF(Checks!$W$399="","",CHAR(10)&amp;"Batch: "&amp;Checks!$W$399)&amp;IF(AND(Checks!$X$399="",Checks!$Y$399=""),"",CHAR(10)&amp;"Exp: "&amp;Checks!$X$399&amp;"  /  Act: "&amp;Checks!$Y$399)</f>
        <v/>
      </c>
      <c r="F44" s="112" t="str">
        <f aca="false">IF(Checks!$Z$399="","","Evidence: "&amp;Checks!$Z$399)&amp;IF(Checks!$AA$399="","",IF(Checks!$Z$399="","",CHAR(10))&amp;"CA: "&amp;Checks!$AA$399)</f>
        <v/>
      </c>
      <c r="G44" s="112" t="str">
        <f aca="false">IF(ISNUMBER(Checks!$AD$399),TEXT(Checks!$AD$399,"DD-MMM-YY HH:MM")&amp;" "&amp;Checks!$P$399,"")&amp;IF(Checks!$AE$399="","",CHAR(10)&amp;"Verifier: "&amp;Checks!$AE$399)&amp;IF(Checks!$T$399="","",CHAR(10)&amp;"PIC: "&amp;Checks!$T$399)</f>
        <v/>
      </c>
      <c r="H44" s="113" t="str">
        <f aca="false">IF(Checks!$AH$399="","",Checks!$AH$399)</f>
        <v>OPEN</v>
      </c>
    </row>
    <row r="45" customFormat="false" ht="114" hidden="false" customHeight="true" outlineLevel="0" collapsed="false">
      <c r="A45" s="112" t="str">
        <f aca="false">Checks!$A$400&amp;CHAR(10)&amp;IF(Checks!$I$400="","",Checks!$I$400&amp;": ")&amp;Checks!$J$400</f>
        <v>F12-T12-11
F&amp;B Linen: Tray cloth - prepared</v>
      </c>
      <c r="B45" s="112" t="str">
        <f aca="false">Checks!$K$400&amp;IF(Checks!$O$400="","",IF(Checks!$K$400="","",CHAR(10))&amp;"Note: "&amp;Checks!$O$400)</f>
        <v>Available (ticked in reference)
Note: Reference gives no uplift stn for this item: preparation checked at the meal uplift stn (KUL) - confirm with caterer.</v>
      </c>
      <c r="C45" s="112" t="str">
        <f aca="false">Checks!$N$400&amp;CHAR(10)&amp;IF(ISNUMBER(Checks!$R$400),TEXT(Checks!$R$400,"DD-MMM-YY HH:MM"),"")&amp;" "&amp;Checks!$P$400</f>
        <v>Required
12-Oct-26 10:25 KUL</v>
      </c>
      <c r="D45" s="112" t="str">
        <f aca="false">IF(Checks!$U$400="","",Checks!$U$400)&amp;IF(Checks!$AB$400="","",CHAR(10)&amp;"CA: "&amp;Checks!$AB$400)</f>
        <v/>
      </c>
      <c r="E45" s="112" t="str">
        <f aca="false">IF(Checks!$V$400="","",Checks!$V$400)&amp;IF(Checks!$AC$400="","",IF(Checks!$V$400="","",CHAR(10))&amp;"N/A just.: "&amp;Checks!$AC$400)&amp;IF(Checks!$W$400="","",CHAR(10)&amp;"Batch: "&amp;Checks!$W$400)&amp;IF(AND(Checks!$X$400="",Checks!$Y$400=""),"",CHAR(10)&amp;"Exp: "&amp;Checks!$X$400&amp;"  /  Act: "&amp;Checks!$Y$400)</f>
        <v/>
      </c>
      <c r="F45" s="112" t="str">
        <f aca="false">IF(Checks!$Z$400="","","Evidence: "&amp;Checks!$Z$400)&amp;IF(Checks!$AA$400="","",IF(Checks!$Z$400="","",CHAR(10))&amp;"CA: "&amp;Checks!$AA$400)</f>
        <v/>
      </c>
      <c r="G45" s="112" t="str">
        <f aca="false">IF(ISNUMBER(Checks!$AD$400),TEXT(Checks!$AD$400,"DD-MMM-YY HH:MM")&amp;" "&amp;Checks!$P$400,"")&amp;IF(Checks!$AE$400="","",CHAR(10)&amp;"Verifier: "&amp;Checks!$AE$400)&amp;IF(Checks!$T$400="","",CHAR(10)&amp;"PIC: "&amp;Checks!$T$400)</f>
        <v/>
      </c>
      <c r="H45" s="113" t="str">
        <f aca="false">IF(Checks!$AH$400="","",Checks!$AH$400)</f>
        <v>OPEN</v>
      </c>
    </row>
    <row r="46" customFormat="false" ht="114" hidden="false" customHeight="true" outlineLevel="0" collapsed="false">
      <c r="A46" s="112" t="str">
        <f aca="false">Checks!$A$401&amp;CHAR(10)&amp;IF(Checks!$I$401="","",Checks!$I$401&amp;": ")&amp;Checks!$J$401</f>
        <v>F12-T12-12
F&amp;B Linen: Napkin - prepared</v>
      </c>
      <c r="B46" s="112" t="str">
        <f aca="false">Checks!$K$401&amp;IF(Checks!$O$401="","",IF(Checks!$K$401="","",CHAR(10))&amp;"Note: "&amp;Checks!$O$401)</f>
        <v>Available (ticked in reference)
Note: Reference gives no uplift stn for this item: preparation checked at the meal uplift stn (KUL) - confirm with caterer.</v>
      </c>
      <c r="C46" s="112" t="str">
        <f aca="false">Checks!$N$401&amp;CHAR(10)&amp;IF(ISNUMBER(Checks!$R$401),TEXT(Checks!$R$401,"DD-MMM-YY HH:MM"),"")&amp;" "&amp;Checks!$P$401</f>
        <v>Required
12-Oct-26 10:25 KUL</v>
      </c>
      <c r="D46" s="112" t="str">
        <f aca="false">IF(Checks!$U$401="","",Checks!$U$401)&amp;IF(Checks!$AB$401="","",CHAR(10)&amp;"CA: "&amp;Checks!$AB$401)</f>
        <v/>
      </c>
      <c r="E46" s="112" t="str">
        <f aca="false">IF(Checks!$V$401="","",Checks!$V$401)&amp;IF(Checks!$AC$401="","",IF(Checks!$V$401="","",CHAR(10))&amp;"N/A just.: "&amp;Checks!$AC$401)&amp;IF(Checks!$W$401="","",CHAR(10)&amp;"Batch: "&amp;Checks!$W$401)&amp;IF(AND(Checks!$X$401="",Checks!$Y$401=""),"",CHAR(10)&amp;"Exp: "&amp;Checks!$X$401&amp;"  /  Act: "&amp;Checks!$Y$401)</f>
        <v/>
      </c>
      <c r="F46" s="112" t="str">
        <f aca="false">IF(Checks!$Z$401="","","Evidence: "&amp;Checks!$Z$401)&amp;IF(Checks!$AA$401="","",IF(Checks!$Z$401="","",CHAR(10))&amp;"CA: "&amp;Checks!$AA$401)</f>
        <v/>
      </c>
      <c r="G46" s="112" t="str">
        <f aca="false">IF(ISNUMBER(Checks!$AD$401),TEXT(Checks!$AD$401,"DD-MMM-YY HH:MM")&amp;" "&amp;Checks!$P$401,"")&amp;IF(Checks!$AE$401="","",CHAR(10)&amp;"Verifier: "&amp;Checks!$AE$401)&amp;IF(Checks!$T$401="","",CHAR(10)&amp;"PIC: "&amp;Checks!$T$401)</f>
        <v/>
      </c>
      <c r="H46" s="113" t="str">
        <f aca="false">IF(Checks!$AH$401="","",Checks!$AH$401)</f>
        <v>OPEN</v>
      </c>
    </row>
    <row r="47" customFormat="false" ht="114" hidden="false" customHeight="true" outlineLevel="0" collapsed="false">
      <c r="A47" s="112" t="str">
        <f aca="false">Checks!$A$402&amp;CHAR(10)&amp;IF(Checks!$I$402="","",Checks!$I$402&amp;": ")&amp;Checks!$J$402</f>
        <v>F12-T12-13
F&amp;B Linen: Table cloth - prepared</v>
      </c>
      <c r="B47" s="112" t="str">
        <f aca="false">Checks!$K$402&amp;IF(Checks!$O$402="","",IF(Checks!$K$402="","",CHAR(10))&amp;"Note: "&amp;Checks!$O$402)</f>
        <v>Available (ticked in reference)
Note: Reference gives no uplift stn for this item: preparation checked at the meal uplift stn (KUL) - confirm with caterer.</v>
      </c>
      <c r="C47" s="112" t="str">
        <f aca="false">Checks!$N$402&amp;CHAR(10)&amp;IF(ISNUMBER(Checks!$R$402),TEXT(Checks!$R$402,"DD-MMM-YY HH:MM"),"")&amp;" "&amp;Checks!$P$402</f>
        <v>Required
12-Oct-26 10:25 KUL</v>
      </c>
      <c r="D47" s="112" t="str">
        <f aca="false">IF(Checks!$U$402="","",Checks!$U$402)&amp;IF(Checks!$AB$402="","",CHAR(10)&amp;"CA: "&amp;Checks!$AB$402)</f>
        <v/>
      </c>
      <c r="E47" s="112" t="str">
        <f aca="false">IF(Checks!$V$402="","",Checks!$V$402)&amp;IF(Checks!$AC$402="","",IF(Checks!$V$402="","",CHAR(10))&amp;"N/A just.: "&amp;Checks!$AC$402)&amp;IF(Checks!$W$402="","",CHAR(10)&amp;"Batch: "&amp;Checks!$W$402)&amp;IF(AND(Checks!$X$402="",Checks!$Y$402=""),"",CHAR(10)&amp;"Exp: "&amp;Checks!$X$402&amp;"  /  Act: "&amp;Checks!$Y$402)</f>
        <v/>
      </c>
      <c r="F47" s="112" t="str">
        <f aca="false">IF(Checks!$Z$402="","","Evidence: "&amp;Checks!$Z$402)&amp;IF(Checks!$AA$402="","",IF(Checks!$Z$402="","",CHAR(10))&amp;"CA: "&amp;Checks!$AA$402)</f>
        <v/>
      </c>
      <c r="G47" s="112" t="str">
        <f aca="false">IF(ISNUMBER(Checks!$AD$402),TEXT(Checks!$AD$402,"DD-MMM-YY HH:MM")&amp;" "&amp;Checks!$P$402,"")&amp;IF(Checks!$AE$402="","",CHAR(10)&amp;"Verifier: "&amp;Checks!$AE$402)&amp;IF(Checks!$T$402="","",CHAR(10)&amp;"PIC: "&amp;Checks!$T$402)</f>
        <v/>
      </c>
      <c r="H47" s="113" t="str">
        <f aca="false">IF(Checks!$AH$402="","",Checks!$AH$402)</f>
        <v>OPEN</v>
      </c>
    </row>
    <row r="48" customFormat="false" ht="114" hidden="false" customHeight="true" outlineLevel="0" collapsed="false">
      <c r="A48" s="112" t="str">
        <f aca="false">Checks!$A$403&amp;CHAR(10)&amp;IF(Checks!$I$403="","",Checks!$I$403&amp;": ")&amp;Checks!$J$403</f>
        <v>F12-T12-14
F&amp;B Linen: Bread linen (using table cloth) - prepared</v>
      </c>
      <c r="B48" s="112" t="str">
        <f aca="false">Checks!$K$403&amp;IF(Checks!$O$403="","",IF(Checks!$K$403="","",CHAR(10))&amp;"Note: "&amp;Checks!$O$403)</f>
        <v>Available (ticked in reference)
Note: Reference gives no uplift stn for this item: preparation checked at the meal uplift stn (KUL) - confirm with caterer.</v>
      </c>
      <c r="C48" s="112" t="str">
        <f aca="false">Checks!$N$403&amp;CHAR(10)&amp;IF(ISNUMBER(Checks!$R$403),TEXT(Checks!$R$403,"DD-MMM-YY HH:MM"),"")&amp;" "&amp;Checks!$P$403</f>
        <v>Required
12-Oct-26 10:25 KUL</v>
      </c>
      <c r="D48" s="112" t="str">
        <f aca="false">IF(Checks!$U$403="","",Checks!$U$403)&amp;IF(Checks!$AB$403="","",CHAR(10)&amp;"CA: "&amp;Checks!$AB$403)</f>
        <v/>
      </c>
      <c r="E48" s="112" t="str">
        <f aca="false">IF(Checks!$V$403="","",Checks!$V$403)&amp;IF(Checks!$AC$403="","",IF(Checks!$V$403="","",CHAR(10))&amp;"N/A just.: "&amp;Checks!$AC$403)&amp;IF(Checks!$W$403="","",CHAR(10)&amp;"Batch: "&amp;Checks!$W$403)&amp;IF(AND(Checks!$X$403="",Checks!$Y$403=""),"",CHAR(10)&amp;"Exp: "&amp;Checks!$X$403&amp;"  /  Act: "&amp;Checks!$Y$403)</f>
        <v/>
      </c>
      <c r="F48" s="112" t="str">
        <f aca="false">IF(Checks!$Z$403="","","Evidence: "&amp;Checks!$Z$403)&amp;IF(Checks!$AA$403="","",IF(Checks!$Z$403="","",CHAR(10))&amp;"CA: "&amp;Checks!$AA$403)</f>
        <v/>
      </c>
      <c r="G48" s="112" t="str">
        <f aca="false">IF(ISNUMBER(Checks!$AD$403),TEXT(Checks!$AD$403,"DD-MMM-YY HH:MM")&amp;" "&amp;Checks!$P$403,"")&amp;IF(Checks!$AE$403="","",CHAR(10)&amp;"Verifier: "&amp;Checks!$AE$403)&amp;IF(Checks!$T$403="","",CHAR(10)&amp;"PIC: "&amp;Checks!$T$403)</f>
        <v/>
      </c>
      <c r="H48" s="113" t="str">
        <f aca="false">IF(Checks!$AH$403="","",Checks!$AH$403)</f>
        <v>OPEN</v>
      </c>
    </row>
    <row r="49" customFormat="false" ht="124.5" hidden="false" customHeight="true" outlineLevel="0" collapsed="false">
      <c r="A49" s="112" t="str">
        <f aca="false">Checks!$A$404&amp;CHAR(10)&amp;IF(Checks!$I$404="","",Checks!$I$404&amp;": ")&amp;Checks!$J$404</f>
        <v>F12-T12-15
F&amp;B Linen: Trolley cloth - prepared</v>
      </c>
      <c r="B49" s="112"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2" t="str">
        <f aca="false">Checks!$N$404&amp;CHAR(10)&amp;IF(ISNUMBER(Checks!$R$404),TEXT(Checks!$R$404,"DD-MMM-YY HH:MM"),"")&amp;" "&amp;Checks!$P$404</f>
        <v>Required
12-Oct-26 10:25 KUL</v>
      </c>
      <c r="D49" s="112" t="str">
        <f aca="false">IF(Checks!$U$404="","",Checks!$U$404)&amp;IF(Checks!$AB$404="","",CHAR(10)&amp;"CA: "&amp;Checks!$AB$404)</f>
        <v/>
      </c>
      <c r="E49" s="112" t="str">
        <f aca="false">IF(Checks!$V$404="","",Checks!$V$404)&amp;IF(Checks!$AC$404="","",IF(Checks!$V$404="","",CHAR(10))&amp;"N/A just.: "&amp;Checks!$AC$404)&amp;IF(Checks!$W$404="","",CHAR(10)&amp;"Batch: "&amp;Checks!$W$404)&amp;IF(AND(Checks!$X$404="",Checks!$Y$404=""),"",CHAR(10)&amp;"Exp: "&amp;Checks!$X$404&amp;"  /  Act: "&amp;Checks!$Y$404)</f>
        <v/>
      </c>
      <c r="F49" s="112" t="str">
        <f aca="false">IF(Checks!$Z$404="","","Evidence: "&amp;Checks!$Z$404)&amp;IF(Checks!$AA$404="","",IF(Checks!$Z$404="","",CHAR(10))&amp;"CA: "&amp;Checks!$AA$404)</f>
        <v/>
      </c>
      <c r="G49" s="112" t="str">
        <f aca="false">IF(ISNUMBER(Checks!$AD$404),TEXT(Checks!$AD$404,"DD-MMM-YY HH:MM")&amp;" "&amp;Checks!$P$404,"")&amp;IF(Checks!$AE$404="","",CHAR(10)&amp;"Verifier: "&amp;Checks!$AE$404)&amp;IF(Checks!$T$404="","",CHAR(10)&amp;"PIC: "&amp;Checks!$T$404)</f>
        <v/>
      </c>
      <c r="H49" s="113" t="str">
        <f aca="false">IF(Checks!$AH$404="","",Checks!$AH$404)</f>
        <v>OPEN</v>
      </c>
    </row>
    <row r="50" customFormat="false" ht="114" hidden="false" customHeight="true" outlineLevel="0" collapsed="false">
      <c r="A50" s="112" t="str">
        <f aca="false">Checks!$A$405&amp;CHAR(10)&amp;IF(Checks!$I$405="","",Checks!$I$405&amp;": ")&amp;Checks!$J$405</f>
        <v>F12-T12-16
F&amp;B Linen: Linen bag - prepared</v>
      </c>
      <c r="B50" s="112" t="str">
        <f aca="false">Checks!$K$405&amp;IF(Checks!$O$405="","",IF(Checks!$K$405="","",CHAR(10))&amp;"Note: "&amp;Checks!$O$405)</f>
        <v>Available (ticked in reference)
Note: Reference gives no uplift stn for this item: preparation checked at the meal uplift stn (KUL) - confirm with caterer.</v>
      </c>
      <c r="C50" s="112" t="str">
        <f aca="false">Checks!$N$405&amp;CHAR(10)&amp;IF(ISNUMBER(Checks!$R$405),TEXT(Checks!$R$405,"DD-MMM-YY HH:MM"),"")&amp;" "&amp;Checks!$P$405</f>
        <v>Required
12-Oct-26 10:25 KUL</v>
      </c>
      <c r="D50" s="112" t="str">
        <f aca="false">IF(Checks!$U$405="","",Checks!$U$405)&amp;IF(Checks!$AB$405="","",CHAR(10)&amp;"CA: "&amp;Checks!$AB$405)</f>
        <v/>
      </c>
      <c r="E50" s="112" t="str">
        <f aca="false">IF(Checks!$V$405="","",Checks!$V$405)&amp;IF(Checks!$AC$405="","",IF(Checks!$V$405="","",CHAR(10))&amp;"N/A just.: "&amp;Checks!$AC$405)&amp;IF(Checks!$W$405="","",CHAR(10)&amp;"Batch: "&amp;Checks!$W$405)&amp;IF(AND(Checks!$X$405="",Checks!$Y$405=""),"",CHAR(10)&amp;"Exp: "&amp;Checks!$X$405&amp;"  /  Act: "&amp;Checks!$Y$405)</f>
        <v/>
      </c>
      <c r="F50" s="112" t="str">
        <f aca="false">IF(Checks!$Z$405="","","Evidence: "&amp;Checks!$Z$405)&amp;IF(Checks!$AA$405="","",IF(Checks!$Z$405="","",CHAR(10))&amp;"CA: "&amp;Checks!$AA$405)</f>
        <v/>
      </c>
      <c r="G50" s="112" t="str">
        <f aca="false">IF(ISNUMBER(Checks!$AD$405),TEXT(Checks!$AD$405,"DD-MMM-YY HH:MM")&amp;" "&amp;Checks!$P$405,"")&amp;IF(Checks!$AE$405="","",CHAR(10)&amp;"Verifier: "&amp;Checks!$AE$405)&amp;IF(Checks!$T$405="","",CHAR(10)&amp;"PIC: "&amp;Checks!$T$405)</f>
        <v/>
      </c>
      <c r="H50" s="113" t="str">
        <f aca="false">IF(Checks!$AH$405="","",Checks!$AH$405)</f>
        <v>OPEN</v>
      </c>
    </row>
    <row r="51" customFormat="false" ht="114" hidden="false" customHeight="true" outlineLevel="0" collapsed="false">
      <c r="A51" s="112" t="str">
        <f aca="false">Checks!$A$406&amp;CHAR(10)&amp;IF(Checks!$I$406="","",Checks!$I$406&amp;": ")&amp;Checks!$J$406</f>
        <v>F12-T12-17
Seat Linen: Seat pillow (BS &amp; BC) - prepared</v>
      </c>
      <c r="B51" s="112" t="str">
        <f aca="false">Checks!$K$406&amp;IF(Checks!$O$406="","",IF(Checks!$K$406="","",CHAR(10))&amp;"Note: "&amp;Checks!$O$406)</f>
        <v>Available 100% (ticked in reference)
Note: Reference gives no uplift stn for this item: preparation checked at the meal uplift stn (KUL) - confirm with caterer.</v>
      </c>
      <c r="C51" s="112" t="str">
        <f aca="false">Checks!$N$406&amp;CHAR(10)&amp;IF(ISNUMBER(Checks!$R$406),TEXT(Checks!$R$406,"DD-MMM-YY HH:MM"),"")&amp;" "&amp;Checks!$P$406</f>
        <v>Required
12-Oct-26 10:25 KUL</v>
      </c>
      <c r="D51" s="112" t="str">
        <f aca="false">IF(Checks!$U$406="","",Checks!$U$406)&amp;IF(Checks!$AB$406="","",CHAR(10)&amp;"CA: "&amp;Checks!$AB$406)</f>
        <v/>
      </c>
      <c r="E51" s="112" t="str">
        <f aca="false">IF(Checks!$V$406="","",Checks!$V$406)&amp;IF(Checks!$AC$406="","",IF(Checks!$V$406="","",CHAR(10))&amp;"N/A just.: "&amp;Checks!$AC$406)&amp;IF(Checks!$W$406="","",CHAR(10)&amp;"Batch: "&amp;Checks!$W$406)&amp;IF(AND(Checks!$X$406="",Checks!$Y$406=""),"",CHAR(10)&amp;"Exp: "&amp;Checks!$X$406&amp;"  /  Act: "&amp;Checks!$Y$406)</f>
        <v/>
      </c>
      <c r="F51" s="112" t="str">
        <f aca="false">IF(Checks!$Z$406="","","Evidence: "&amp;Checks!$Z$406)&amp;IF(Checks!$AA$406="","",IF(Checks!$Z$406="","",CHAR(10))&amp;"CA: "&amp;Checks!$AA$406)</f>
        <v/>
      </c>
      <c r="G51" s="112" t="str">
        <f aca="false">IF(ISNUMBER(Checks!$AD$406),TEXT(Checks!$AD$406,"DD-MMM-YY HH:MM")&amp;" "&amp;Checks!$P$406,"")&amp;IF(Checks!$AE$406="","",CHAR(10)&amp;"Verifier: "&amp;Checks!$AE$406)&amp;IF(Checks!$T$406="","",CHAR(10)&amp;"PIC: "&amp;Checks!$T$406)</f>
        <v/>
      </c>
      <c r="H51" s="113" t="str">
        <f aca="false">IF(Checks!$AH$406="","",Checks!$AH$406)</f>
        <v>OPEN</v>
      </c>
    </row>
    <row r="52" customFormat="false" ht="114" hidden="false" customHeight="true" outlineLevel="0" collapsed="false">
      <c r="A52" s="112" t="str">
        <f aca="false">Checks!$A$407&amp;CHAR(10)&amp;IF(Checks!$I$407="","",Checks!$I$407&amp;": ")&amp;Checks!$J$407</f>
        <v>F12-T12-18
Seat Linen: Duvet (BS &amp; BC) - prepared</v>
      </c>
      <c r="B52" s="112" t="str">
        <f aca="false">Checks!$K$407&amp;IF(Checks!$O$407="","",IF(Checks!$K$407="","",CHAR(10))&amp;"Note: "&amp;Checks!$O$407)</f>
        <v>Available 100% (ticked in reference)
Note: Reference gives no uplift stn for this item: preparation checked at the meal uplift stn (KUL) - confirm with caterer.</v>
      </c>
      <c r="C52" s="112" t="str">
        <f aca="false">Checks!$N$407&amp;CHAR(10)&amp;IF(ISNUMBER(Checks!$R$407),TEXT(Checks!$R$407,"DD-MMM-YY HH:MM"),"")&amp;" "&amp;Checks!$P$407</f>
        <v>Required
12-Oct-26 10:25 KUL</v>
      </c>
      <c r="D52" s="112" t="str">
        <f aca="false">IF(Checks!$U$407="","",Checks!$U$407)&amp;IF(Checks!$AB$407="","",CHAR(10)&amp;"CA: "&amp;Checks!$AB$407)</f>
        <v/>
      </c>
      <c r="E52" s="112" t="str">
        <f aca="false">IF(Checks!$V$407="","",Checks!$V$407)&amp;IF(Checks!$AC$407="","",IF(Checks!$V$407="","",CHAR(10))&amp;"N/A just.: "&amp;Checks!$AC$407)&amp;IF(Checks!$W$407="","",CHAR(10)&amp;"Batch: "&amp;Checks!$W$407)&amp;IF(AND(Checks!$X$407="",Checks!$Y$407=""),"",CHAR(10)&amp;"Exp: "&amp;Checks!$X$407&amp;"  /  Act: "&amp;Checks!$Y$407)</f>
        <v/>
      </c>
      <c r="F52" s="112" t="str">
        <f aca="false">IF(Checks!$Z$407="","","Evidence: "&amp;Checks!$Z$407)&amp;IF(Checks!$AA$407="","",IF(Checks!$Z$407="","",CHAR(10))&amp;"CA: "&amp;Checks!$AA$407)</f>
        <v/>
      </c>
      <c r="G52" s="112" t="str">
        <f aca="false">IF(ISNUMBER(Checks!$AD$407),TEXT(Checks!$AD$407,"DD-MMM-YY HH:MM")&amp;" "&amp;Checks!$P$407,"")&amp;IF(Checks!$AE$407="","",CHAR(10)&amp;"Verifier: "&amp;Checks!$AE$407)&amp;IF(Checks!$T$407="","",CHAR(10)&amp;"PIC: "&amp;Checks!$T$407)</f>
        <v/>
      </c>
      <c r="H52" s="113" t="str">
        <f aca="false">IF(Checks!$AH$407="","",Checks!$AH$407)</f>
        <v>OPEN</v>
      </c>
    </row>
    <row r="53" customFormat="false" ht="114" hidden="false" customHeight="true" outlineLevel="0" collapsed="false">
      <c r="A53" s="112" t="str">
        <f aca="false">Checks!$A$408&amp;CHAR(10)&amp;IF(Checks!$I$408="","",Checks!$I$408&amp;": ")&amp;Checks!$J$408</f>
        <v>F12-T12-19
Seat Linen: Mattress (BS &amp; BC) - prepared</v>
      </c>
      <c r="B53" s="112" t="str">
        <f aca="false">Checks!$K$408&amp;IF(Checks!$O$408="","",IF(Checks!$K$408="","",CHAR(10))&amp;"Note: "&amp;Checks!$O$408)</f>
        <v>Available 100% (ticked in reference)
Note: Reference gives no uplift stn for this item: preparation checked at the meal uplift stn (KUL) - confirm with caterer.</v>
      </c>
      <c r="C53" s="112" t="str">
        <f aca="false">Checks!$N$408&amp;CHAR(10)&amp;IF(ISNUMBER(Checks!$R$408),TEXT(Checks!$R$408,"DD-MMM-YY HH:MM"),"")&amp;" "&amp;Checks!$P$408</f>
        <v>Required
12-Oct-26 10:25 KUL</v>
      </c>
      <c r="D53" s="112" t="str">
        <f aca="false">IF(Checks!$U$408="","",Checks!$U$408)&amp;IF(Checks!$AB$408="","",CHAR(10)&amp;"CA: "&amp;Checks!$AB$408)</f>
        <v/>
      </c>
      <c r="E53" s="112" t="str">
        <f aca="false">IF(Checks!$V$408="","",Checks!$V$408)&amp;IF(Checks!$AC$408="","",IF(Checks!$V$408="","",CHAR(10))&amp;"N/A just.: "&amp;Checks!$AC$408)&amp;IF(Checks!$W$408="","",CHAR(10)&amp;"Batch: "&amp;Checks!$W$408)&amp;IF(AND(Checks!$X$408="",Checks!$Y$408=""),"",CHAR(10)&amp;"Exp: "&amp;Checks!$X$408&amp;"  /  Act: "&amp;Checks!$Y$408)</f>
        <v/>
      </c>
      <c r="F53" s="112" t="str">
        <f aca="false">IF(Checks!$Z$408="","","Evidence: "&amp;Checks!$Z$408)&amp;IF(Checks!$AA$408="","",IF(Checks!$Z$408="","",CHAR(10))&amp;"CA: "&amp;Checks!$AA$408)</f>
        <v/>
      </c>
      <c r="G53" s="112" t="str">
        <f aca="false">IF(ISNUMBER(Checks!$AD$408),TEXT(Checks!$AD$408,"DD-MMM-YY HH:MM")&amp;" "&amp;Checks!$P$408,"")&amp;IF(Checks!$AE$408="","",CHAR(10)&amp;"Verifier: "&amp;Checks!$AE$408)&amp;IF(Checks!$T$408="","",CHAR(10)&amp;"PIC: "&amp;Checks!$T$408)</f>
        <v/>
      </c>
      <c r="H53" s="113" t="str">
        <f aca="false">IF(Checks!$AH$408="","",Checks!$AH$408)</f>
        <v>OPEN</v>
      </c>
    </row>
    <row r="54" customFormat="false" ht="114" hidden="false" customHeight="true" outlineLevel="0" collapsed="false">
      <c r="A54" s="112" t="str">
        <f aca="false">Checks!$A$409&amp;CHAR(10)&amp;IF(Checks!$I$409="","",Checks!$I$409&amp;": ")&amp;Checks!$J$409</f>
        <v>F12-T12-20
Signature Drinks: Signature drink &amp; garnish (BC) - prepared</v>
      </c>
      <c r="B54" s="112" t="str">
        <f aca="false">Checks!$K$409&amp;IF(Checks!$O$409="","",IF(Checks!$K$409="","",CHAR(10))&amp;"Note: "&amp;Checks!$O$409)</f>
        <v>Available (ticked in reference)
Note: Signature drinks &amp; garnish uplifted from KUL (note D79).</v>
      </c>
      <c r="C54" s="112" t="str">
        <f aca="false">Checks!$N$409&amp;CHAR(10)&amp;IF(ISNUMBER(Checks!$R$409),TEXT(Checks!$R$409,"DD-MMM-YY HH:MM"),"")&amp;" "&amp;Checks!$P$409</f>
        <v>Required
12-Oct-26 10:25 KUL</v>
      </c>
      <c r="D54" s="112" t="str">
        <f aca="false">IF(Checks!$U$409="","",Checks!$U$409)&amp;IF(Checks!$AB$409="","",CHAR(10)&amp;"CA: "&amp;Checks!$AB$409)</f>
        <v/>
      </c>
      <c r="E54" s="112" t="str">
        <f aca="false">IF(Checks!$V$409="","",Checks!$V$409)&amp;IF(Checks!$AC$409="","",IF(Checks!$V$409="","",CHAR(10))&amp;"N/A just.: "&amp;Checks!$AC$409)&amp;IF(Checks!$W$409="","",CHAR(10)&amp;"Batch: "&amp;Checks!$W$409)&amp;IF(AND(Checks!$X$409="",Checks!$Y$409=""),"",CHAR(10)&amp;"Exp: "&amp;Checks!$X$409&amp;"  /  Act: "&amp;Checks!$Y$409)</f>
        <v/>
      </c>
      <c r="F54" s="112" t="str">
        <f aca="false">IF(Checks!$Z$409="","","Evidence: "&amp;Checks!$Z$409)&amp;IF(Checks!$AA$409="","",IF(Checks!$Z$409="","",CHAR(10))&amp;"CA: "&amp;Checks!$AA$409)</f>
        <v/>
      </c>
      <c r="G54" s="112" t="str">
        <f aca="false">IF(ISNUMBER(Checks!$AD$409),TEXT(Checks!$AD$409,"DD-MMM-YY HH:MM")&amp;" "&amp;Checks!$P$409,"")&amp;IF(Checks!$AE$409="","",CHAR(10)&amp;"Verifier: "&amp;Checks!$AE$409)&amp;IF(Checks!$T$409="","",CHAR(10)&amp;"PIC: "&amp;Checks!$T$409)</f>
        <v/>
      </c>
      <c r="H54" s="113" t="str">
        <f aca="false">IF(Checks!$AH$409="","",Checks!$AH$409)</f>
        <v>OPEN</v>
      </c>
    </row>
    <row r="55" customFormat="false" ht="114" hidden="false" customHeight="true" outlineLevel="0" collapsed="false">
      <c r="A55" s="112" t="str">
        <f aca="false">Checks!$A$410&amp;CHAR(10)&amp;IF(Checks!$I$410="","",Checks!$I$410&amp;": ")&amp;Checks!$J$410</f>
        <v>F12-T12-21
Sales Cart: Sales cart (caterer PASB) - prepared</v>
      </c>
      <c r="B55" s="112" t="str">
        <f aca="false">Checks!$K$410&amp;IF(Checks!$O$410="","",IF(Checks!$K$410="","",CHAR(10))&amp;"Note: "&amp;Checks!$O$410)</f>
        <v>Location 241 &amp; 947 (A339)
Note: Block 7.08 h &gt;= 4 h. Reference gives no uplift stn for this item: preparation checked at the meal uplift stn (KUL) - confirm with caterer.</v>
      </c>
      <c r="C55" s="112" t="str">
        <f aca="false">Checks!$N$410&amp;CHAR(10)&amp;IF(ISNUMBER(Checks!$R$410),TEXT(Checks!$R$410,"DD-MMM-YY HH:MM"),"")&amp;" "&amp;Checks!$P$410</f>
        <v>Required
12-Oct-26 10:25 KUL</v>
      </c>
      <c r="D55" s="112" t="str">
        <f aca="false">IF(Checks!$U$410="","",Checks!$U$410)&amp;IF(Checks!$AB$410="","",CHAR(10)&amp;"CA: "&amp;Checks!$AB$410)</f>
        <v/>
      </c>
      <c r="E55" s="112" t="str">
        <f aca="false">IF(Checks!$V$410="","",Checks!$V$410)&amp;IF(Checks!$AC$410="","",IF(Checks!$V$410="","",CHAR(10))&amp;"N/A just.: "&amp;Checks!$AC$410)&amp;IF(Checks!$W$410="","",CHAR(10)&amp;"Batch: "&amp;Checks!$W$410)&amp;IF(AND(Checks!$X$410="",Checks!$Y$410=""),"",CHAR(10)&amp;"Exp: "&amp;Checks!$X$410&amp;"  /  Act: "&amp;Checks!$Y$410)</f>
        <v/>
      </c>
      <c r="F55" s="112" t="str">
        <f aca="false">IF(Checks!$Z$410="","","Evidence: "&amp;Checks!$Z$410)&amp;IF(Checks!$AA$410="","",IF(Checks!$Z$410="","",CHAR(10))&amp;"CA: "&amp;Checks!$AA$410)</f>
        <v/>
      </c>
      <c r="G55" s="112" t="str">
        <f aca="false">IF(ISNUMBER(Checks!$AD$410),TEXT(Checks!$AD$410,"DD-MMM-YY HH:MM")&amp;" "&amp;Checks!$P$410,"")&amp;IF(Checks!$AE$410="","",CHAR(10)&amp;"Verifier: "&amp;Checks!$AE$410)&amp;IF(Checks!$T$410="","",CHAR(10)&amp;"PIC: "&amp;Checks!$T$410)</f>
        <v/>
      </c>
      <c r="H55" s="113" t="str">
        <f aca="false">IF(Checks!$AH$410="","",Checks!$AH$410)</f>
        <v>OPEN</v>
      </c>
    </row>
    <row r="56" customFormat="false" ht="25.5" hidden="false" customHeight="true" outlineLevel="0" collapsed="false">
      <c r="A56" s="111"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1"/>
      <c r="C56" s="111"/>
      <c r="D56" s="111"/>
      <c r="E56" s="111"/>
      <c r="F56" s="111"/>
      <c r="G56" s="111"/>
      <c r="H56" s="111"/>
    </row>
    <row r="57" customFormat="false" ht="114" hidden="false" customHeight="true" outlineLevel="0" collapsed="false">
      <c r="A57" s="112" t="str">
        <f aca="false">Checks!$A$411&amp;CHAR(10)&amp;IF(Checks!$I$411="","",Checks!$I$411&amp;": ")&amp;Checks!$J$411</f>
        <v>F12-UPL-01
Meal: Meals physically uplifted on board - quantity vs menu checklist</v>
      </c>
      <c r="B57" s="112" t="str">
        <f aca="false">Checks!$K$411&amp;IF(Checks!$O$411="","",IF(Checks!$K$411="","",CHAR(10))&amp;"Note: "&amp;Checks!$O$411)</f>
        <v>Enter expected &amp; actual
Note: Confirm on board before departure; completion time must fall inside the uplift window.</v>
      </c>
      <c r="C57" s="112" t="str">
        <f aca="false">Checks!$N$411&amp;CHAR(10)&amp;IF(ISNUMBER(Checks!$R$411),TEXT(Checks!$R$411,"DD-MMM-YY HH:MM"),"")&amp;" "&amp;Checks!$P$411</f>
        <v>Required
12-Oct-26 22:25 KUL</v>
      </c>
      <c r="D57" s="112" t="str">
        <f aca="false">IF(Checks!$U$411="","",Checks!$U$411)&amp;IF(Checks!$AB$411="","",CHAR(10)&amp;"CA: "&amp;Checks!$AB$411)</f>
        <v/>
      </c>
      <c r="E57" s="112" t="str">
        <f aca="false">IF(Checks!$V$411="","",Checks!$V$411)&amp;IF(Checks!$AC$411="","",IF(Checks!$V$411="","",CHAR(10))&amp;"N/A just.: "&amp;Checks!$AC$411)&amp;IF(Checks!$W$411="","",CHAR(10)&amp;"Batch: "&amp;Checks!$W$411)&amp;IF(AND(Checks!$X$411="",Checks!$Y$411=""),"",CHAR(10)&amp;"Exp: "&amp;Checks!$X$411&amp;"  /  Act: "&amp;Checks!$Y$411)</f>
        <v/>
      </c>
      <c r="F57" s="112" t="str">
        <f aca="false">IF(Checks!$Z$411="","","Evidence: "&amp;Checks!$Z$411)&amp;IF(Checks!$AA$411="","",IF(Checks!$Z$411="","",CHAR(10))&amp;"CA: "&amp;Checks!$AA$411)</f>
        <v/>
      </c>
      <c r="G57" s="112" t="str">
        <f aca="false">IF(ISNUMBER(Checks!$AD$411),TEXT(Checks!$AD$411,"DD-MMM-YY HH:MM")&amp;" "&amp;Checks!$P$411,"")&amp;IF(Checks!$AE$411="","",CHAR(10)&amp;"Verifier: "&amp;Checks!$AE$411)&amp;IF(Checks!$T$411="","",CHAR(10)&amp;"PIC: "&amp;Checks!$T$411)</f>
        <v/>
      </c>
      <c r="H57" s="113" t="str">
        <f aca="false">IF(Checks!$AH$411="","",Checks!$AH$411)</f>
        <v>OPEN</v>
      </c>
    </row>
    <row r="58" customFormat="false" ht="114" hidden="false" customHeight="true" outlineLevel="0" collapsed="false">
      <c r="A58" s="112" t="str">
        <f aca="false">Checks!$A$412&amp;CHAR(10)&amp;IF(Checks!$I$412="","",Checks!$I$412&amp;": ")&amp;Checks!$J$412</f>
        <v>F12-UPL-02
Equipment: Equipment physically loaded at GLD positions - quantity &amp; positions</v>
      </c>
      <c r="B58" s="112" t="str">
        <f aca="false">Checks!$K$412&amp;IF(Checks!$O$412="","",IF(Checks!$K$412="","",CHAR(10))&amp;"Note: "&amp;Checks!$O$412)</f>
        <v>Enter expected &amp; actual
Note: Confirm on board before departure; completion time must fall inside the uplift window.</v>
      </c>
      <c r="C58" s="112" t="str">
        <f aca="false">Checks!$N$412&amp;CHAR(10)&amp;IF(ISNUMBER(Checks!$R$412),TEXT(Checks!$R$412,"DD-MMM-YY HH:MM"),"")&amp;" "&amp;Checks!$P$412</f>
        <v>Required
12-Oct-26 22:25 KUL</v>
      </c>
      <c r="D58" s="112" t="str">
        <f aca="false">IF(Checks!$U$412="","",Checks!$U$412)&amp;IF(Checks!$AB$412="","",CHAR(10)&amp;"CA: "&amp;Checks!$AB$412)</f>
        <v/>
      </c>
      <c r="E58" s="112" t="str">
        <f aca="false">IF(Checks!$V$412="","",Checks!$V$412)&amp;IF(Checks!$AC$412="","",IF(Checks!$V$412="","",CHAR(10))&amp;"N/A just.: "&amp;Checks!$AC$412)&amp;IF(Checks!$W$412="","",CHAR(10)&amp;"Batch: "&amp;Checks!$W$412)&amp;IF(AND(Checks!$X$412="",Checks!$Y$412=""),"",CHAR(10)&amp;"Exp: "&amp;Checks!$X$412&amp;"  /  Act: "&amp;Checks!$Y$412)</f>
        <v/>
      </c>
      <c r="F58" s="112" t="str">
        <f aca="false">IF(Checks!$Z$412="","","Evidence: "&amp;Checks!$Z$412)&amp;IF(Checks!$AA$412="","",IF(Checks!$Z$412="","",CHAR(10))&amp;"CA: "&amp;Checks!$AA$412)</f>
        <v/>
      </c>
      <c r="G58" s="112" t="str">
        <f aca="false">IF(ISNUMBER(Checks!$AD$412),TEXT(Checks!$AD$412,"DD-MMM-YY HH:MM")&amp;" "&amp;Checks!$P$412,"")&amp;IF(Checks!$AE$412="","",CHAR(10)&amp;"Verifier: "&amp;Checks!$AE$412)&amp;IF(Checks!$T$412="","",CHAR(10)&amp;"PIC: "&amp;Checks!$T$412)</f>
        <v/>
      </c>
      <c r="H58" s="113" t="str">
        <f aca="false">IF(Checks!$AH$412="","",Checks!$AH$412)</f>
        <v>OPEN</v>
      </c>
    </row>
    <row r="59" customFormat="false" ht="114" hidden="false" customHeight="true" outlineLevel="0" collapsed="false">
      <c r="A59" s="112" t="str">
        <f aca="false">Checks!$A$413&amp;CHAR(10)&amp;IF(Checks!$I$413="","",Checks!$I$413&amp;": ")&amp;Checks!$J$413</f>
        <v>F12-UPL-03
Amenities: Toiletry kits - on board</v>
      </c>
      <c r="B59" s="112" t="str">
        <f aca="false">Checks!$K$413&amp;IF(Checks!$O$413="","",IF(Checks!$K$413="","",CHAR(10))&amp;"Note: "&amp;Checks!$O$413)</f>
        <v>Available (ticked in reference)</v>
      </c>
      <c r="C59" s="112" t="str">
        <f aca="false">Checks!$N$413&amp;CHAR(10)&amp;IF(ISNUMBER(Checks!$R$413),TEXT(Checks!$R$413,"DD-MMM-YY HH:MM"),"")&amp;" "&amp;Checks!$P$413</f>
        <v>Required
12-Oct-26 22:25 KUL</v>
      </c>
      <c r="D59" s="112" t="str">
        <f aca="false">IF(Checks!$U$413="","",Checks!$U$413)&amp;IF(Checks!$AB$413="","",CHAR(10)&amp;"CA: "&amp;Checks!$AB$413)</f>
        <v/>
      </c>
      <c r="E59" s="112" t="str">
        <f aca="false">IF(Checks!$V$413="","",Checks!$V$413)&amp;IF(Checks!$AC$413="","",IF(Checks!$V$413="","",CHAR(10))&amp;"N/A just.: "&amp;Checks!$AC$413)&amp;IF(Checks!$W$413="","",CHAR(10)&amp;"Batch: "&amp;Checks!$W$413)&amp;IF(AND(Checks!$X$413="",Checks!$Y$413=""),"",CHAR(10)&amp;"Exp: "&amp;Checks!$X$413&amp;"  /  Act: "&amp;Checks!$Y$413)</f>
        <v/>
      </c>
      <c r="F59" s="112" t="str">
        <f aca="false">IF(Checks!$Z$413="","","Evidence: "&amp;Checks!$Z$413)&amp;IF(Checks!$AA$413="","",IF(Checks!$Z$413="","",CHAR(10))&amp;"CA: "&amp;Checks!$AA$413)</f>
        <v/>
      </c>
      <c r="G59" s="112" t="str">
        <f aca="false">IF(ISNUMBER(Checks!$AD$413),TEXT(Checks!$AD$413,"DD-MMM-YY HH:MM")&amp;" "&amp;Checks!$P$413,"")&amp;IF(Checks!$AE$413="","",CHAR(10)&amp;"Verifier: "&amp;Checks!$AE$413)&amp;IF(Checks!$T$413="","",CHAR(10)&amp;"PIC: "&amp;Checks!$T$413)</f>
        <v/>
      </c>
      <c r="H59" s="113" t="str">
        <f aca="false">IF(Checks!$AH$413="","",Checks!$AH$413)</f>
        <v>OPEN</v>
      </c>
    </row>
    <row r="60" customFormat="false" ht="114" hidden="false" customHeight="true" outlineLevel="0" collapsed="false">
      <c r="A60" s="112" t="str">
        <f aca="false">Checks!$A$414&amp;CHAR(10)&amp;IF(Checks!$I$414="","",Checks!$I$414&amp;": ")&amp;Checks!$J$414</f>
        <v>F12-UPL-04
Amenities: Slippers (BS/BC) - on board</v>
      </c>
      <c r="B60" s="112" t="str">
        <f aca="false">Checks!$K$414&amp;IF(Checks!$O$414="","",IF(Checks!$K$414="","",CHAR(10))&amp;"Note: "&amp;Checks!$O$414)</f>
        <v>Available (ticked in reference)</v>
      </c>
      <c r="C60" s="112" t="str">
        <f aca="false">Checks!$N$414&amp;CHAR(10)&amp;IF(ISNUMBER(Checks!$R$414),TEXT(Checks!$R$414,"DD-MMM-YY HH:MM"),"")&amp;" "&amp;Checks!$P$414</f>
        <v>Required
12-Oct-26 22:25 KUL</v>
      </c>
      <c r="D60" s="112" t="str">
        <f aca="false">IF(Checks!$U$414="","",Checks!$U$414)&amp;IF(Checks!$AB$414="","",CHAR(10)&amp;"CA: "&amp;Checks!$AB$414)</f>
        <v/>
      </c>
      <c r="E60" s="112" t="str">
        <f aca="false">IF(Checks!$V$414="","",Checks!$V$414)&amp;IF(Checks!$AC$414="","",IF(Checks!$V$414="","",CHAR(10))&amp;"N/A just.: "&amp;Checks!$AC$414)&amp;IF(Checks!$W$414="","",CHAR(10)&amp;"Batch: "&amp;Checks!$W$414)&amp;IF(AND(Checks!$X$414="",Checks!$Y$414=""),"",CHAR(10)&amp;"Exp: "&amp;Checks!$X$414&amp;"  /  Act: "&amp;Checks!$Y$414)</f>
        <v/>
      </c>
      <c r="F60" s="112" t="str">
        <f aca="false">IF(Checks!$Z$414="","","Evidence: "&amp;Checks!$Z$414)&amp;IF(Checks!$AA$414="","",IF(Checks!$Z$414="","",CHAR(10))&amp;"CA: "&amp;Checks!$AA$414)</f>
        <v/>
      </c>
      <c r="G60" s="112" t="str">
        <f aca="false">IF(ISNUMBER(Checks!$AD$414),TEXT(Checks!$AD$414,"DD-MMM-YY HH:MM")&amp;" "&amp;Checks!$P$414,"")&amp;IF(Checks!$AE$414="","",CHAR(10)&amp;"Verifier: "&amp;Checks!$AE$414)&amp;IF(Checks!$T$414="","",CHAR(10)&amp;"PIC: "&amp;Checks!$T$414)</f>
        <v/>
      </c>
      <c r="H60" s="113" t="str">
        <f aca="false">IF(Checks!$AH$414="","",Checks!$AH$414)</f>
        <v>OPEN</v>
      </c>
    </row>
    <row r="61" customFormat="false" ht="114" hidden="false" customHeight="true" outlineLevel="0" collapsed="false">
      <c r="A61" s="112" t="str">
        <f aca="false">Checks!$A$415&amp;CHAR(10)&amp;IF(Checks!$I$415="","",Checks!$I$415&amp;": ")&amp;Checks!$J$415</f>
        <v>F12-UPL-05
F&amp;B Linen: Towel - on board</v>
      </c>
      <c r="B61" s="112" t="str">
        <f aca="false">Checks!$K$415&amp;IF(Checks!$O$415="","",IF(Checks!$K$415="","",CHAR(10))&amp;"Note: "&amp;Checks!$O$415)</f>
        <v>Available (ticked in reference)</v>
      </c>
      <c r="C61" s="112" t="str">
        <f aca="false">Checks!$N$415&amp;CHAR(10)&amp;IF(ISNUMBER(Checks!$R$415),TEXT(Checks!$R$415,"DD-MMM-YY HH:MM"),"")&amp;" "&amp;Checks!$P$415</f>
        <v>Required
12-Oct-26 22:25 KUL</v>
      </c>
      <c r="D61" s="112" t="str">
        <f aca="false">IF(Checks!$U$415="","",Checks!$U$415)&amp;IF(Checks!$AB$415="","",CHAR(10)&amp;"CA: "&amp;Checks!$AB$415)</f>
        <v/>
      </c>
      <c r="E61" s="112" t="str">
        <f aca="false">IF(Checks!$V$415="","",Checks!$V$415)&amp;IF(Checks!$AC$415="","",IF(Checks!$V$415="","",CHAR(10))&amp;"N/A just.: "&amp;Checks!$AC$415)&amp;IF(Checks!$W$415="","",CHAR(10)&amp;"Batch: "&amp;Checks!$W$415)&amp;IF(AND(Checks!$X$415="",Checks!$Y$415=""),"",CHAR(10)&amp;"Exp: "&amp;Checks!$X$415&amp;"  /  Act: "&amp;Checks!$Y$415)</f>
        <v/>
      </c>
      <c r="F61" s="112" t="str">
        <f aca="false">IF(Checks!$Z$415="","","Evidence: "&amp;Checks!$Z$415)&amp;IF(Checks!$AA$415="","",IF(Checks!$Z$415="","",CHAR(10))&amp;"CA: "&amp;Checks!$AA$415)</f>
        <v/>
      </c>
      <c r="G61" s="112" t="str">
        <f aca="false">IF(ISNUMBER(Checks!$AD$415),TEXT(Checks!$AD$415,"DD-MMM-YY HH:MM")&amp;" "&amp;Checks!$P$415,"")&amp;IF(Checks!$AE$415="","",CHAR(10)&amp;"Verifier: "&amp;Checks!$AE$415)&amp;IF(Checks!$T$415="","",CHAR(10)&amp;"PIC: "&amp;Checks!$T$415)</f>
        <v/>
      </c>
      <c r="H61" s="113" t="str">
        <f aca="false">IF(Checks!$AH$415="","",Checks!$AH$415)</f>
        <v>OPEN</v>
      </c>
    </row>
    <row r="62" customFormat="false" ht="114" hidden="false" customHeight="true" outlineLevel="0" collapsed="false">
      <c r="A62" s="112" t="str">
        <f aca="false">Checks!$A$416&amp;CHAR(10)&amp;IF(Checks!$I$416="","",Checks!$I$416&amp;": ")&amp;Checks!$J$416</f>
        <v>F12-UPL-06
F&amp;B Linen: Tray cloth - on board</v>
      </c>
      <c r="B62" s="112" t="str">
        <f aca="false">Checks!$K$416&amp;IF(Checks!$O$416="","",IF(Checks!$K$416="","",CHAR(10))&amp;"Note: "&amp;Checks!$O$416)</f>
        <v>Available (ticked in reference)</v>
      </c>
      <c r="C62" s="112" t="str">
        <f aca="false">Checks!$N$416&amp;CHAR(10)&amp;IF(ISNUMBER(Checks!$R$416),TEXT(Checks!$R$416,"DD-MMM-YY HH:MM"),"")&amp;" "&amp;Checks!$P$416</f>
        <v>Required
12-Oct-26 22:25 KUL</v>
      </c>
      <c r="D62" s="112" t="str">
        <f aca="false">IF(Checks!$U$416="","",Checks!$U$416)&amp;IF(Checks!$AB$416="","",CHAR(10)&amp;"CA: "&amp;Checks!$AB$416)</f>
        <v/>
      </c>
      <c r="E62" s="112" t="str">
        <f aca="false">IF(Checks!$V$416="","",Checks!$V$416)&amp;IF(Checks!$AC$416="","",IF(Checks!$V$416="","",CHAR(10))&amp;"N/A just.: "&amp;Checks!$AC$416)&amp;IF(Checks!$W$416="","",CHAR(10)&amp;"Batch: "&amp;Checks!$W$416)&amp;IF(AND(Checks!$X$416="",Checks!$Y$416=""),"",CHAR(10)&amp;"Exp: "&amp;Checks!$X$416&amp;"  /  Act: "&amp;Checks!$Y$416)</f>
        <v/>
      </c>
      <c r="F62" s="112" t="str">
        <f aca="false">IF(Checks!$Z$416="","","Evidence: "&amp;Checks!$Z$416)&amp;IF(Checks!$AA$416="","",IF(Checks!$Z$416="","",CHAR(10))&amp;"CA: "&amp;Checks!$AA$416)</f>
        <v/>
      </c>
      <c r="G62" s="112" t="str">
        <f aca="false">IF(ISNUMBER(Checks!$AD$416),TEXT(Checks!$AD$416,"DD-MMM-YY HH:MM")&amp;" "&amp;Checks!$P$416,"")&amp;IF(Checks!$AE$416="","",CHAR(10)&amp;"Verifier: "&amp;Checks!$AE$416)&amp;IF(Checks!$T$416="","",CHAR(10)&amp;"PIC: "&amp;Checks!$T$416)</f>
        <v/>
      </c>
      <c r="H62" s="113" t="str">
        <f aca="false">IF(Checks!$AH$416="","",Checks!$AH$416)</f>
        <v>OPEN</v>
      </c>
    </row>
    <row r="63" customFormat="false" ht="114" hidden="false" customHeight="true" outlineLevel="0" collapsed="false">
      <c r="A63" s="112" t="str">
        <f aca="false">Checks!$A$417&amp;CHAR(10)&amp;IF(Checks!$I$417="","",Checks!$I$417&amp;": ")&amp;Checks!$J$417</f>
        <v>F12-UPL-07
F&amp;B Linen: Napkin - on board</v>
      </c>
      <c r="B63" s="112" t="str">
        <f aca="false">Checks!$K$417&amp;IF(Checks!$O$417="","",IF(Checks!$K$417="","",CHAR(10))&amp;"Note: "&amp;Checks!$O$417)</f>
        <v>Available (ticked in reference)</v>
      </c>
      <c r="C63" s="112" t="str">
        <f aca="false">Checks!$N$417&amp;CHAR(10)&amp;IF(ISNUMBER(Checks!$R$417),TEXT(Checks!$R$417,"DD-MMM-YY HH:MM"),"")&amp;" "&amp;Checks!$P$417</f>
        <v>Required
12-Oct-26 22:25 KUL</v>
      </c>
      <c r="D63" s="112" t="str">
        <f aca="false">IF(Checks!$U$417="","",Checks!$U$417)&amp;IF(Checks!$AB$417="","",CHAR(10)&amp;"CA: "&amp;Checks!$AB$417)</f>
        <v/>
      </c>
      <c r="E63" s="112" t="str">
        <f aca="false">IF(Checks!$V$417="","",Checks!$V$417)&amp;IF(Checks!$AC$417="","",IF(Checks!$V$417="","",CHAR(10))&amp;"N/A just.: "&amp;Checks!$AC$417)&amp;IF(Checks!$W$417="","",CHAR(10)&amp;"Batch: "&amp;Checks!$W$417)&amp;IF(AND(Checks!$X$417="",Checks!$Y$417=""),"",CHAR(10)&amp;"Exp: "&amp;Checks!$X$417&amp;"  /  Act: "&amp;Checks!$Y$417)</f>
        <v/>
      </c>
      <c r="F63" s="112" t="str">
        <f aca="false">IF(Checks!$Z$417="","","Evidence: "&amp;Checks!$Z$417)&amp;IF(Checks!$AA$417="","",IF(Checks!$Z$417="","",CHAR(10))&amp;"CA: "&amp;Checks!$AA$417)</f>
        <v/>
      </c>
      <c r="G63" s="112" t="str">
        <f aca="false">IF(ISNUMBER(Checks!$AD$417),TEXT(Checks!$AD$417,"DD-MMM-YY HH:MM")&amp;" "&amp;Checks!$P$417,"")&amp;IF(Checks!$AE$417="","",CHAR(10)&amp;"Verifier: "&amp;Checks!$AE$417)&amp;IF(Checks!$T$417="","",CHAR(10)&amp;"PIC: "&amp;Checks!$T$417)</f>
        <v/>
      </c>
      <c r="H63" s="113" t="str">
        <f aca="false">IF(Checks!$AH$417="","",Checks!$AH$417)</f>
        <v>OPEN</v>
      </c>
    </row>
    <row r="64" customFormat="false" ht="114" hidden="false" customHeight="true" outlineLevel="0" collapsed="false">
      <c r="A64" s="112" t="str">
        <f aca="false">Checks!$A$418&amp;CHAR(10)&amp;IF(Checks!$I$418="","",Checks!$I$418&amp;": ")&amp;Checks!$J$418</f>
        <v>F12-UPL-08
F&amp;B Linen: Table cloth - on board</v>
      </c>
      <c r="B64" s="112" t="str">
        <f aca="false">Checks!$K$418&amp;IF(Checks!$O$418="","",IF(Checks!$K$418="","",CHAR(10))&amp;"Note: "&amp;Checks!$O$418)</f>
        <v>Available (ticked in reference)</v>
      </c>
      <c r="C64" s="112" t="str">
        <f aca="false">Checks!$N$418&amp;CHAR(10)&amp;IF(ISNUMBER(Checks!$R$418),TEXT(Checks!$R$418,"DD-MMM-YY HH:MM"),"")&amp;" "&amp;Checks!$P$418</f>
        <v>Required
12-Oct-26 22:25 KUL</v>
      </c>
      <c r="D64" s="112" t="str">
        <f aca="false">IF(Checks!$U$418="","",Checks!$U$418)&amp;IF(Checks!$AB$418="","",CHAR(10)&amp;"CA: "&amp;Checks!$AB$418)</f>
        <v/>
      </c>
      <c r="E64" s="112" t="str">
        <f aca="false">IF(Checks!$V$418="","",Checks!$V$418)&amp;IF(Checks!$AC$418="","",IF(Checks!$V$418="","",CHAR(10))&amp;"N/A just.: "&amp;Checks!$AC$418)&amp;IF(Checks!$W$418="","",CHAR(10)&amp;"Batch: "&amp;Checks!$W$418)&amp;IF(AND(Checks!$X$418="",Checks!$Y$418=""),"",CHAR(10)&amp;"Exp: "&amp;Checks!$X$418&amp;"  /  Act: "&amp;Checks!$Y$418)</f>
        <v/>
      </c>
      <c r="F64" s="112" t="str">
        <f aca="false">IF(Checks!$Z$418="","","Evidence: "&amp;Checks!$Z$418)&amp;IF(Checks!$AA$418="","",IF(Checks!$Z$418="","",CHAR(10))&amp;"CA: "&amp;Checks!$AA$418)</f>
        <v/>
      </c>
      <c r="G64" s="112" t="str">
        <f aca="false">IF(ISNUMBER(Checks!$AD$418),TEXT(Checks!$AD$418,"DD-MMM-YY HH:MM")&amp;" "&amp;Checks!$P$418,"")&amp;IF(Checks!$AE$418="","",CHAR(10)&amp;"Verifier: "&amp;Checks!$AE$418)&amp;IF(Checks!$T$418="","",CHAR(10)&amp;"PIC: "&amp;Checks!$T$418)</f>
        <v/>
      </c>
      <c r="H64" s="113" t="str">
        <f aca="false">IF(Checks!$AH$418="","",Checks!$AH$418)</f>
        <v>OPEN</v>
      </c>
    </row>
    <row r="65" customFormat="false" ht="114" hidden="false" customHeight="true" outlineLevel="0" collapsed="false">
      <c r="A65" s="112" t="str">
        <f aca="false">Checks!$A$419&amp;CHAR(10)&amp;IF(Checks!$I$419="","",Checks!$I$419&amp;": ")&amp;Checks!$J$419</f>
        <v>F12-UPL-09
F&amp;B Linen: Bread linen (using table cloth) - on board</v>
      </c>
      <c r="B65" s="112" t="str">
        <f aca="false">Checks!$K$419&amp;IF(Checks!$O$419="","",IF(Checks!$K$419="","",CHAR(10))&amp;"Note: "&amp;Checks!$O$419)</f>
        <v>Available (ticked in reference)</v>
      </c>
      <c r="C65" s="112" t="str">
        <f aca="false">Checks!$N$419&amp;CHAR(10)&amp;IF(ISNUMBER(Checks!$R$419),TEXT(Checks!$R$419,"DD-MMM-YY HH:MM"),"")&amp;" "&amp;Checks!$P$419</f>
        <v>Required
12-Oct-26 22:25 KUL</v>
      </c>
      <c r="D65" s="112" t="str">
        <f aca="false">IF(Checks!$U$419="","",Checks!$U$419)&amp;IF(Checks!$AB$419="","",CHAR(10)&amp;"CA: "&amp;Checks!$AB$419)</f>
        <v/>
      </c>
      <c r="E65" s="112" t="str">
        <f aca="false">IF(Checks!$V$419="","",Checks!$V$419)&amp;IF(Checks!$AC$419="","",IF(Checks!$V$419="","",CHAR(10))&amp;"N/A just.: "&amp;Checks!$AC$419)&amp;IF(Checks!$W$419="","",CHAR(10)&amp;"Batch: "&amp;Checks!$W$419)&amp;IF(AND(Checks!$X$419="",Checks!$Y$419=""),"",CHAR(10)&amp;"Exp: "&amp;Checks!$X$419&amp;"  /  Act: "&amp;Checks!$Y$419)</f>
        <v/>
      </c>
      <c r="F65" s="112" t="str">
        <f aca="false">IF(Checks!$Z$419="","","Evidence: "&amp;Checks!$Z$419)&amp;IF(Checks!$AA$419="","",IF(Checks!$Z$419="","",CHAR(10))&amp;"CA: "&amp;Checks!$AA$419)</f>
        <v/>
      </c>
      <c r="G65" s="112" t="str">
        <f aca="false">IF(ISNUMBER(Checks!$AD$419),TEXT(Checks!$AD$419,"DD-MMM-YY HH:MM")&amp;" "&amp;Checks!$P$419,"")&amp;IF(Checks!$AE$419="","",CHAR(10)&amp;"Verifier: "&amp;Checks!$AE$419)&amp;IF(Checks!$T$419="","",CHAR(10)&amp;"PIC: "&amp;Checks!$T$419)</f>
        <v/>
      </c>
      <c r="H65" s="113" t="str">
        <f aca="false">IF(Checks!$AH$419="","",Checks!$AH$419)</f>
        <v>OPEN</v>
      </c>
    </row>
    <row r="66" customFormat="false" ht="114" hidden="false" customHeight="true" outlineLevel="0" collapsed="false">
      <c r="A66" s="112" t="str">
        <f aca="false">Checks!$A$420&amp;CHAR(10)&amp;IF(Checks!$I$420="","",Checks!$I$420&amp;": ")&amp;Checks!$J$420</f>
        <v>F12-UPL-10
F&amp;B Linen: Trolley cloth - on board</v>
      </c>
      <c r="B66" s="112" t="str">
        <f aca="false">SUBSTITUTE(Checks!$K$420&amp;IF(Checks!$O$420="","",IF(Checks!$K$420="","",CHAR(10))&amp;"Note: "&amp;Checks!$O$420),"F&amp;B LINEN!","Ref: F&amp;B LINEN!")</f>
        <v>Wide body: Top/Middle &amp; Bottom
Note: Per note Ref: F&amp;B LINEN!B79:C80.</v>
      </c>
      <c r="C66" s="112" t="str">
        <f aca="false">Checks!$N$420&amp;CHAR(10)&amp;IF(ISNUMBER(Checks!$R$420),TEXT(Checks!$R$420,"DD-MMM-YY HH:MM"),"")&amp;" "&amp;Checks!$P$420</f>
        <v>Required
12-Oct-26 22:25 KUL</v>
      </c>
      <c r="D66" s="112" t="str">
        <f aca="false">IF(Checks!$U$420="","",Checks!$U$420)&amp;IF(Checks!$AB$420="","",CHAR(10)&amp;"CA: "&amp;Checks!$AB$420)</f>
        <v/>
      </c>
      <c r="E66" s="112" t="str">
        <f aca="false">IF(Checks!$V$420="","",Checks!$V$420)&amp;IF(Checks!$AC$420="","",IF(Checks!$V$420="","",CHAR(10))&amp;"N/A just.: "&amp;Checks!$AC$420)&amp;IF(Checks!$W$420="","",CHAR(10)&amp;"Batch: "&amp;Checks!$W$420)&amp;IF(AND(Checks!$X$420="",Checks!$Y$420=""),"",CHAR(10)&amp;"Exp: "&amp;Checks!$X$420&amp;"  /  Act: "&amp;Checks!$Y$420)</f>
        <v/>
      </c>
      <c r="F66" s="112" t="str">
        <f aca="false">IF(Checks!$Z$420="","","Evidence: "&amp;Checks!$Z$420)&amp;IF(Checks!$AA$420="","",IF(Checks!$Z$420="","",CHAR(10))&amp;"CA: "&amp;Checks!$AA$420)</f>
        <v/>
      </c>
      <c r="G66" s="112" t="str">
        <f aca="false">IF(ISNUMBER(Checks!$AD$420),TEXT(Checks!$AD$420,"DD-MMM-YY HH:MM")&amp;" "&amp;Checks!$P$420,"")&amp;IF(Checks!$AE$420="","",CHAR(10)&amp;"Verifier: "&amp;Checks!$AE$420)&amp;IF(Checks!$T$420="","",CHAR(10)&amp;"PIC: "&amp;Checks!$T$420)</f>
        <v/>
      </c>
      <c r="H66" s="113" t="str">
        <f aca="false">IF(Checks!$AH$420="","",Checks!$AH$420)</f>
        <v>OPEN</v>
      </c>
    </row>
    <row r="67" customFormat="false" ht="114" hidden="false" customHeight="true" outlineLevel="0" collapsed="false">
      <c r="A67" s="112" t="str">
        <f aca="false">Checks!$A$421&amp;CHAR(10)&amp;IF(Checks!$I$421="","",Checks!$I$421&amp;": ")&amp;Checks!$J$421</f>
        <v>F12-UPL-11
F&amp;B Linen: Linen bag - on board</v>
      </c>
      <c r="B67" s="112" t="str">
        <f aca="false">Checks!$K$421&amp;IF(Checks!$O$421="","",IF(Checks!$K$421="","",CHAR(10))&amp;"Note: "&amp;Checks!$O$421)</f>
        <v>Available (ticked in reference)</v>
      </c>
      <c r="C67" s="112" t="str">
        <f aca="false">Checks!$N$421&amp;CHAR(10)&amp;IF(ISNUMBER(Checks!$R$421),TEXT(Checks!$R$421,"DD-MMM-YY HH:MM"),"")&amp;" "&amp;Checks!$P$421</f>
        <v>Required
12-Oct-26 22:25 KUL</v>
      </c>
      <c r="D67" s="112" t="str">
        <f aca="false">IF(Checks!$U$421="","",Checks!$U$421)&amp;IF(Checks!$AB$421="","",CHAR(10)&amp;"CA: "&amp;Checks!$AB$421)</f>
        <v/>
      </c>
      <c r="E67" s="112" t="str">
        <f aca="false">IF(Checks!$V$421="","",Checks!$V$421)&amp;IF(Checks!$AC$421="","",IF(Checks!$V$421="","",CHAR(10))&amp;"N/A just.: "&amp;Checks!$AC$421)&amp;IF(Checks!$W$421="","",CHAR(10)&amp;"Batch: "&amp;Checks!$W$421)&amp;IF(AND(Checks!$X$421="",Checks!$Y$421=""),"",CHAR(10)&amp;"Exp: "&amp;Checks!$X$421&amp;"  /  Act: "&amp;Checks!$Y$421)</f>
        <v/>
      </c>
      <c r="F67" s="112" t="str">
        <f aca="false">IF(Checks!$Z$421="","","Evidence: "&amp;Checks!$Z$421)&amp;IF(Checks!$AA$421="","",IF(Checks!$Z$421="","",CHAR(10))&amp;"CA: "&amp;Checks!$AA$421)</f>
        <v/>
      </c>
      <c r="G67" s="112" t="str">
        <f aca="false">IF(ISNUMBER(Checks!$AD$421),TEXT(Checks!$AD$421,"DD-MMM-YY HH:MM")&amp;" "&amp;Checks!$P$421,"")&amp;IF(Checks!$AE$421="","",CHAR(10)&amp;"Verifier: "&amp;Checks!$AE$421)&amp;IF(Checks!$T$421="","",CHAR(10)&amp;"PIC: "&amp;Checks!$T$421)</f>
        <v/>
      </c>
      <c r="H67" s="113" t="str">
        <f aca="false">IF(Checks!$AH$421="","",Checks!$AH$421)</f>
        <v>OPEN</v>
      </c>
    </row>
    <row r="68" customFormat="false" ht="114" hidden="false" customHeight="true" outlineLevel="0" collapsed="false">
      <c r="A68" s="112" t="str">
        <f aca="false">Checks!$A$422&amp;CHAR(10)&amp;IF(Checks!$I$422="","",Checks!$I$422&amp;": ")&amp;Checks!$J$422</f>
        <v>F12-UPL-12
Seat Linen: Seat pillow (BS &amp; BC) - on board</v>
      </c>
      <c r="B68" s="112" t="str">
        <f aca="false">Checks!$K$422&amp;IF(Checks!$O$422="","",IF(Checks!$K$422="","",CHAR(10))&amp;"Note: "&amp;Checks!$O$422)</f>
        <v>Available 100% (ticked in reference)</v>
      </c>
      <c r="C68" s="112" t="str">
        <f aca="false">Checks!$N$422&amp;CHAR(10)&amp;IF(ISNUMBER(Checks!$R$422),TEXT(Checks!$R$422,"DD-MMM-YY HH:MM"),"")&amp;" "&amp;Checks!$P$422</f>
        <v>Required
12-Oct-26 22:25 KUL</v>
      </c>
      <c r="D68" s="112" t="str">
        <f aca="false">IF(Checks!$U$422="","",Checks!$U$422)&amp;IF(Checks!$AB$422="","",CHAR(10)&amp;"CA: "&amp;Checks!$AB$422)</f>
        <v/>
      </c>
      <c r="E68" s="112" t="str">
        <f aca="false">IF(Checks!$V$422="","",Checks!$V$422)&amp;IF(Checks!$AC$422="","",IF(Checks!$V$422="","",CHAR(10))&amp;"N/A just.: "&amp;Checks!$AC$422)&amp;IF(Checks!$W$422="","",CHAR(10)&amp;"Batch: "&amp;Checks!$W$422)&amp;IF(AND(Checks!$X$422="",Checks!$Y$422=""),"",CHAR(10)&amp;"Exp: "&amp;Checks!$X$422&amp;"  /  Act: "&amp;Checks!$Y$422)</f>
        <v/>
      </c>
      <c r="F68" s="112" t="str">
        <f aca="false">IF(Checks!$Z$422="","","Evidence: "&amp;Checks!$Z$422)&amp;IF(Checks!$AA$422="","",IF(Checks!$Z$422="","",CHAR(10))&amp;"CA: "&amp;Checks!$AA$422)</f>
        <v/>
      </c>
      <c r="G68" s="112" t="str">
        <f aca="false">IF(ISNUMBER(Checks!$AD$422),TEXT(Checks!$AD$422,"DD-MMM-YY HH:MM")&amp;" "&amp;Checks!$P$422,"")&amp;IF(Checks!$AE$422="","",CHAR(10)&amp;"Verifier: "&amp;Checks!$AE$422)&amp;IF(Checks!$T$422="","",CHAR(10)&amp;"PIC: "&amp;Checks!$T$422)</f>
        <v/>
      </c>
      <c r="H68" s="113" t="str">
        <f aca="false">IF(Checks!$AH$422="","",Checks!$AH$422)</f>
        <v>OPEN</v>
      </c>
    </row>
    <row r="69" customFormat="false" ht="114" hidden="false" customHeight="true" outlineLevel="0" collapsed="false">
      <c r="A69" s="112" t="str">
        <f aca="false">Checks!$A$423&amp;CHAR(10)&amp;IF(Checks!$I$423="","",Checks!$I$423&amp;": ")&amp;Checks!$J$423</f>
        <v>F12-UPL-13
Seat Linen: Duvet (BS &amp; BC) - on board</v>
      </c>
      <c r="B69" s="112" t="str">
        <f aca="false">Checks!$K$423&amp;IF(Checks!$O$423="","",IF(Checks!$K$423="","",CHAR(10))&amp;"Note: "&amp;Checks!$O$423)</f>
        <v>Available 100% (ticked in reference)</v>
      </c>
      <c r="C69" s="112" t="str">
        <f aca="false">Checks!$N$423&amp;CHAR(10)&amp;IF(ISNUMBER(Checks!$R$423),TEXT(Checks!$R$423,"DD-MMM-YY HH:MM"),"")&amp;" "&amp;Checks!$P$423</f>
        <v>Required
12-Oct-26 22:25 KUL</v>
      </c>
      <c r="D69" s="112" t="str">
        <f aca="false">IF(Checks!$U$423="","",Checks!$U$423)&amp;IF(Checks!$AB$423="","",CHAR(10)&amp;"CA: "&amp;Checks!$AB$423)</f>
        <v/>
      </c>
      <c r="E69" s="112" t="str">
        <f aca="false">IF(Checks!$V$423="","",Checks!$V$423)&amp;IF(Checks!$AC$423="","",IF(Checks!$V$423="","",CHAR(10))&amp;"N/A just.: "&amp;Checks!$AC$423)&amp;IF(Checks!$W$423="","",CHAR(10)&amp;"Batch: "&amp;Checks!$W$423)&amp;IF(AND(Checks!$X$423="",Checks!$Y$423=""),"",CHAR(10)&amp;"Exp: "&amp;Checks!$X$423&amp;"  /  Act: "&amp;Checks!$Y$423)</f>
        <v/>
      </c>
      <c r="F69" s="112" t="str">
        <f aca="false">IF(Checks!$Z$423="","","Evidence: "&amp;Checks!$Z$423)&amp;IF(Checks!$AA$423="","",IF(Checks!$Z$423="","",CHAR(10))&amp;"CA: "&amp;Checks!$AA$423)</f>
        <v/>
      </c>
      <c r="G69" s="112" t="str">
        <f aca="false">IF(ISNUMBER(Checks!$AD$423),TEXT(Checks!$AD$423,"DD-MMM-YY HH:MM")&amp;" "&amp;Checks!$P$423,"")&amp;IF(Checks!$AE$423="","",CHAR(10)&amp;"Verifier: "&amp;Checks!$AE$423)&amp;IF(Checks!$T$423="","",CHAR(10)&amp;"PIC: "&amp;Checks!$T$423)</f>
        <v/>
      </c>
      <c r="H69" s="113" t="str">
        <f aca="false">IF(Checks!$AH$423="","",Checks!$AH$423)</f>
        <v>OPEN</v>
      </c>
    </row>
    <row r="70" customFormat="false" ht="114" hidden="false" customHeight="true" outlineLevel="0" collapsed="false">
      <c r="A70" s="112" t="str">
        <f aca="false">Checks!$A$424&amp;CHAR(10)&amp;IF(Checks!$I$424="","",Checks!$I$424&amp;": ")&amp;Checks!$J$424</f>
        <v>F12-UPL-14
Seat Linen: Mattress (BS &amp; BC) - on board</v>
      </c>
      <c r="B70" s="112" t="str">
        <f aca="false">Checks!$K$424&amp;IF(Checks!$O$424="","",IF(Checks!$K$424="","",CHAR(10))&amp;"Note: "&amp;Checks!$O$424)</f>
        <v>Available 100% (ticked in reference)</v>
      </c>
      <c r="C70" s="112" t="str">
        <f aca="false">Checks!$N$424&amp;CHAR(10)&amp;IF(ISNUMBER(Checks!$R$424),TEXT(Checks!$R$424,"DD-MMM-YY HH:MM"),"")&amp;" "&amp;Checks!$P$424</f>
        <v>Required
12-Oct-26 22:25 KUL</v>
      </c>
      <c r="D70" s="112" t="str">
        <f aca="false">IF(Checks!$U$424="","",Checks!$U$424)&amp;IF(Checks!$AB$424="","",CHAR(10)&amp;"CA: "&amp;Checks!$AB$424)</f>
        <v/>
      </c>
      <c r="E70" s="112" t="str">
        <f aca="false">IF(Checks!$V$424="","",Checks!$V$424)&amp;IF(Checks!$AC$424="","",IF(Checks!$V$424="","",CHAR(10))&amp;"N/A just.: "&amp;Checks!$AC$424)&amp;IF(Checks!$W$424="","",CHAR(10)&amp;"Batch: "&amp;Checks!$W$424)&amp;IF(AND(Checks!$X$424="",Checks!$Y$424=""),"",CHAR(10)&amp;"Exp: "&amp;Checks!$X$424&amp;"  /  Act: "&amp;Checks!$Y$424)</f>
        <v/>
      </c>
      <c r="F70" s="112" t="str">
        <f aca="false">IF(Checks!$Z$424="","","Evidence: "&amp;Checks!$Z$424)&amp;IF(Checks!$AA$424="","",IF(Checks!$Z$424="","",CHAR(10))&amp;"CA: "&amp;Checks!$AA$424)</f>
        <v/>
      </c>
      <c r="G70" s="112" t="str">
        <f aca="false">IF(ISNUMBER(Checks!$AD$424),TEXT(Checks!$AD$424,"DD-MMM-YY HH:MM")&amp;" "&amp;Checks!$P$424,"")&amp;IF(Checks!$AE$424="","",CHAR(10)&amp;"Verifier: "&amp;Checks!$AE$424)&amp;IF(Checks!$T$424="","",CHAR(10)&amp;"PIC: "&amp;Checks!$T$424)</f>
        <v/>
      </c>
      <c r="H70" s="113" t="str">
        <f aca="false">IF(Checks!$AH$424="","",Checks!$AH$424)</f>
        <v>OPEN</v>
      </c>
    </row>
    <row r="71" customFormat="false" ht="114" hidden="false" customHeight="true" outlineLevel="0" collapsed="false">
      <c r="A71" s="112" t="str">
        <f aca="false">Checks!$A$425&amp;CHAR(10)&amp;IF(Checks!$I$425="","",Checks!$I$425&amp;": ")&amp;Checks!$J$425</f>
        <v>F12-UPL-15
Signature Drinks: Signature drink &amp; garnish (BC) - on board</v>
      </c>
      <c r="B71" s="112" t="str">
        <f aca="false">Checks!$K$425&amp;IF(Checks!$O$425="","",IF(Checks!$K$425="","",CHAR(10))&amp;"Note: "&amp;Checks!$O$425)</f>
        <v>Available (ticked in reference)
Note: Signature drinks &amp; garnish uplifted from KUL (note D79).</v>
      </c>
      <c r="C71" s="112" t="str">
        <f aca="false">Checks!$N$425&amp;CHAR(10)&amp;IF(ISNUMBER(Checks!$R$425),TEXT(Checks!$R$425,"DD-MMM-YY HH:MM"),"")&amp;" "&amp;Checks!$P$425</f>
        <v>Required
12-Oct-26 22:25 KUL</v>
      </c>
      <c r="D71" s="112" t="str">
        <f aca="false">IF(Checks!$U$425="","",Checks!$U$425)&amp;IF(Checks!$AB$425="","",CHAR(10)&amp;"CA: "&amp;Checks!$AB$425)</f>
        <v/>
      </c>
      <c r="E71" s="112" t="str">
        <f aca="false">IF(Checks!$V$425="","",Checks!$V$425)&amp;IF(Checks!$AC$425="","",IF(Checks!$V$425="","",CHAR(10))&amp;"N/A just.: "&amp;Checks!$AC$425)&amp;IF(Checks!$W$425="","",CHAR(10)&amp;"Batch: "&amp;Checks!$W$425)&amp;IF(AND(Checks!$X$425="",Checks!$Y$425=""),"",CHAR(10)&amp;"Exp: "&amp;Checks!$X$425&amp;"  /  Act: "&amp;Checks!$Y$425)</f>
        <v/>
      </c>
      <c r="F71" s="112" t="str">
        <f aca="false">IF(Checks!$Z$425="","","Evidence: "&amp;Checks!$Z$425)&amp;IF(Checks!$AA$425="","",IF(Checks!$Z$425="","",CHAR(10))&amp;"CA: "&amp;Checks!$AA$425)</f>
        <v/>
      </c>
      <c r="G71" s="112" t="str">
        <f aca="false">IF(ISNUMBER(Checks!$AD$425),TEXT(Checks!$AD$425,"DD-MMM-YY HH:MM")&amp;" "&amp;Checks!$P$425,"")&amp;IF(Checks!$AE$425="","",CHAR(10)&amp;"Verifier: "&amp;Checks!$AE$425)&amp;IF(Checks!$T$425="","",CHAR(10)&amp;"PIC: "&amp;Checks!$T$425)</f>
        <v/>
      </c>
      <c r="H71" s="113" t="str">
        <f aca="false">IF(Checks!$AH$425="","",Checks!$AH$425)</f>
        <v>OPEN</v>
      </c>
    </row>
    <row r="72" customFormat="false" ht="114" hidden="false" customHeight="true" outlineLevel="0" collapsed="false">
      <c r="A72" s="112" t="str">
        <f aca="false">Checks!$A$426&amp;CHAR(10)&amp;IF(Checks!$I$426="","",Checks!$I$426&amp;": ")&amp;Checks!$J$426</f>
        <v>F12-UPL-16
Sales Cart: Sales cart (caterer PASB) - on board</v>
      </c>
      <c r="B72" s="112" t="str">
        <f aca="false">Checks!$K$426&amp;IF(Checks!$O$426="","",IF(Checks!$K$426="","",CHAR(10))&amp;"Note: "&amp;Checks!$O$426)</f>
        <v>Location 241 &amp; 947 (A339)
Note: Block 7.08 h &gt;= 4 h.</v>
      </c>
      <c r="C72" s="112" t="str">
        <f aca="false">Checks!$N$426&amp;CHAR(10)&amp;IF(ISNUMBER(Checks!$R$426),TEXT(Checks!$R$426,"DD-MMM-YY HH:MM"),"")&amp;" "&amp;Checks!$P$426</f>
        <v>Required
12-Oct-26 22:25 KUL</v>
      </c>
      <c r="D72" s="112" t="str">
        <f aca="false">IF(Checks!$U$426="","",Checks!$U$426)&amp;IF(Checks!$AB$426="","",CHAR(10)&amp;"CA: "&amp;Checks!$AB$426)</f>
        <v/>
      </c>
      <c r="E72" s="112" t="str">
        <f aca="false">IF(Checks!$V$426="","",Checks!$V$426)&amp;IF(Checks!$AC$426="","",IF(Checks!$V$426="","",CHAR(10))&amp;"N/A just.: "&amp;Checks!$AC$426)&amp;IF(Checks!$W$426="","",CHAR(10)&amp;"Batch: "&amp;Checks!$W$426)&amp;IF(AND(Checks!$X$426="",Checks!$Y$426=""),"",CHAR(10)&amp;"Exp: "&amp;Checks!$X$426&amp;"  /  Act: "&amp;Checks!$Y$426)</f>
        <v/>
      </c>
      <c r="F72" s="112" t="str">
        <f aca="false">IF(Checks!$Z$426="","","Evidence: "&amp;Checks!$Z$426)&amp;IF(Checks!$AA$426="","",IF(Checks!$Z$426="","",CHAR(10))&amp;"CA: "&amp;Checks!$AA$426)</f>
        <v/>
      </c>
      <c r="G72" s="112" t="str">
        <f aca="false">IF(ISNUMBER(Checks!$AD$426),TEXT(Checks!$AD$426,"DD-MMM-YY HH:MM")&amp;" "&amp;Checks!$P$426,"")&amp;IF(Checks!$AE$426="","",CHAR(10)&amp;"Verifier: "&amp;Checks!$AE$426)&amp;IF(Checks!$T$426="","",CHAR(10)&amp;"PIC: "&amp;Checks!$T$426)</f>
        <v/>
      </c>
      <c r="H72" s="113" t="str">
        <f aca="false">IF(Checks!$AH$426="","",Checks!$AH$426)</f>
        <v>OPEN</v>
      </c>
    </row>
    <row r="74" customFormat="false" ht="24" hidden="false" customHeight="true" outlineLevel="0" collapsed="false">
      <c r="A74" s="114" t="s">
        <v>1647</v>
      </c>
      <c r="B74" s="114"/>
      <c r="C74" s="114"/>
      <c r="D74" s="114"/>
      <c r="E74" s="114" t="s">
        <v>1648</v>
      </c>
      <c r="F74" s="114"/>
      <c r="G74" s="114"/>
      <c r="H74" s="114"/>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row r="83" customFormat="false" ht="21.75" hidden="false" customHeight="true" outlineLevel="0" collapsed="false">
      <c r="A83" s="115"/>
      <c r="B83" s="115"/>
      <c r="C83" s="115"/>
      <c r="D83" s="115"/>
      <c r="E83" s="115"/>
      <c r="F83" s="115"/>
      <c r="G83" s="115"/>
      <c r="H83" s="115"/>
    </row>
    <row r="84" customFormat="false" ht="21.75" hidden="false" customHeight="true" outlineLevel="0" collapsed="false">
      <c r="A84" s="115"/>
      <c r="B84" s="115"/>
      <c r="C84" s="115"/>
      <c r="D84" s="115"/>
      <c r="E84" s="115"/>
      <c r="F84" s="115"/>
      <c r="G84" s="115"/>
      <c r="H84"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F13  "&amp;Flights!$F$17&amp;"  "&amp;TEXT(Flights!$D$17,"DD-MMM-YY")&amp;" ("&amp;Flights!$E$17&amp;")  "&amp;Flights!$G$17&amp;" → "&amp;Flights!$H$17&amp;"  |  Class "&amp;Flights!$K$17</f>
        <v>SKYTRAX 2026 CATERING READINESS CHECKLIST  |  F13  MH0138  14-Oct-26 (WED)  ADL → KUL  |  Class EY</v>
      </c>
      <c r="B1" s="90"/>
      <c r="C1" s="90"/>
      <c r="D1" s="90"/>
      <c r="E1" s="90"/>
      <c r="F1" s="90"/>
      <c r="G1" s="90"/>
      <c r="H1" s="90"/>
    </row>
    <row r="2" customFormat="false" ht="12.75" hidden="false" customHeight="true" outlineLevel="0" collapsed="false">
      <c r="A2" s="91" t="s">
        <v>1602</v>
      </c>
      <c r="B2" s="92" t="str">
        <f aca="false">Flights!$F$17&amp;"   "&amp;TEXT(Flights!$D$17,"DD-MMM-YY")&amp;" ("&amp;Flights!$E$17&amp;")"</f>
        <v>MH0138   14-Oct-26 (WED)</v>
      </c>
      <c r="C2" s="92"/>
      <c r="D2" s="92"/>
      <c r="E2" s="93" t="s">
        <v>1603</v>
      </c>
      <c r="F2" s="94" t="str">
        <f aca="false">Flights!$AT$17</f>
        <v>NOT READY – DOCUMENTS</v>
      </c>
      <c r="G2" s="94"/>
      <c r="H2" s="94"/>
    </row>
    <row r="3" customFormat="false" ht="24" hidden="false" customHeight="true" outlineLevel="0" collapsed="false">
      <c r="A3" s="91" t="s">
        <v>1604</v>
      </c>
      <c r="B3" s="92" t="str">
        <f aca="false">Flights!$G$17&amp;" → "&amp;Flights!$H$17&amp;"   Class "&amp;Flights!$K$17&amp;"   Seat "&amp;Flights!$O$17</f>
        <v>ADL → KUL   Class EY   Seat 11K</v>
      </c>
      <c r="C3" s="92"/>
      <c r="D3" s="92"/>
      <c r="E3" s="93" t="s">
        <v>66</v>
      </c>
      <c r="F3" s="93" t="s">
        <v>1605</v>
      </c>
      <c r="G3" s="93" t="s">
        <v>1606</v>
      </c>
      <c r="H3" s="93"/>
    </row>
    <row r="4" customFormat="false" ht="24" hidden="false" customHeight="true" outlineLevel="0" collapsed="false">
      <c r="A4" s="91" t="s">
        <v>1607</v>
      </c>
      <c r="B4" s="92" t="str">
        <f aca="false">IF(ISNUMBER(Flights!$I$17),TEXT(Flights!$I$17,"DD-MMM-YY HH:MM"),"")&amp;" "&amp;Flights!$G$17&amp;"  →  "&amp;IF(ISNUMBER(Flights!$J$17),TEXT(Flights!$J$17,"DD-MMM-YY HH:MM"),"")&amp;" "&amp;Flights!$H$17</f>
        <v>14-Oct-26 10:45 ADL  →  14-Oct-26 16:00 KUL</v>
      </c>
      <c r="C4" s="92"/>
      <c r="D4" s="92"/>
      <c r="E4" s="91" t="s">
        <v>1608</v>
      </c>
      <c r="F4" s="95" t="str">
        <f aca="false">IF(ISNUMBER(Flights!$AG$17),TEXT(Flights!$AG$17,"DD-MMM-YY HH:MM"),"")&amp;" "&amp;Flights!$V$17</f>
        <v>07-Oct-26 10:45 ADL</v>
      </c>
      <c r="G4" s="96" t="n">
        <f aca="false">Flights!$AJ$17</f>
        <v>0</v>
      </c>
      <c r="H4" s="96"/>
    </row>
    <row r="5" customFormat="false" ht="24" hidden="false" customHeight="true" outlineLevel="0" collapsed="false">
      <c r="A5" s="91" t="s">
        <v>1609</v>
      </c>
      <c r="B5" s="92" t="str">
        <f aca="false">Flights!$L$17&amp;" – "&amp;Flights!$M$17</f>
        <v>A339 – A330-900 (A339)</v>
      </c>
      <c r="C5" s="92"/>
      <c r="D5" s="92"/>
      <c r="E5" s="91" t="s">
        <v>1610</v>
      </c>
      <c r="F5" s="95" t="str">
        <f aca="false">IF(ISNUMBER(Flights!$AH$17),TEXT(Flights!$AH$17,"DD-MMM-YY HH:MM"),"")&amp;" "&amp;Flights!$V$17</f>
        <v>13-Oct-26 10:45 ADL</v>
      </c>
      <c r="G5" s="96" t="n">
        <f aca="false">Flights!$AK$17</f>
        <v>0</v>
      </c>
      <c r="H5" s="96"/>
    </row>
    <row r="6" customFormat="false" ht="24" hidden="false" customHeight="true" outlineLevel="0" collapsed="false">
      <c r="A6" s="91" t="s">
        <v>1611</v>
      </c>
      <c r="B6" s="92" t="str">
        <f aca="false">IF(TRIM(Flights!$N$17)="","__________________",Flights!$N$17)</f>
        <v>__________________</v>
      </c>
      <c r="C6" s="92"/>
      <c r="D6" s="92"/>
      <c r="E6" s="91" t="s">
        <v>1612</v>
      </c>
      <c r="F6" s="95" t="str">
        <f aca="false">IF(ISNUMBER(Flights!$AI$17),TEXT(Flights!$AI$17,"DD-MMM-YY HH:MM"),"")&amp;" "&amp;Flights!$V$17&amp;IF(Flights!$AI$17=Flights!$AH$17,"  (= T-24H due)","")</f>
        <v>13-Oct-26 22:45 ADL</v>
      </c>
      <c r="G6" s="96" t="n">
        <f aca="false">Flights!$AL$17</f>
        <v>0</v>
      </c>
      <c r="H6" s="96"/>
    </row>
    <row r="7" customFormat="false" ht="24" hidden="false" customHeight="true" outlineLevel="0" collapsed="false">
      <c r="A7" s="91" t="s">
        <v>1613</v>
      </c>
      <c r="B7" s="92" t="str">
        <f aca="false">Flights!$T$17</f>
        <v>1.5 Meal (Meal)</v>
      </c>
      <c r="C7" s="92"/>
      <c r="D7" s="92"/>
      <c r="E7" s="91" t="s">
        <v>1614</v>
      </c>
      <c r="F7" s="95" t="str">
        <f aca="false">"STD "&amp;IF(ISNUMBER(Flights!$I$17),TEXT(Flights!$I$17,"DD-MMM-YY HH:MM"),"")&amp;" "&amp;Flights!$G$17&amp;" (dep stn)"</f>
        <v>STD 14-Oct-26 10:45 ADL (dep stn)</v>
      </c>
      <c r="G7" s="96" t="n">
        <f aca="false">Flights!$AM$17</f>
        <v>0</v>
      </c>
      <c r="H7" s="96"/>
    </row>
    <row r="8" customFormat="false" ht="12.75" hidden="false" customHeight="true" outlineLevel="0" collapsed="false">
      <c r="A8" s="91" t="s">
        <v>148</v>
      </c>
      <c r="B8" s="92" t="str">
        <f aca="false">Flights!$V$17&amp;"   (reference uplift stns: "&amp;Flights!$U$17&amp;")"</f>
        <v>ADL   (reference uplift stns: KUL/ADL)</v>
      </c>
      <c r="C8" s="92"/>
      <c r="D8" s="92"/>
      <c r="E8" s="91" t="s">
        <v>1615</v>
      </c>
      <c r="F8" s="97" t="s">
        <v>1616</v>
      </c>
      <c r="G8" s="96" t="n">
        <f aca="false">Flights!$AN$17</f>
        <v>0</v>
      </c>
      <c r="H8" s="96"/>
    </row>
    <row r="9" customFormat="false" ht="12.75" hidden="false" customHeight="true" outlineLevel="0" collapsed="false">
      <c r="A9" s="91" t="s">
        <v>1617</v>
      </c>
      <c r="B9" s="92" t="str">
        <f aca="false">TRIM(Flights!$P$17&amp;"  "&amp;Flights!$Q$17)</f>
        <v>- Overnight KUL</v>
      </c>
      <c r="C9" s="92"/>
      <c r="D9" s="92"/>
      <c r="E9" s="91" t="s">
        <v>1618</v>
      </c>
      <c r="F9" s="98" t="n">
        <f aca="false">Flights!$AP$17</f>
        <v>0</v>
      </c>
      <c r="G9" s="98" t="n">
        <f aca="false">Flights!$AQ$17</f>
        <v>0</v>
      </c>
      <c r="H9" s="98" t="n">
        <f aca="false">Flights!$AU$17</f>
        <v>0</v>
      </c>
    </row>
    <row r="10" customFormat="false" ht="24" hidden="false" customHeight="true" outlineLevel="0" collapsed="false">
      <c r="A10" s="91" t="s">
        <v>1619</v>
      </c>
      <c r="B10" s="92" t="str">
        <f aca="false">IF(TRIM(Flights!$X$17)="","__________________",Flights!$X$17)</f>
        <v>__________________</v>
      </c>
      <c r="C10" s="92"/>
      <c r="D10" s="92"/>
      <c r="E10" s="91" t="s">
        <v>1620</v>
      </c>
      <c r="F10" s="98" t="n">
        <f aca="false">Flights!$AO$17</f>
        <v>29</v>
      </c>
      <c r="G10" s="98" t="n">
        <f aca="false">Flights!$AS$17</f>
        <v>5</v>
      </c>
      <c r="H10" s="98" t="n">
        <f aca="false">Flights!$AR$17</f>
        <v>2</v>
      </c>
    </row>
    <row r="11" customFormat="false" ht="21" hidden="false" customHeight="true" outlineLevel="0" collapsed="false">
      <c r="A11" s="91" t="s">
        <v>1621</v>
      </c>
      <c r="B11" s="92" t="str">
        <f aca="false">IF(TRIM(Flights!$Y$17)="","__________________",Flights!$Y$17)</f>
        <v>__________________</v>
      </c>
      <c r="C11" s="92"/>
      <c r="D11" s="92"/>
      <c r="E11" s="91" t="s">
        <v>1622</v>
      </c>
      <c r="F11" s="98" t="str">
        <f aca="false">Flights!$AV$17&amp;" / "&amp;Flights!$AW$17</f>
        <v>0 / 29</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45.75" hidden="false" customHeight="true" outlineLevel="0" collapsed="false">
      <c r="A13" s="116" t="str">
        <f aca="false">"KUL-SOURCED ITEMS: some items for this flight are uplifted at KUL on an inbound carrying flight (identify it in the clarification check). Their preparation is capped at the KUL loading window."&amp;CHAR(10)&amp;"Prep must be complete by (loading window opens):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 (estimated – enter actual on Flights AX)")</f>
        <v>KUL-SOURCED ITEMS: some items for this flight are uplifted at KUL on an inbound carrying flight (identify it in the clarification check). Their preparation is capped at the KUL loading window.
Prep must be complete by (loading window opens): 12-Oct-26 16:25 KUL   |   Carrying flight KUL departure (loading confirmed by): 12-Oct-26 22:25 KUL (estimated – enter actual on Flights AX)</v>
      </c>
      <c r="B13" s="116"/>
      <c r="C13" s="116"/>
      <c r="D13" s="116"/>
      <c r="E13" s="116"/>
      <c r="F13" s="116"/>
      <c r="G13" s="116"/>
      <c r="H13" s="116"/>
    </row>
    <row r="14" customFormat="false" ht="13.5" hidden="false" customHeight="true" outlineLevel="0" collapsed="false">
      <c r="A14" s="93" t="s">
        <v>1627</v>
      </c>
      <c r="B14" s="93" t="s">
        <v>1628</v>
      </c>
      <c r="C14" s="93" t="s">
        <v>1629</v>
      </c>
      <c r="D14" s="93"/>
      <c r="E14" s="93" t="s">
        <v>1630</v>
      </c>
      <c r="F14" s="93" t="s">
        <v>1631</v>
      </c>
      <c r="G14" s="93"/>
      <c r="H14" s="93"/>
    </row>
    <row r="15" customFormat="false" ht="36" hidden="false" customHeight="true" outlineLevel="0" collapsed="false">
      <c r="A15" s="91" t="s">
        <v>1632</v>
      </c>
      <c r="B15" s="92" t="str">
        <f aca="false">IF(Documents!$F$17="","",Documents!$F$17)</f>
        <v/>
      </c>
      <c r="C15" s="97" t="str">
        <f aca="false">IF(Documents!$G$17="","",Documents!$G$17)&amp;IF(ISNUMBER(Documents!$H$17),"  "&amp;TEXT(Documents!$H$17,"DD-MMM-YY"),"")</f>
        <v/>
      </c>
      <c r="D15" s="97"/>
      <c r="E15" s="105" t="str">
        <f aca="false">IF(Documents!$J$17="OUTSTANDING","OUTSTANDING – attach before T-7D (due "&amp;IF(ISNUMBER(Flights!$AG$17),TEXT(Flights!$AG$17,"DD-MMM-YY HH:MM"),"")&amp;" "&amp;Flights!$V$17&amp;")",IF(Documents!$J$17="","Status not recorded",Documents!$J$17))</f>
        <v>OUTSTANDING – attach before T-7D (due 07-Oct-26 10:45 ADL)</v>
      </c>
      <c r="F15" s="106" t="str">
        <f aca="false">"Staple behind this sheet as page A1."&amp;IF(Documents!$I$17="",""," Location: "&amp;Documents!$I$17)</f>
        <v>Staple behind this sheet as page A1.</v>
      </c>
      <c r="G15" s="106"/>
      <c r="H15" s="106"/>
    </row>
    <row r="16" customFormat="false" ht="36" hidden="false" customHeight="true" outlineLevel="0" collapsed="false">
      <c r="A16" s="91" t="s">
        <v>1633</v>
      </c>
      <c r="B16" s="92" t="str">
        <f aca="false">IF(Documents!$K$17="","",Documents!$K$17)</f>
        <v/>
      </c>
      <c r="C16" s="97" t="str">
        <f aca="false">IF(Documents!$L$17="","",Documents!$L$17)&amp;IF(ISNUMBER(Documents!$M$17),"  "&amp;TEXT(Documents!$M$17,"DD-MMM-YY"),"")</f>
        <v/>
      </c>
      <c r="D16" s="97"/>
      <c r="E16" s="105" t="str">
        <f aca="false">IF(Documents!$O$17="OUTSTANDING","OUTSTANDING – attach before T-7D (due "&amp;IF(ISNUMBER(Flights!$AG$17),TEXT(Flights!$AG$17,"DD-MMM-YY HH:MM"),"")&amp;" "&amp;Flights!$V$17&amp;")",IF(Documents!$O$17="","Status not recorded",Documents!$O$17))</f>
        <v>OUTSTANDING – attach before T-7D (due 07-Oct-26 10:45 ADL)</v>
      </c>
      <c r="F16" s="106" t="str">
        <f aca="false">"Staple behind this sheet as page A2."&amp;IF(Documents!$N$17="",""," Location: "&amp;Documents!$N$17)</f>
        <v>Staple behind this sheet as page A2.</v>
      </c>
      <c r="G16" s="106"/>
      <c r="H16" s="106"/>
    </row>
    <row r="17" customFormat="false" ht="22.5" hidden="false" customHeight="true" outlineLevel="0" collapsed="false">
      <c r="A17" s="91" t="s">
        <v>1634</v>
      </c>
      <c r="B17" s="107" t="str">
        <f aca="false">IF(Documents!$Q$17="","",Documents!$Q$17)</f>
        <v>Not supplied with brief – obtain from caterer / MAGCS.</v>
      </c>
      <c r="C17" s="107"/>
      <c r="D17" s="107"/>
      <c r="E17" s="107"/>
      <c r="F17" s="107"/>
      <c r="G17" s="107"/>
      <c r="H17" s="107"/>
    </row>
    <row r="18" customFormat="false" ht="13.5" hidden="false" customHeight="true" outlineLevel="0" collapsed="false">
      <c r="A18" s="108" t="s">
        <v>1635</v>
      </c>
      <c r="B18" s="108"/>
      <c r="C18" s="108" t="s">
        <v>1636</v>
      </c>
      <c r="D18" s="108"/>
      <c r="E18" s="108"/>
      <c r="F18" s="108" t="s">
        <v>1637</v>
      </c>
      <c r="G18" s="108"/>
      <c r="H18" s="108"/>
    </row>
    <row r="19" customFormat="false" ht="18" hidden="false" customHeight="true" outlineLevel="0" collapsed="false">
      <c r="A19" s="92" t="str">
        <f aca="false">"Name: "&amp;IF(TRIM(Flights!$Y$17)="","__________________",Flights!$Y$17)</f>
        <v>Name: __________________</v>
      </c>
      <c r="B19" s="92"/>
      <c r="C19" s="92" t="str">
        <f aca="false">"Name: __________________"</f>
        <v>Name: __________________</v>
      </c>
      <c r="D19" s="92"/>
      <c r="E19" s="92"/>
      <c r="F19" s="92" t="str">
        <f aca="false">"Name: __________________"&amp;"   Station: "&amp;Flights!$V$17</f>
        <v>Name: __________________   Station: ADL</v>
      </c>
      <c r="G19" s="92"/>
      <c r="H19" s="92"/>
    </row>
    <row r="20" customFormat="false" ht="30" hidden="false" customHeight="true" outlineLevel="0" collapsed="false">
      <c r="A20" s="109" t="s">
        <v>1638</v>
      </c>
      <c r="B20" s="109"/>
      <c r="C20" s="109" t="s">
        <v>1638</v>
      </c>
      <c r="D20" s="109"/>
      <c r="E20" s="109"/>
      <c r="F20" s="109" t="s">
        <v>1638</v>
      </c>
      <c r="G20" s="109"/>
      <c r="H20" s="109"/>
    </row>
    <row r="21" customFormat="false" ht="13.5" hidden="false" customHeight="true" outlineLevel="0" collapsed="false">
      <c r="A21" s="110" t="s">
        <v>1639</v>
      </c>
      <c r="B21" s="110"/>
      <c r="C21" s="110"/>
      <c r="D21" s="110"/>
      <c r="E21" s="110"/>
      <c r="F21" s="110"/>
      <c r="G21" s="110"/>
      <c r="H21" s="110"/>
    </row>
    <row r="22" customFormat="false" ht="24" hidden="false" customHeight="true" outlineLevel="0" collapsed="false">
      <c r="A22" s="93" t="s">
        <v>1640</v>
      </c>
      <c r="B22" s="93" t="s">
        <v>1641</v>
      </c>
      <c r="C22" s="93" t="s">
        <v>1642</v>
      </c>
      <c r="D22" s="93" t="s">
        <v>1643</v>
      </c>
      <c r="E22" s="93" t="s">
        <v>1644</v>
      </c>
      <c r="F22" s="93" t="s">
        <v>1645</v>
      </c>
      <c r="G22" s="93" t="s">
        <v>1646</v>
      </c>
      <c r="H22" s="93" t="s">
        <v>119</v>
      </c>
    </row>
    <row r="23" customFormat="false" ht="25.5" hidden="false" customHeight="true" outlineLevel="0" collapsed="false">
      <c r="A23" s="111"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1"/>
      <c r="C23" s="111"/>
      <c r="D23" s="111"/>
      <c r="E23" s="111"/>
      <c r="F23" s="111"/>
      <c r="G23" s="111"/>
      <c r="H23" s="111"/>
    </row>
    <row r="24" customFormat="false" ht="114" hidden="false" customHeight="true" outlineLevel="0" collapsed="false">
      <c r="A24" s="112" t="str">
        <f aca="false">Checks!$A$427&amp;CHAR(10)&amp;IF(Checks!$I$427="","",Checks!$I$427&amp;": ")&amp;Checks!$J$427</f>
        <v>F13-T7-01
Meal: Meal sensory testing completed for this flight's menu cycle (assessed class)</v>
      </c>
      <c r="B24" s="112" t="str">
        <f aca="false">Checks!$K$427&amp;IF(Checks!$O$427="","",IF(Checks!$K$427="","",CHAR(10))&amp;"Note: "&amp;Checks!$O$427)</f>
        <v>Record panel result / score in Result</v>
      </c>
      <c r="C24" s="112" t="str">
        <f aca="false">Checks!$N$427&amp;CHAR(10)&amp;IF(ISNUMBER(Checks!$R$427),TEXT(Checks!$R$427,"DD-MMM-YY HH:MM"),"")&amp;" "&amp;Checks!$P$427</f>
        <v>Required
07-Oct-26 10:45 ADL</v>
      </c>
      <c r="D24" s="112" t="str">
        <f aca="false">IF(Checks!$U$427="","",Checks!$U$427)&amp;IF(Checks!$AB$427="","",CHAR(10)&amp;"CA: "&amp;Checks!$AB$427)</f>
        <v/>
      </c>
      <c r="E24" s="112" t="str">
        <f aca="false">IF(Checks!$V$427="","",Checks!$V$427)&amp;IF(Checks!$AC$427="","",IF(Checks!$V$427="","",CHAR(10))&amp;"N/A just.: "&amp;Checks!$AC$427)&amp;IF(Checks!$W$427="","",CHAR(10)&amp;"Batch: "&amp;Checks!$W$427)&amp;IF(AND(Checks!$X$427="",Checks!$Y$427=""),"",CHAR(10)&amp;"Exp: "&amp;Checks!$X$427&amp;"  /  Act: "&amp;Checks!$Y$427)</f>
        <v/>
      </c>
      <c r="F24" s="112" t="str">
        <f aca="false">IF(Checks!$Z$427="","","Evidence: "&amp;Checks!$Z$427)&amp;IF(Checks!$AA$427="","",IF(Checks!$Z$427="","",CHAR(10))&amp;"CA: "&amp;Checks!$AA$427)</f>
        <v/>
      </c>
      <c r="G24" s="112" t="str">
        <f aca="false">IF(ISNUMBER(Checks!$AD$427),TEXT(Checks!$AD$427,"DD-MMM-YY HH:MM")&amp;" "&amp;Checks!$P$427,"")&amp;IF(Checks!$AE$427="","",CHAR(10)&amp;"Verifier: "&amp;Checks!$AE$427)&amp;IF(Checks!$T$427="","",CHAR(10)&amp;"PIC: "&amp;Checks!$T$427)</f>
        <v/>
      </c>
      <c r="H24" s="113" t="str">
        <f aca="false">IF(Checks!$AH$427="","",Checks!$AH$427)</f>
        <v>OPEN</v>
      </c>
    </row>
    <row r="25" customFormat="false" ht="114" hidden="false" customHeight="true" outlineLevel="0" collapsed="false">
      <c r="A25" s="112" t="str">
        <f aca="false">Checks!$A$428&amp;CHAR(10)&amp;IF(Checks!$I$428="","",Checks!$I$428&amp;": ")&amp;Checks!$J$428</f>
        <v>F13-T7-02
Menu: Printed menu cards confirmed (content, cycle, language, quantity)</v>
      </c>
      <c r="B25" s="112" t="str">
        <f aca="false">Checks!$K$428&amp;IF(Checks!$O$428="","",IF(Checks!$K$428="","",CHAR(10))&amp;"Note: "&amp;Checks!$O$428)</f>
        <v>Menu card matches approved menu for this flight</v>
      </c>
      <c r="C25" s="112" t="str">
        <f aca="false">Checks!$N$428&amp;CHAR(10)&amp;IF(ISNUMBER(Checks!$R$428),TEXT(Checks!$R$428,"DD-MMM-YY HH:MM"),"")&amp;" "&amp;Checks!$P$428</f>
        <v>Required
07-Oct-26 10:45 ADL</v>
      </c>
      <c r="D25" s="112" t="str">
        <f aca="false">IF(Checks!$U$428="","",Checks!$U$428)&amp;IF(Checks!$AB$428="","",CHAR(10)&amp;"CA: "&amp;Checks!$AB$428)</f>
        <v/>
      </c>
      <c r="E25" s="112" t="str">
        <f aca="false">IF(Checks!$V$428="","",Checks!$V$428)&amp;IF(Checks!$AC$428="","",IF(Checks!$V$428="","",CHAR(10))&amp;"N/A just.: "&amp;Checks!$AC$428)&amp;IF(Checks!$W$428="","",CHAR(10)&amp;"Batch: "&amp;Checks!$W$428)&amp;IF(AND(Checks!$X$428="",Checks!$Y$428=""),"",CHAR(10)&amp;"Exp: "&amp;Checks!$X$428&amp;"  /  Act: "&amp;Checks!$Y$428)</f>
        <v/>
      </c>
      <c r="F25" s="112" t="str">
        <f aca="false">IF(Checks!$Z$428="","","Evidence: "&amp;Checks!$Z$428)&amp;IF(Checks!$AA$428="","",IF(Checks!$Z$428="","",CHAR(10))&amp;"CA: "&amp;Checks!$AA$428)</f>
        <v/>
      </c>
      <c r="G25" s="112" t="str">
        <f aca="false">IF(ISNUMBER(Checks!$AD$428),TEXT(Checks!$AD$428,"DD-MMM-YY HH:MM")&amp;" "&amp;Checks!$P$428,"")&amp;IF(Checks!$AE$428="","",CHAR(10)&amp;"Verifier: "&amp;Checks!$AE$428)&amp;IF(Checks!$T$428="","",CHAR(10)&amp;"PIC: "&amp;Checks!$T$428)</f>
        <v/>
      </c>
      <c r="H25" s="113" t="str">
        <f aca="false">IF(Checks!$AH$428="","",Checks!$AH$428)</f>
        <v>OPEN</v>
      </c>
    </row>
    <row r="26" customFormat="false" ht="114" hidden="false" customHeight="true" outlineLevel="0" collapsed="false">
      <c r="A26" s="112" t="str">
        <f aca="false">Checks!$A$429&amp;CHAR(10)&amp;IF(Checks!$I$429="","",Checks!$I$429&amp;": ")&amp;Checks!$J$429</f>
        <v>F13-T7-03
IFE: Digital menu in IFE confirmed (A339 only)</v>
      </c>
      <c r="B26" s="112" t="str">
        <f aca="false">Checks!$K$429&amp;IF(Checks!$O$429="","",IF(Checks!$K$429="","",CHAR(10))&amp;"Note: "&amp;Checks!$O$429)</f>
        <v>Applies when fleet = A339
Note: Digital IFE menu applies to A339 only (user brief). Applicability follows the Fleet cell on Flights.</v>
      </c>
      <c r="C26" s="112" t="str">
        <f aca="false">Checks!$N$429&amp;CHAR(10)&amp;IF(ISNUMBER(Checks!$R$429),TEXT(Checks!$R$429,"DD-MMM-YY HH:MM"),"")&amp;" "&amp;Checks!$P$429</f>
        <v>Required
07-Oct-26 10:45 ADL</v>
      </c>
      <c r="D26" s="112" t="str">
        <f aca="false">IF(Checks!$U$429="","",Checks!$U$429)&amp;IF(Checks!$AB$429="","",CHAR(10)&amp;"CA: "&amp;Checks!$AB$429)</f>
        <v/>
      </c>
      <c r="E26" s="112" t="str">
        <f aca="false">IF(Checks!$V$429="","",Checks!$V$429)&amp;IF(Checks!$AC$429="","",IF(Checks!$V$429="","",CHAR(10))&amp;"N/A just.: "&amp;Checks!$AC$429)&amp;IF(Checks!$W$429="","",CHAR(10)&amp;"Batch: "&amp;Checks!$W$429)&amp;IF(AND(Checks!$X$429="",Checks!$Y$429=""),"",CHAR(10)&amp;"Exp: "&amp;Checks!$X$429&amp;"  /  Act: "&amp;Checks!$Y$429)</f>
        <v/>
      </c>
      <c r="F26" s="112" t="str">
        <f aca="false">IF(Checks!$Z$429="","","Evidence: "&amp;Checks!$Z$429)&amp;IF(Checks!$AA$429="","",IF(Checks!$Z$429="","",CHAR(10))&amp;"CA: "&amp;Checks!$AA$429)</f>
        <v/>
      </c>
      <c r="G26" s="112" t="str">
        <f aca="false">IF(ISNUMBER(Checks!$AD$429),TEXT(Checks!$AD$429,"DD-MMM-YY HH:MM")&amp;" "&amp;Checks!$P$429,"")&amp;IF(Checks!$AE$429="","",CHAR(10)&amp;"Verifier: "&amp;Checks!$AE$429)&amp;IF(Checks!$T$429="","",CHAR(10)&amp;"PIC: "&amp;Checks!$T$429)</f>
        <v/>
      </c>
      <c r="H26" s="113" t="str">
        <f aca="false">IF(Checks!$AH$429="","",Checks!$AH$429)</f>
        <v>OPEN</v>
      </c>
    </row>
    <row r="27" customFormat="false" ht="114" hidden="false" customHeight="true" outlineLevel="0" collapsed="false">
      <c r="A27" s="112" t="str">
        <f aca="false">Checks!$A$430&amp;CHAR(10)&amp;IF(Checks!$I$430="","",Checks!$I$430&amp;": ")&amp;Checks!$J$430</f>
        <v>F13-T7-04
Staffing: Experienced catering officer assigned to this flight</v>
      </c>
      <c r="B27" s="112" t="str">
        <f aca="false">Checks!$K$430&amp;IF(Checks!$O$430="","",IF(Checks!$K$430="","",CHAR(10))&amp;"Note: "&amp;Checks!$O$430)</f>
        <v>Record officer name in Result</v>
      </c>
      <c r="C27" s="112" t="str">
        <f aca="false">Checks!$N$430&amp;CHAR(10)&amp;IF(ISNUMBER(Checks!$R$430),TEXT(Checks!$R$430,"DD-MMM-YY HH:MM"),"")&amp;" "&amp;Checks!$P$430</f>
        <v>Required
07-Oct-26 10:45 ADL</v>
      </c>
      <c r="D27" s="112" t="str">
        <f aca="false">IF(Checks!$U$430="","",Checks!$U$430)&amp;IF(Checks!$AB$430="","",CHAR(10)&amp;"CA: "&amp;Checks!$AB$430)</f>
        <v/>
      </c>
      <c r="E27" s="112" t="str">
        <f aca="false">IF(Checks!$V$430="","",Checks!$V$430)&amp;IF(Checks!$AC$430="","",IF(Checks!$V$430="","",CHAR(10))&amp;"N/A just.: "&amp;Checks!$AC$430)&amp;IF(Checks!$W$430="","",CHAR(10)&amp;"Batch: "&amp;Checks!$W$430)&amp;IF(AND(Checks!$X$430="",Checks!$Y$430=""),"",CHAR(10)&amp;"Exp: "&amp;Checks!$X$430&amp;"  /  Act: "&amp;Checks!$Y$430)</f>
        <v/>
      </c>
      <c r="F27" s="112" t="str">
        <f aca="false">IF(Checks!$Z$430="","","Evidence: "&amp;Checks!$Z$430)&amp;IF(Checks!$AA$430="","",IF(Checks!$Z$430="","",CHAR(10))&amp;"CA: "&amp;Checks!$AA$430)</f>
        <v/>
      </c>
      <c r="G27" s="112" t="str">
        <f aca="false">IF(ISNUMBER(Checks!$AD$430),TEXT(Checks!$AD$430,"DD-MMM-YY HH:MM")&amp;" "&amp;Checks!$P$430,"")&amp;IF(Checks!$AE$430="","",CHAR(10)&amp;"Verifier: "&amp;Checks!$AE$430)&amp;IF(Checks!$T$430="","",CHAR(10)&amp;"PIC: "&amp;Checks!$T$430)</f>
        <v/>
      </c>
      <c r="H27" s="113" t="str">
        <f aca="false">IF(Checks!$AH$430="","",Checks!$AH$430)</f>
        <v>OPEN</v>
      </c>
    </row>
    <row r="28" customFormat="false" ht="114" hidden="false" customHeight="true" outlineLevel="0" collapsed="false">
      <c r="A28" s="112" t="str">
        <f aca="false">Checks!$A$431&amp;CHAR(10)&amp;IF(Checks!$I$431="","",Checks!$I$431&amp;": ")&amp;Checks!$J$431</f>
        <v>F13-T7-05
ISOP: All latest applicable ISOP revisions communicated to caterer</v>
      </c>
      <c r="B28" s="112" t="str">
        <f aca="false">Checks!$K$431&amp;IF(Checks!$O$431="","",IF(Checks!$K$431="","",CHAR(10))&amp;"Note: "&amp;Checks!$O$431)</f>
        <v>List revision numbers in Result (see ISOP register)</v>
      </c>
      <c r="C28" s="112" t="str">
        <f aca="false">Checks!$N$431&amp;CHAR(10)&amp;IF(ISNUMBER(Checks!$R$431),TEXT(Checks!$R$431,"DD-MMM-YY HH:MM"),"")&amp;" "&amp;Checks!$P$431</f>
        <v>Required
07-Oct-26 10:45 ADL</v>
      </c>
      <c r="D28" s="112" t="str">
        <f aca="false">IF(Checks!$U$431="","",Checks!$U$431)&amp;IF(Checks!$AB$431="","",CHAR(10)&amp;"CA: "&amp;Checks!$AB$431)</f>
        <v/>
      </c>
      <c r="E28" s="112" t="str">
        <f aca="false">IF(Checks!$V$431="","",Checks!$V$431)&amp;IF(Checks!$AC$431="","",IF(Checks!$V$431="","",CHAR(10))&amp;"N/A just.: "&amp;Checks!$AC$431)&amp;IF(Checks!$W$431="","",CHAR(10)&amp;"Batch: "&amp;Checks!$W$431)&amp;IF(AND(Checks!$X$431="",Checks!$Y$431=""),"",CHAR(10)&amp;"Exp: "&amp;Checks!$X$431&amp;"  /  Act: "&amp;Checks!$Y$431)</f>
        <v/>
      </c>
      <c r="F28" s="112" t="str">
        <f aca="false">IF(Checks!$Z$431="","","Evidence: "&amp;Checks!$Z$431)&amp;IF(Checks!$AA$431="","",IF(Checks!$Z$431="","",CHAR(10))&amp;"CA: "&amp;Checks!$AA$431)</f>
        <v/>
      </c>
      <c r="G28" s="112" t="str">
        <f aca="false">IF(ISNUMBER(Checks!$AD$431),TEXT(Checks!$AD$431,"DD-MMM-YY HH:MM")&amp;" "&amp;Checks!$P$431,"")&amp;IF(Checks!$AE$431="","",CHAR(10)&amp;"Verifier: "&amp;Checks!$AE$431)&amp;IF(Checks!$T$431="","",CHAR(10)&amp;"PIC: "&amp;Checks!$T$431)</f>
        <v/>
      </c>
      <c r="H28" s="113" t="str">
        <f aca="false">IF(Checks!$AH$431="","",Checks!$AH$431)</f>
        <v>OPEN</v>
      </c>
    </row>
    <row r="29" customFormat="false" ht="114" hidden="false" customHeight="true" outlineLevel="0" collapsed="false">
      <c r="A29" s="112" t="str">
        <f aca="false">Checks!$A$432&amp;CHAR(10)&amp;IF(Checks!$I$432="","",Checks!$I$432&amp;": ")&amp;Checks!$J$432</f>
        <v>F13-T7-06
ISOP: Caterer acknowledgement of ISOP revisions recorded</v>
      </c>
      <c r="B29" s="112" t="str">
        <f aca="false">Checks!$K$432&amp;IF(Checks!$O$432="","",IF(Checks!$K$432="","",CHAR(10))&amp;"Note: "&amp;Checks!$O$432)</f>
        <v>Record acknowledgement ref in Evidence</v>
      </c>
      <c r="C29" s="112" t="str">
        <f aca="false">Checks!$N$432&amp;CHAR(10)&amp;IF(ISNUMBER(Checks!$R$432),TEXT(Checks!$R$432,"DD-MMM-YY HH:MM"),"")&amp;" "&amp;Checks!$P$432</f>
        <v>Required
07-Oct-26 10:45 ADL</v>
      </c>
      <c r="D29" s="112" t="str">
        <f aca="false">IF(Checks!$U$432="","",Checks!$U$432)&amp;IF(Checks!$AB$432="","",CHAR(10)&amp;"CA: "&amp;Checks!$AB$432)</f>
        <v/>
      </c>
      <c r="E29" s="112" t="str">
        <f aca="false">IF(Checks!$V$432="","",Checks!$V$432)&amp;IF(Checks!$AC$432="","",IF(Checks!$V$432="","",CHAR(10))&amp;"N/A just.: "&amp;Checks!$AC$432)&amp;IF(Checks!$W$432="","",CHAR(10)&amp;"Batch: "&amp;Checks!$W$432)&amp;IF(AND(Checks!$X$432="",Checks!$Y$432=""),"",CHAR(10)&amp;"Exp: "&amp;Checks!$X$432&amp;"  /  Act: "&amp;Checks!$Y$432)</f>
        <v/>
      </c>
      <c r="F29" s="112" t="str">
        <f aca="false">IF(Checks!$Z$432="","","Evidence: "&amp;Checks!$Z$432)&amp;IF(Checks!$AA$432="","",IF(Checks!$Z$432="","",CHAR(10))&amp;"CA: "&amp;Checks!$AA$432)</f>
        <v/>
      </c>
      <c r="G29" s="112" t="str">
        <f aca="false">IF(ISNUMBER(Checks!$AD$432),TEXT(Checks!$AD$432,"DD-MMM-YY HH:MM")&amp;" "&amp;Checks!$P$432,"")&amp;IF(Checks!$AE$432="","",CHAR(10)&amp;"Verifier: "&amp;Checks!$AE$432)&amp;IF(Checks!$T$432="","",CHAR(10)&amp;"PIC: "&amp;Checks!$T$432)</f>
        <v/>
      </c>
      <c r="H29" s="113" t="str">
        <f aca="false">IF(Checks!$AH$432="","",Checks!$AH$432)</f>
        <v>OPEN</v>
      </c>
    </row>
    <row r="30" customFormat="false" ht="114" hidden="false" customHeight="true" outlineLevel="0" collapsed="false">
      <c r="A30" s="112" t="str">
        <f aca="false">Checks!$A$433&amp;CHAR(10)&amp;IF(Checks!$I$433="","",Checks!$I$433&amp;": ")&amp;Checks!$J$433</f>
        <v>F13-T7-07
Documents: Galley loading diagram (GLD) received, revision recorded &amp; attached</v>
      </c>
      <c r="B30" s="112" t="str">
        <f aca="false">Checks!$K$433&amp;IF(Checks!$O$433="","",IF(Checks!$K$433="","",CHAR(10))&amp;"Note: "&amp;Checks!$O$433)</f>
        <v>Documents sheet row complete</v>
      </c>
      <c r="C30" s="112" t="str">
        <f aca="false">Checks!$N$433&amp;CHAR(10)&amp;IF(ISNUMBER(Checks!$R$433),TEXT(Checks!$R$433,"DD-MMM-YY HH:MM"),"")&amp;" "&amp;Checks!$P$433</f>
        <v>Required
07-Oct-26 10:45 ADL</v>
      </c>
      <c r="D30" s="112" t="str">
        <f aca="false">IF(Checks!$U$433="","",Checks!$U$433)&amp;IF(Checks!$AB$433="","",CHAR(10)&amp;"CA: "&amp;Checks!$AB$433)</f>
        <v/>
      </c>
      <c r="E30" s="112" t="str">
        <f aca="false">IF(Checks!$V$433="","",Checks!$V$433)&amp;IF(Checks!$AC$433="","",IF(Checks!$V$433="","",CHAR(10))&amp;"N/A just.: "&amp;Checks!$AC$433)&amp;IF(Checks!$W$433="","",CHAR(10)&amp;"Batch: "&amp;Checks!$W$433)&amp;IF(AND(Checks!$X$433="",Checks!$Y$433=""),"",CHAR(10)&amp;"Exp: "&amp;Checks!$X$433&amp;"  /  Act: "&amp;Checks!$Y$433)</f>
        <v/>
      </c>
      <c r="F30" s="112" t="str">
        <f aca="false">IF(Checks!$Z$433="","","Evidence: "&amp;Checks!$Z$433)&amp;IF(Checks!$AA$433="","",IF(Checks!$Z$433="","",CHAR(10))&amp;"CA: "&amp;Checks!$AA$433)</f>
        <v/>
      </c>
      <c r="G30" s="112" t="str">
        <f aca="false">IF(ISNUMBER(Checks!$AD$433),TEXT(Checks!$AD$433,"DD-MMM-YY HH:MM")&amp;" "&amp;Checks!$P$433,"")&amp;IF(Checks!$AE$433="","",CHAR(10)&amp;"Verifier: "&amp;Checks!$AE$433)&amp;IF(Checks!$T$433="","",CHAR(10)&amp;"PIC: "&amp;Checks!$T$433)</f>
        <v/>
      </c>
      <c r="H30" s="113" t="str">
        <f aca="false">IF(Checks!$AH$433="","",Checks!$AH$433)</f>
        <v>OPEN</v>
      </c>
    </row>
    <row r="31" customFormat="false" ht="114" hidden="false" customHeight="true" outlineLevel="0" collapsed="false">
      <c r="A31" s="112" t="str">
        <f aca="false">Checks!$A$434&amp;CHAR(10)&amp;IF(Checks!$I$434="","",Checks!$I$434&amp;": ")&amp;Checks!$J$434</f>
        <v>F13-T7-08
Documents: Menu checklist received, revision recorded &amp; attached</v>
      </c>
      <c r="B31" s="112" t="str">
        <f aca="false">Checks!$K$434&amp;IF(Checks!$O$434="","",IF(Checks!$K$434="","",CHAR(10))&amp;"Note: "&amp;Checks!$O$434)</f>
        <v>Documents sheet row complete</v>
      </c>
      <c r="C31" s="112" t="str">
        <f aca="false">Checks!$N$434&amp;CHAR(10)&amp;IF(ISNUMBER(Checks!$R$434),TEXT(Checks!$R$434,"DD-MMM-YY HH:MM"),"")&amp;" "&amp;Checks!$P$434</f>
        <v>Required
07-Oct-26 10:45 ADL</v>
      </c>
      <c r="D31" s="112" t="str">
        <f aca="false">IF(Checks!$U$434="","",Checks!$U$434)&amp;IF(Checks!$AB$434="","",CHAR(10)&amp;"CA: "&amp;Checks!$AB$434)</f>
        <v/>
      </c>
      <c r="E31" s="112" t="str">
        <f aca="false">IF(Checks!$V$434="","",Checks!$V$434)&amp;IF(Checks!$AC$434="","",IF(Checks!$V$434="","",CHAR(10))&amp;"N/A just.: "&amp;Checks!$AC$434)&amp;IF(Checks!$W$434="","",CHAR(10)&amp;"Batch: "&amp;Checks!$W$434)&amp;IF(AND(Checks!$X$434="",Checks!$Y$434=""),"",CHAR(10)&amp;"Exp: "&amp;Checks!$X$434&amp;"  /  Act: "&amp;Checks!$Y$434)</f>
        <v/>
      </c>
      <c r="F31" s="112" t="str">
        <f aca="false">IF(Checks!$Z$434="","","Evidence: "&amp;Checks!$Z$434)&amp;IF(Checks!$AA$434="","",IF(Checks!$Z$434="","",CHAR(10))&amp;"CA: "&amp;Checks!$AA$434)</f>
        <v/>
      </c>
      <c r="G31" s="112" t="str">
        <f aca="false">IF(ISNUMBER(Checks!$AD$434),TEXT(Checks!$AD$434,"DD-MMM-YY HH:MM")&amp;" "&amp;Checks!$P$434,"")&amp;IF(Checks!$AE$434="","",CHAR(10)&amp;"Verifier: "&amp;Checks!$AE$434)&amp;IF(Checks!$T$434="","",CHAR(10)&amp;"PIC: "&amp;Checks!$T$434)</f>
        <v/>
      </c>
      <c r="H31" s="113" t="str">
        <f aca="false">IF(Checks!$AH$434="","",Checks!$AH$434)</f>
        <v>OPEN</v>
      </c>
    </row>
    <row r="32" customFormat="false" ht="114" hidden="false" customHeight="true" outlineLevel="0" collapsed="false">
      <c r="A32" s="112" t="str">
        <f aca="false">Checks!$A$435&amp;CHAR(10)&amp;IF(Checks!$I$435="","",Checks!$I$435&amp;": ")&amp;Checks!$J$435</f>
        <v>F13-T7-09
Uplift plan: Uplift plan confirmed with caterer vs STD Uplift Information</v>
      </c>
      <c r="B32" s="112" t="str">
        <f aca="false">Checks!$K$435&amp;IF(Checks!$O$435="","",IF(Checks!$K$435="","",CHAR(10))&amp;"Note: "&amp;Checks!$O$435)</f>
        <v>Service: 1.5 Meal (Meal); meal uplift stn ADL (ref lists KUL/ADL)</v>
      </c>
      <c r="C32" s="112" t="str">
        <f aca="false">Checks!$N$435&amp;CHAR(10)&amp;IF(ISNUMBER(Checks!$R$435),TEXT(Checks!$R$435,"DD-MMM-YY HH:MM"),"")&amp;" "&amp;Checks!$P$435</f>
        <v>Required
07-Oct-26 10:45 ADL</v>
      </c>
      <c r="D32" s="112" t="str">
        <f aca="false">IF(Checks!$U$435="","",Checks!$U$435)&amp;IF(Checks!$AB$435="","",CHAR(10)&amp;"CA: "&amp;Checks!$AB$435)</f>
        <v/>
      </c>
      <c r="E32" s="112" t="str">
        <f aca="false">IF(Checks!$V$435="","",Checks!$V$435)&amp;IF(Checks!$AC$435="","",IF(Checks!$V$435="","",CHAR(10))&amp;"N/A just.: "&amp;Checks!$AC$435)&amp;IF(Checks!$W$435="","",CHAR(10)&amp;"Batch: "&amp;Checks!$W$435)&amp;IF(AND(Checks!$X$435="",Checks!$Y$435=""),"",CHAR(10)&amp;"Exp: "&amp;Checks!$X$435&amp;"  /  Act: "&amp;Checks!$Y$435)</f>
        <v/>
      </c>
      <c r="F32" s="112" t="str">
        <f aca="false">IF(Checks!$Z$435="","","Evidence: "&amp;Checks!$Z$435)&amp;IF(Checks!$AA$435="","",IF(Checks!$Z$435="","",CHAR(10))&amp;"CA: "&amp;Checks!$AA$435)</f>
        <v/>
      </c>
      <c r="G32" s="112" t="str">
        <f aca="false">IF(ISNUMBER(Checks!$AD$435),TEXT(Checks!$AD$435,"DD-MMM-YY HH:MM")&amp;" "&amp;Checks!$P$435,"")&amp;IF(Checks!$AE$435="","",CHAR(10)&amp;"Verifier: "&amp;Checks!$AE$435)&amp;IF(Checks!$T$435="","",CHAR(10)&amp;"PIC: "&amp;Checks!$T$435)</f>
        <v/>
      </c>
      <c r="H32" s="113" t="str">
        <f aca="false">IF(Checks!$AH$435="","",Checks!$AH$435)</f>
        <v>OPEN</v>
      </c>
    </row>
    <row r="33" customFormat="false" ht="256.5" hidden="false" customHeight="true" outlineLevel="0" collapsed="false">
      <c r="A33" s="112" t="str">
        <f aca="false">Checks!$A$436&amp;CHAR(10)&amp;IF(Checks!$I$436="","",Checks!$I$436&amp;": ")&amp;Checks!$J$436</f>
        <v>F13-T7-10
Uplift plan: Inbound KUL-ADL flight carrying KUL-sourced items identified and its KUL departure (UTC) entered on Flights col AX</v>
      </c>
      <c r="B33" s="112"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2" t="str">
        <f aca="false">Checks!$N$436&amp;CHAR(10)&amp;IF(ISNUMBER(Checks!$R$436),TEXT(Checks!$R$436,"DD-MMM-YY HH:MM"),"")&amp;" "&amp;Checks!$P$436</f>
        <v>Clarification required
07-Oct-26 08:15 KUL</v>
      </c>
      <c r="D33" s="112" t="str">
        <f aca="false">IF(Checks!$U$436="","",Checks!$U$436)&amp;IF(Checks!$AB$436="","",CHAR(10)&amp;"CA: "&amp;Checks!$AB$436)</f>
        <v/>
      </c>
      <c r="E33" s="112" t="str">
        <f aca="false">IF(Checks!$V$436="","",Checks!$V$436)&amp;IF(Checks!$AC$436="","",IF(Checks!$V$436="","",CHAR(10))&amp;"N/A just.: "&amp;Checks!$AC$436)&amp;IF(Checks!$W$436="","",CHAR(10)&amp;"Batch: "&amp;Checks!$W$436)&amp;IF(AND(Checks!$X$436="",Checks!$Y$436=""),"",CHAR(10)&amp;"Exp: "&amp;Checks!$X$436&amp;"  /  Act: "&amp;Checks!$Y$436)</f>
        <v/>
      </c>
      <c r="F33" s="112" t="str">
        <f aca="false">IF(Checks!$Z$436="","","Evidence: "&amp;Checks!$Z$436)&amp;IF(Checks!$AA$436="","",IF(Checks!$Z$436="","",CHAR(10))&amp;"CA: "&amp;Checks!$AA$436)</f>
        <v/>
      </c>
      <c r="G33" s="112" t="str">
        <f aca="false">IF(ISNUMBER(Checks!$AD$436),TEXT(Checks!$AD$436,"DD-MMM-YY HH:MM")&amp;" "&amp;Checks!$P$436,"")&amp;IF(Checks!$AE$436="","",CHAR(10)&amp;"Verifier: "&amp;Checks!$AE$436)&amp;IF(Checks!$T$436="","",CHAR(10)&amp;"PIC: "&amp;Checks!$T$436)</f>
        <v/>
      </c>
      <c r="H33" s="113" t="str">
        <f aca="false">IF(Checks!$AH$436="","",Checks!$AH$436)</f>
        <v>OPEN – CLARIFICATION</v>
      </c>
    </row>
    <row r="34" customFormat="false" ht="25.5" hidden="false" customHeight="true" outlineLevel="0" collapsed="false">
      <c r="A34" s="111"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1"/>
      <c r="C34" s="111"/>
      <c r="D34" s="111"/>
      <c r="E34" s="111"/>
      <c r="F34" s="111"/>
      <c r="G34" s="111"/>
      <c r="H34" s="111"/>
    </row>
    <row r="35" customFormat="false" ht="114" hidden="false" customHeight="true" outlineLevel="0" collapsed="false">
      <c r="A35" s="112" t="str">
        <f aca="false">Checks!$A$437&amp;CHAR(10)&amp;IF(Checks!$I$437="","",Checks!$I$437&amp;": ")&amp;Checks!$J$437</f>
        <v>F13-T24-01
Meal: Sensory test repeated on ACTUAL production batch for this flight</v>
      </c>
      <c r="B35" s="112" t="str">
        <f aca="false">Checks!$K$437&amp;IF(Checks!$O$437="","",IF(Checks!$K$437="","",CHAR(10))&amp;"Note: "&amp;Checks!$O$437)</f>
        <v>Batch ID, result, CA and acceptance mandatory</v>
      </c>
      <c r="C35" s="112" t="str">
        <f aca="false">Checks!$N$437&amp;CHAR(10)&amp;IF(ISNUMBER(Checks!$R$437),TEXT(Checks!$R$437,"DD-MMM-YY HH:MM"),"")&amp;" "&amp;Checks!$P$437</f>
        <v>Required
13-Oct-26 10:45 ADL</v>
      </c>
      <c r="D35" s="112" t="str">
        <f aca="false">IF(Checks!$U$437="","",Checks!$U$437)&amp;IF(Checks!$AB$437="","",CHAR(10)&amp;"CA: "&amp;Checks!$AB$437)</f>
        <v/>
      </c>
      <c r="E35" s="112" t="str">
        <f aca="false">IF(Checks!$V$437="","",Checks!$V$437)&amp;IF(Checks!$AC$437="","",IF(Checks!$V$437="","",CHAR(10))&amp;"N/A just.: "&amp;Checks!$AC$437)&amp;IF(Checks!$W$437="","",CHAR(10)&amp;"Batch: "&amp;Checks!$W$437)&amp;IF(AND(Checks!$X$437="",Checks!$Y$437=""),"",CHAR(10)&amp;"Exp: "&amp;Checks!$X$437&amp;"  /  Act: "&amp;Checks!$Y$437)</f>
        <v/>
      </c>
      <c r="F35" s="112" t="str">
        <f aca="false">IF(Checks!$Z$437="","","Evidence: "&amp;Checks!$Z$437)&amp;IF(Checks!$AA$437="","",IF(Checks!$Z$437="","",CHAR(10))&amp;"CA: "&amp;Checks!$AA$437)</f>
        <v/>
      </c>
      <c r="G35" s="112" t="str">
        <f aca="false">IF(ISNUMBER(Checks!$AD$437),TEXT(Checks!$AD$437,"DD-MMM-YY HH:MM")&amp;" "&amp;Checks!$P$437,"")&amp;IF(Checks!$AE$437="","",CHAR(10)&amp;"Verifier: "&amp;Checks!$AE$437)&amp;IF(Checks!$T$437="","",CHAR(10)&amp;"PIC: "&amp;Checks!$T$437)</f>
        <v/>
      </c>
      <c r="H35" s="113" t="str">
        <f aca="false">IF(Checks!$AH$437="","",Checks!$AH$437)</f>
        <v>OPEN</v>
      </c>
    </row>
    <row r="36" customFormat="false" ht="25.5" hidden="false" customHeight="true" outlineLevel="0" collapsed="false">
      <c r="A36" s="111"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1"/>
      <c r="C36" s="111"/>
      <c r="D36" s="111"/>
      <c r="E36" s="111"/>
      <c r="F36" s="111"/>
      <c r="G36" s="111"/>
      <c r="H36" s="111"/>
    </row>
    <row r="37" customFormat="false" ht="114" hidden="false" customHeight="true" outlineLevel="0" collapsed="false">
      <c r="A37" s="112" t="str">
        <f aca="false">Checks!$A$438&amp;CHAR(10)&amp;IF(Checks!$I$438="","",Checks!$I$438&amp;": ")&amp;Checks!$J$438</f>
        <v>F13-T12-01
Meal: Meal quality vs menu checklist</v>
      </c>
      <c r="B37" s="112" t="str">
        <f aca="false">Checks!$K$438&amp;IF(Checks!$O$438="","",IF(Checks!$K$438="","",CHAR(10))&amp;"Note: "&amp;Checks!$O$438)</f>
        <v>Note: Preparation check at caterer - does NOT confirm loading.</v>
      </c>
      <c r="C37" s="112" t="str">
        <f aca="false">Checks!$N$438&amp;CHAR(10)&amp;IF(ISNUMBER(Checks!$R$438),TEXT(Checks!$R$438,"DD-MMM-YY HH:MM"),"")&amp;" "&amp;Checks!$P$438</f>
        <v>Required
13-Oct-26 22:45 ADL</v>
      </c>
      <c r="D37" s="112" t="str">
        <f aca="false">IF(Checks!$U$438="","",Checks!$U$438)&amp;IF(Checks!$AB$438="","",CHAR(10)&amp;"CA: "&amp;Checks!$AB$438)</f>
        <v/>
      </c>
      <c r="E37" s="112" t="str">
        <f aca="false">IF(Checks!$V$438="","",Checks!$V$438)&amp;IF(Checks!$AC$438="","",IF(Checks!$V$438="","",CHAR(10))&amp;"N/A just.: "&amp;Checks!$AC$438)&amp;IF(Checks!$W$438="","",CHAR(10)&amp;"Batch: "&amp;Checks!$W$438)&amp;IF(AND(Checks!$X$438="",Checks!$Y$438=""),"",CHAR(10)&amp;"Exp: "&amp;Checks!$X$438&amp;"  /  Act: "&amp;Checks!$Y$438)</f>
        <v/>
      </c>
      <c r="F37" s="112" t="str">
        <f aca="false">IF(Checks!$Z$438="","","Evidence: "&amp;Checks!$Z$438)&amp;IF(Checks!$AA$438="","",IF(Checks!$Z$438="","",CHAR(10))&amp;"CA: "&amp;Checks!$AA$438)</f>
        <v/>
      </c>
      <c r="G37" s="112" t="str">
        <f aca="false">IF(ISNUMBER(Checks!$AD$438),TEXT(Checks!$AD$438,"DD-MMM-YY HH:MM")&amp;" "&amp;Checks!$P$438,"")&amp;IF(Checks!$AE$438="","",CHAR(10)&amp;"Verifier: "&amp;Checks!$AE$438)&amp;IF(Checks!$T$438="","",CHAR(10)&amp;"PIC: "&amp;Checks!$T$438)</f>
        <v/>
      </c>
      <c r="H37" s="113" t="str">
        <f aca="false">IF(Checks!$AH$438="","",Checks!$AH$438)</f>
        <v>OPEN</v>
      </c>
    </row>
    <row r="38" customFormat="false" ht="114" hidden="false" customHeight="true" outlineLevel="0" collapsed="false">
      <c r="A38" s="112" t="str">
        <f aca="false">Checks!$A$439&amp;CHAR(10)&amp;IF(Checks!$I$439="","",Checks!$I$439&amp;": ")&amp;Checks!$J$439</f>
        <v>F13-T12-02
Meal: Meal quantities vs menu checklist</v>
      </c>
      <c r="B38" s="112" t="str">
        <f aca="false">Checks!$K$439&amp;IF(Checks!$O$439="","",IF(Checks!$K$439="","",CHAR(10))&amp;"Note: "&amp;Checks!$O$439)</f>
        <v>Enter expected &amp; actual
Note: Preparation check at caterer - does NOT confirm loading.</v>
      </c>
      <c r="C38" s="112" t="str">
        <f aca="false">Checks!$N$439&amp;CHAR(10)&amp;IF(ISNUMBER(Checks!$R$439),TEXT(Checks!$R$439,"DD-MMM-YY HH:MM"),"")&amp;" "&amp;Checks!$P$439</f>
        <v>Required
13-Oct-26 22:45 ADL</v>
      </c>
      <c r="D38" s="112" t="str">
        <f aca="false">IF(Checks!$U$439="","",Checks!$U$439)&amp;IF(Checks!$AB$439="","",CHAR(10)&amp;"CA: "&amp;Checks!$AB$439)</f>
        <v/>
      </c>
      <c r="E38" s="112" t="str">
        <f aca="false">IF(Checks!$V$439="","",Checks!$V$439)&amp;IF(Checks!$AC$439="","",IF(Checks!$V$439="","",CHAR(10))&amp;"N/A just.: "&amp;Checks!$AC$439)&amp;IF(Checks!$W$439="","",CHAR(10)&amp;"Batch: "&amp;Checks!$W$439)&amp;IF(AND(Checks!$X$439="",Checks!$Y$439=""),"",CHAR(10)&amp;"Exp: "&amp;Checks!$X$439&amp;"  /  Act: "&amp;Checks!$Y$439)</f>
        <v/>
      </c>
      <c r="F38" s="112" t="str">
        <f aca="false">IF(Checks!$Z$439="","","Evidence: "&amp;Checks!$Z$439)&amp;IF(Checks!$AA$439="","",IF(Checks!$Z$439="","",CHAR(10))&amp;"CA: "&amp;Checks!$AA$439)</f>
        <v/>
      </c>
      <c r="G38" s="112" t="str">
        <f aca="false">IF(ISNUMBER(Checks!$AD$439),TEXT(Checks!$AD$439,"DD-MMM-YY HH:MM")&amp;" "&amp;Checks!$P$439,"")&amp;IF(Checks!$AE$439="","",CHAR(10)&amp;"Verifier: "&amp;Checks!$AE$439)&amp;IF(Checks!$T$439="","",CHAR(10)&amp;"PIC: "&amp;Checks!$T$439)</f>
        <v/>
      </c>
      <c r="H38" s="113" t="str">
        <f aca="false">IF(Checks!$AH$439="","",Checks!$AH$439)</f>
        <v>OPEN</v>
      </c>
    </row>
    <row r="39" customFormat="false" ht="114" hidden="false" customHeight="true" outlineLevel="0" collapsed="false">
      <c r="A39" s="112" t="str">
        <f aca="false">Checks!$A$440&amp;CHAR(10)&amp;IF(Checks!$I$440="","",Checks!$I$440&amp;": ")&amp;Checks!$J$440</f>
        <v>F13-T12-03
Equipment: Equipment cleanliness vs GLD</v>
      </c>
      <c r="B39" s="112" t="str">
        <f aca="false">Checks!$K$440&amp;IF(Checks!$O$440="","",IF(Checks!$K$440="","",CHAR(10))&amp;"Note: "&amp;Checks!$O$440)</f>
        <v>Note: Preparation check at caterer - does NOT confirm loading.</v>
      </c>
      <c r="C39" s="112" t="str">
        <f aca="false">Checks!$N$440&amp;CHAR(10)&amp;IF(ISNUMBER(Checks!$R$440),TEXT(Checks!$R$440,"DD-MMM-YY HH:MM"),"")&amp;" "&amp;Checks!$P$440</f>
        <v>Required
13-Oct-26 22:45 ADL</v>
      </c>
      <c r="D39" s="112" t="str">
        <f aca="false">IF(Checks!$U$440="","",Checks!$U$440)&amp;IF(Checks!$AB$440="","",CHAR(10)&amp;"CA: "&amp;Checks!$AB$440)</f>
        <v/>
      </c>
      <c r="E39" s="112" t="str">
        <f aca="false">IF(Checks!$V$440="","",Checks!$V$440)&amp;IF(Checks!$AC$440="","",IF(Checks!$V$440="","",CHAR(10))&amp;"N/A just.: "&amp;Checks!$AC$440)&amp;IF(Checks!$W$440="","",CHAR(10)&amp;"Batch: "&amp;Checks!$W$440)&amp;IF(AND(Checks!$X$440="",Checks!$Y$440=""),"",CHAR(10)&amp;"Exp: "&amp;Checks!$X$440&amp;"  /  Act: "&amp;Checks!$Y$440)</f>
        <v/>
      </c>
      <c r="F39" s="112" t="str">
        <f aca="false">IF(Checks!$Z$440="","","Evidence: "&amp;Checks!$Z$440)&amp;IF(Checks!$AA$440="","",IF(Checks!$Z$440="","",CHAR(10))&amp;"CA: "&amp;Checks!$AA$440)</f>
        <v/>
      </c>
      <c r="G39" s="112" t="str">
        <f aca="false">IF(ISNUMBER(Checks!$AD$440),TEXT(Checks!$AD$440,"DD-MMM-YY HH:MM")&amp;" "&amp;Checks!$P$440,"")&amp;IF(Checks!$AE$440="","",CHAR(10)&amp;"Verifier: "&amp;Checks!$AE$440)&amp;IF(Checks!$T$440="","",CHAR(10)&amp;"PIC: "&amp;Checks!$T$440)</f>
        <v/>
      </c>
      <c r="H39" s="113" t="str">
        <f aca="false">IF(Checks!$AH$440="","",Checks!$AH$440)</f>
        <v>OPEN</v>
      </c>
    </row>
    <row r="40" customFormat="false" ht="114" hidden="false" customHeight="true" outlineLevel="0" collapsed="false">
      <c r="A40" s="112" t="str">
        <f aca="false">Checks!$A$441&amp;CHAR(10)&amp;IF(Checks!$I$441="","",Checks!$I$441&amp;": ")&amp;Checks!$J$441</f>
        <v>F13-T12-04
Equipment: Equipment presentation vs GLD</v>
      </c>
      <c r="B40" s="112" t="str">
        <f aca="false">Checks!$K$441&amp;IF(Checks!$O$441="","",IF(Checks!$K$441="","",CHAR(10))&amp;"Note: "&amp;Checks!$O$441)</f>
        <v>Note: Preparation check at caterer - does NOT confirm loading.</v>
      </c>
      <c r="C40" s="112" t="str">
        <f aca="false">Checks!$N$441&amp;CHAR(10)&amp;IF(ISNUMBER(Checks!$R$441),TEXT(Checks!$R$441,"DD-MMM-YY HH:MM"),"")&amp;" "&amp;Checks!$P$441</f>
        <v>Required
13-Oct-26 22:45 ADL</v>
      </c>
      <c r="D40" s="112" t="str">
        <f aca="false">IF(Checks!$U$441="","",Checks!$U$441)&amp;IF(Checks!$AB$441="","",CHAR(10)&amp;"CA: "&amp;Checks!$AB$441)</f>
        <v/>
      </c>
      <c r="E40" s="112" t="str">
        <f aca="false">IF(Checks!$V$441="","",Checks!$V$441)&amp;IF(Checks!$AC$441="","",IF(Checks!$V$441="","",CHAR(10))&amp;"N/A just.: "&amp;Checks!$AC$441)&amp;IF(Checks!$W$441="","",CHAR(10)&amp;"Batch: "&amp;Checks!$W$441)&amp;IF(AND(Checks!$X$441="",Checks!$Y$441=""),"",CHAR(10)&amp;"Exp: "&amp;Checks!$X$441&amp;"  /  Act: "&amp;Checks!$Y$441)</f>
        <v/>
      </c>
      <c r="F40" s="112" t="str">
        <f aca="false">IF(Checks!$Z$441="","","Evidence: "&amp;Checks!$Z$441)&amp;IF(Checks!$AA$441="","",IF(Checks!$Z$441="","",CHAR(10))&amp;"CA: "&amp;Checks!$AA$441)</f>
        <v/>
      </c>
      <c r="G40" s="112" t="str">
        <f aca="false">IF(ISNUMBER(Checks!$AD$441),TEXT(Checks!$AD$441,"DD-MMM-YY HH:MM")&amp;" "&amp;Checks!$P$441,"")&amp;IF(Checks!$AE$441="","",CHAR(10)&amp;"Verifier: "&amp;Checks!$AE$441)&amp;IF(Checks!$T$441="","",CHAR(10)&amp;"PIC: "&amp;Checks!$T$441)</f>
        <v/>
      </c>
      <c r="H40" s="113" t="str">
        <f aca="false">IF(Checks!$AH$441="","",Checks!$AH$441)</f>
        <v>OPEN</v>
      </c>
    </row>
    <row r="41" customFormat="false" ht="114" hidden="false" customHeight="true" outlineLevel="0" collapsed="false">
      <c r="A41" s="112" t="str">
        <f aca="false">Checks!$A$442&amp;CHAR(10)&amp;IF(Checks!$I$442="","",Checks!$I$442&amp;": ")&amp;Checks!$J$442</f>
        <v>F13-T12-05
Equipment: Equipment serviceability vs GLD</v>
      </c>
      <c r="B41" s="112" t="str">
        <f aca="false">Checks!$K$442&amp;IF(Checks!$O$442="","",IF(Checks!$K$442="","",CHAR(10))&amp;"Note: "&amp;Checks!$O$442)</f>
        <v>Note: Preparation check at caterer - does NOT confirm loading.</v>
      </c>
      <c r="C41" s="112" t="str">
        <f aca="false">Checks!$N$442&amp;CHAR(10)&amp;IF(ISNUMBER(Checks!$R$442),TEXT(Checks!$R$442,"DD-MMM-YY HH:MM"),"")&amp;" "&amp;Checks!$P$442</f>
        <v>Required
13-Oct-26 22:45 ADL</v>
      </c>
      <c r="D41" s="112" t="str">
        <f aca="false">IF(Checks!$U$442="","",Checks!$U$442)&amp;IF(Checks!$AB$442="","",CHAR(10)&amp;"CA: "&amp;Checks!$AB$442)</f>
        <v/>
      </c>
      <c r="E41" s="112" t="str">
        <f aca="false">IF(Checks!$V$442="","",Checks!$V$442)&amp;IF(Checks!$AC$442="","",IF(Checks!$V$442="","",CHAR(10))&amp;"N/A just.: "&amp;Checks!$AC$442)&amp;IF(Checks!$W$442="","",CHAR(10)&amp;"Batch: "&amp;Checks!$W$442)&amp;IF(AND(Checks!$X$442="",Checks!$Y$442=""),"",CHAR(10)&amp;"Exp: "&amp;Checks!$X$442&amp;"  /  Act: "&amp;Checks!$Y$442)</f>
        <v/>
      </c>
      <c r="F41" s="112" t="str">
        <f aca="false">IF(Checks!$Z$442="","","Evidence: "&amp;Checks!$Z$442)&amp;IF(Checks!$AA$442="","",IF(Checks!$Z$442="","",CHAR(10))&amp;"CA: "&amp;Checks!$AA$442)</f>
        <v/>
      </c>
      <c r="G41" s="112" t="str">
        <f aca="false">IF(ISNUMBER(Checks!$AD$442),TEXT(Checks!$AD$442,"DD-MMM-YY HH:MM")&amp;" "&amp;Checks!$P$442,"")&amp;IF(Checks!$AE$442="","",CHAR(10)&amp;"Verifier: "&amp;Checks!$AE$442)&amp;IF(Checks!$T$442="","",CHAR(10)&amp;"PIC: "&amp;Checks!$T$442)</f>
        <v/>
      </c>
      <c r="H41" s="113" t="str">
        <f aca="false">IF(Checks!$AH$442="","",Checks!$AH$442)</f>
        <v>OPEN</v>
      </c>
    </row>
    <row r="42" customFormat="false" ht="201.75" hidden="false" customHeight="true" outlineLevel="0" collapsed="false">
      <c r="A42" s="112" t="str">
        <f aca="false">Checks!$A$443&amp;CHAR(10)&amp;IF(Checks!$I$443="","",Checks!$I$443&amp;": ")&amp;Checks!$J$443</f>
        <v>F13-T12-06
Equipment: Equipment quantities vs GLD</v>
      </c>
      <c r="B42" s="112"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2" t="str">
        <f aca="false">Checks!$N$443&amp;CHAR(10)&amp;IF(ISNUMBER(Checks!$R$443),TEXT(Checks!$R$443,"DD-MMM-YY HH:MM"),"")&amp;" "&amp;Checks!$P$443</f>
        <v>Required
13-Oct-26 22:45 ADL</v>
      </c>
      <c r="D42" s="112" t="str">
        <f aca="false">IF(Checks!$U$443="","",Checks!$U$443)&amp;IF(Checks!$AB$443="","",CHAR(10)&amp;"CA: "&amp;Checks!$AB$443)</f>
        <v/>
      </c>
      <c r="E42" s="112" t="str">
        <f aca="false">IF(Checks!$V$443="","",Checks!$V$443)&amp;IF(Checks!$AC$443="","",IF(Checks!$V$443="","",CHAR(10))&amp;"N/A just.: "&amp;Checks!$AC$443)&amp;IF(Checks!$W$443="","",CHAR(10)&amp;"Batch: "&amp;Checks!$W$443)&amp;IF(AND(Checks!$X$443="",Checks!$Y$443=""),"",CHAR(10)&amp;"Exp: "&amp;Checks!$X$443&amp;"  /  Act: "&amp;Checks!$Y$443)</f>
        <v/>
      </c>
      <c r="F42" s="112" t="str">
        <f aca="false">IF(Checks!$Z$443="","","Evidence: "&amp;Checks!$Z$443)&amp;IF(Checks!$AA$443="","",IF(Checks!$Z$443="","",CHAR(10))&amp;"CA: "&amp;Checks!$AA$443)</f>
        <v/>
      </c>
      <c r="G42" s="112" t="str">
        <f aca="false">IF(ISNUMBER(Checks!$AD$443),TEXT(Checks!$AD$443,"DD-MMM-YY HH:MM")&amp;" "&amp;Checks!$P$443,"")&amp;IF(Checks!$AE$443="","",CHAR(10)&amp;"Verifier: "&amp;Checks!$AE$443)&amp;IF(Checks!$T$443="","",CHAR(10)&amp;"PIC: "&amp;Checks!$T$443)</f>
        <v/>
      </c>
      <c r="H42" s="113" t="str">
        <f aca="false">IF(Checks!$AH$443="","",Checks!$AH$443)</f>
        <v>OPEN</v>
      </c>
    </row>
    <row r="43" customFormat="false" ht="114" hidden="false" customHeight="true" outlineLevel="0" collapsed="false">
      <c r="A43" s="112" t="str">
        <f aca="false">Checks!$A$444&amp;CHAR(10)&amp;IF(Checks!$I$444="","",Checks!$I$444&amp;": ")&amp;Checks!$J$444</f>
        <v>F13-T12-07
Equipment: Loading positions planned vs GLD</v>
      </c>
      <c r="B43" s="112" t="str">
        <f aca="false">Checks!$K$444&amp;IF(Checks!$O$444="","",IF(Checks!$K$444="","",CHAR(10))&amp;"Note: "&amp;Checks!$O$444)</f>
        <v>Note: Preparation check at caterer - does NOT confirm loading.</v>
      </c>
      <c r="C43" s="112" t="str">
        <f aca="false">Checks!$N$444&amp;CHAR(10)&amp;IF(ISNUMBER(Checks!$R$444),TEXT(Checks!$R$444,"DD-MMM-YY HH:MM"),"")&amp;" "&amp;Checks!$P$444</f>
        <v>Required
13-Oct-26 22:45 ADL</v>
      </c>
      <c r="D43" s="112" t="str">
        <f aca="false">IF(Checks!$U$444="","",Checks!$U$444)&amp;IF(Checks!$AB$444="","",CHAR(10)&amp;"CA: "&amp;Checks!$AB$444)</f>
        <v/>
      </c>
      <c r="E43" s="112" t="str">
        <f aca="false">IF(Checks!$V$444="","",Checks!$V$444)&amp;IF(Checks!$AC$444="","",IF(Checks!$V$444="","",CHAR(10))&amp;"N/A just.: "&amp;Checks!$AC$444)&amp;IF(Checks!$W$444="","",CHAR(10)&amp;"Batch: "&amp;Checks!$W$444)&amp;IF(AND(Checks!$X$444="",Checks!$Y$444=""),"",CHAR(10)&amp;"Exp: "&amp;Checks!$X$444&amp;"  /  Act: "&amp;Checks!$Y$444)</f>
        <v/>
      </c>
      <c r="F43" s="112" t="str">
        <f aca="false">IF(Checks!$Z$444="","","Evidence: "&amp;Checks!$Z$444)&amp;IF(Checks!$AA$444="","",IF(Checks!$Z$444="","",CHAR(10))&amp;"CA: "&amp;Checks!$AA$444)</f>
        <v/>
      </c>
      <c r="G43" s="112" t="str">
        <f aca="false">IF(ISNUMBER(Checks!$AD$444),TEXT(Checks!$AD$444,"DD-MMM-YY HH:MM")&amp;" "&amp;Checks!$P$444,"")&amp;IF(Checks!$AE$444="","",CHAR(10)&amp;"Verifier: "&amp;Checks!$AE$444)&amp;IF(Checks!$T$444="","",CHAR(10)&amp;"PIC: "&amp;Checks!$T$444)</f>
        <v/>
      </c>
      <c r="H43" s="113" t="str">
        <f aca="false">IF(Checks!$AH$444="","",Checks!$AH$444)</f>
        <v>OPEN</v>
      </c>
    </row>
    <row r="44" customFormat="false" ht="213" hidden="false" customHeight="true" outlineLevel="0" collapsed="false">
      <c r="A44" s="112" t="str">
        <f aca="false">Checks!$A$445&amp;CHAR(10)&amp;IF(Checks!$I$445="","",Checks!$I$445&amp;": ")&amp;Checks!$J$445</f>
        <v>F13-T12-08
Amenities: Toiletry kits - prepared</v>
      </c>
      <c r="B44" s="112"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2" t="str">
        <f aca="false">Checks!$N$445&amp;CHAR(10)&amp;IF(ISNUMBER(Checks!$R$445),TEXT(Checks!$R$445,"DD-MMM-YY HH:MM"),"")&amp;" "&amp;Checks!$P$445</f>
        <v>Clarification required
12-Oct-26 16:25 KUL</v>
      </c>
      <c r="D44" s="112" t="str">
        <f aca="false">IF(Checks!$U$445="","",Checks!$U$445)&amp;IF(Checks!$AB$445="","",CHAR(10)&amp;"CA: "&amp;Checks!$AB$445)</f>
        <v/>
      </c>
      <c r="E44" s="112" t="str">
        <f aca="false">IF(Checks!$V$445="","",Checks!$V$445)&amp;IF(Checks!$AC$445="","",IF(Checks!$V$445="","",CHAR(10))&amp;"N/A just.: "&amp;Checks!$AC$445)&amp;IF(Checks!$W$445="","",CHAR(10)&amp;"Batch: "&amp;Checks!$W$445)&amp;IF(AND(Checks!$X$445="",Checks!$Y$445=""),"",CHAR(10)&amp;"Exp: "&amp;Checks!$X$445&amp;"  /  Act: "&amp;Checks!$Y$445)</f>
        <v/>
      </c>
      <c r="F44" s="112" t="str">
        <f aca="false">IF(Checks!$Z$445="","","Evidence: "&amp;Checks!$Z$445)&amp;IF(Checks!$AA$445="","",IF(Checks!$Z$445="","",CHAR(10))&amp;"CA: "&amp;Checks!$AA$445)</f>
        <v/>
      </c>
      <c r="G44" s="112" t="str">
        <f aca="false">IF(ISNUMBER(Checks!$AD$445),TEXT(Checks!$AD$445,"DD-MMM-YY HH:MM")&amp;" "&amp;Checks!$P$445,"")&amp;IF(Checks!$AE$445="","",CHAR(10)&amp;"Verifier: "&amp;Checks!$AE$445)&amp;IF(Checks!$T$445="","",CHAR(10)&amp;"PIC: "&amp;Checks!$T$445)</f>
        <v/>
      </c>
      <c r="H44" s="113" t="str">
        <f aca="false">IF(Checks!$AH$445="","",Checks!$AH$445)</f>
        <v>OPEN – CLARIFICATION</v>
      </c>
    </row>
    <row r="45" customFormat="false" ht="114" hidden="false" customHeight="true" outlineLevel="0" collapsed="false">
      <c r="A45" s="112" t="str">
        <f aca="false">Checks!$A$446&amp;CHAR(10)&amp;IF(Checks!$I$446="","",Checks!$I$446&amp;": ")&amp;Checks!$J$446</f>
        <v>F13-T12-09
Seat Linen: Seat pillow (EY) - prepared</v>
      </c>
      <c r="B45" s="112" t="str">
        <f aca="false">Checks!$K$446&amp;IF(Checks!$O$446="","",IF(Checks!$K$446="","",CHAR(10))&amp;"Note: "&amp;Checks!$O$446)</f>
        <v>Available 100% (ticked in reference)
Note: Reference gives no uplift stn for this item: preparation checked at the meal uplift stn (ADL) - confirm with caterer.</v>
      </c>
      <c r="C45" s="112" t="str">
        <f aca="false">Checks!$N$446&amp;CHAR(10)&amp;IF(ISNUMBER(Checks!$R$446),TEXT(Checks!$R$446,"DD-MMM-YY HH:MM"),"")&amp;" "&amp;Checks!$P$446</f>
        <v>Required
13-Oct-26 22:45 ADL</v>
      </c>
      <c r="D45" s="112" t="str">
        <f aca="false">IF(Checks!$U$446="","",Checks!$U$446)&amp;IF(Checks!$AB$446="","",CHAR(10)&amp;"CA: "&amp;Checks!$AB$446)</f>
        <v/>
      </c>
      <c r="E45" s="112" t="str">
        <f aca="false">IF(Checks!$V$446="","",Checks!$V$446)&amp;IF(Checks!$AC$446="","",IF(Checks!$V$446="","",CHAR(10))&amp;"N/A just.: "&amp;Checks!$AC$446)&amp;IF(Checks!$W$446="","",CHAR(10)&amp;"Batch: "&amp;Checks!$W$446)&amp;IF(AND(Checks!$X$446="",Checks!$Y$446=""),"",CHAR(10)&amp;"Exp: "&amp;Checks!$X$446&amp;"  /  Act: "&amp;Checks!$Y$446)</f>
        <v/>
      </c>
      <c r="F45" s="112" t="str">
        <f aca="false">IF(Checks!$Z$446="","","Evidence: "&amp;Checks!$Z$446)&amp;IF(Checks!$AA$446="","",IF(Checks!$Z$446="","",CHAR(10))&amp;"CA: "&amp;Checks!$AA$446)</f>
        <v/>
      </c>
      <c r="G45" s="112" t="str">
        <f aca="false">IF(ISNUMBER(Checks!$AD$446),TEXT(Checks!$AD$446,"DD-MMM-YY HH:MM")&amp;" "&amp;Checks!$P$446,"")&amp;IF(Checks!$AE$446="","",CHAR(10)&amp;"Verifier: "&amp;Checks!$AE$446)&amp;IF(Checks!$T$446="","",CHAR(10)&amp;"PIC: "&amp;Checks!$T$446)</f>
        <v/>
      </c>
      <c r="H45" s="113" t="str">
        <f aca="false">IF(Checks!$AH$446="","",Checks!$AH$446)</f>
        <v>OPEN</v>
      </c>
    </row>
    <row r="46" customFormat="false" ht="213" hidden="false" customHeight="true" outlineLevel="0" collapsed="false">
      <c r="A46" s="112" t="str">
        <f aca="false">Checks!$A$447&amp;CHAR(10)&amp;IF(Checks!$I$447="","",Checks!$I$447&amp;": ")&amp;Checks!$J$447</f>
        <v>F13-T12-10
Seat Linen: Blanket (EY) - prepared</v>
      </c>
      <c r="B46" s="112"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2" t="str">
        <f aca="false">Checks!$N$447&amp;CHAR(10)&amp;IF(ISNUMBER(Checks!$R$447),TEXT(Checks!$R$447,"DD-MMM-YY HH:MM"),"")&amp;" "&amp;Checks!$P$447</f>
        <v>Required
13-Oct-26 22:45 ADL</v>
      </c>
      <c r="D46" s="112" t="str">
        <f aca="false">IF(Checks!$U$447="","",Checks!$U$447)&amp;IF(Checks!$AB$447="","",CHAR(10)&amp;"CA: "&amp;Checks!$AB$447)</f>
        <v/>
      </c>
      <c r="E46" s="112" t="str">
        <f aca="false">IF(Checks!$V$447="","",Checks!$V$447)&amp;IF(Checks!$AC$447="","",IF(Checks!$V$447="","",CHAR(10))&amp;"N/A just.: "&amp;Checks!$AC$447)&amp;IF(Checks!$W$447="","",CHAR(10)&amp;"Batch: "&amp;Checks!$W$447)&amp;IF(AND(Checks!$X$447="",Checks!$Y$447=""),"",CHAR(10)&amp;"Exp: "&amp;Checks!$X$447&amp;"  /  Act: "&amp;Checks!$Y$447)</f>
        <v>
Exp: 280  /  Act: </v>
      </c>
      <c r="F46" s="112" t="str">
        <f aca="false">IF(Checks!$Z$447="","","Evidence: "&amp;Checks!$Z$447)&amp;IF(Checks!$AA$447="","",IF(Checks!$Z$447="","",CHAR(10))&amp;"CA: "&amp;Checks!$AA$447)</f>
        <v/>
      </c>
      <c r="G46" s="112" t="str">
        <f aca="false">IF(ISNUMBER(Checks!$AD$447),TEXT(Checks!$AD$447,"DD-MMM-YY HH:MM")&amp;" "&amp;Checks!$P$447,"")&amp;IF(Checks!$AE$447="","",CHAR(10)&amp;"Verifier: "&amp;Checks!$AE$447)&amp;IF(Checks!$T$447="","",CHAR(10)&amp;"PIC: "&amp;Checks!$T$447)</f>
        <v/>
      </c>
      <c r="H46" s="113" t="str">
        <f aca="false">IF(Checks!$AH$447="","",Checks!$AH$447)</f>
        <v>OPEN</v>
      </c>
    </row>
    <row r="47" customFormat="false" ht="201.75" hidden="false" customHeight="true" outlineLevel="0" collapsed="false">
      <c r="A47" s="112" t="str">
        <f aca="false">Checks!$A$448&amp;CHAR(10)&amp;IF(Checks!$I$448="","",Checks!$I$448&amp;": ")&amp;Checks!$J$448</f>
        <v>F13-T12-11
Sales Cart: Sales cart (caterer PASB) - prepared</v>
      </c>
      <c r="B47" s="112"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2" t="str">
        <f aca="false">Checks!$N$448&amp;CHAR(10)&amp;IF(ISNUMBER(Checks!$R$448),TEXT(Checks!$R$448,"DD-MMM-YY HH:MM"),"")&amp;" "&amp;Checks!$P$448</f>
        <v>Clarification required
13-Oct-26 22:45 ADL</v>
      </c>
      <c r="D47" s="112" t="str">
        <f aca="false">IF(Checks!$U$448="","",Checks!$U$448)&amp;IF(Checks!$AB$448="","",CHAR(10)&amp;"CA: "&amp;Checks!$AB$448)</f>
        <v/>
      </c>
      <c r="E47" s="112" t="str">
        <f aca="false">IF(Checks!$V$448="","",Checks!$V$448)&amp;IF(Checks!$AC$448="","",IF(Checks!$V$448="","",CHAR(10))&amp;"N/A just.: "&amp;Checks!$AC$448)&amp;IF(Checks!$W$448="","",CHAR(10)&amp;"Batch: "&amp;Checks!$W$448)&amp;IF(AND(Checks!$X$448="",Checks!$Y$448=""),"",CHAR(10)&amp;"Exp: "&amp;Checks!$X$448&amp;"  /  Act: "&amp;Checks!$Y$448)</f>
        <v/>
      </c>
      <c r="F47" s="112" t="str">
        <f aca="false">IF(Checks!$Z$448="","","Evidence: "&amp;Checks!$Z$448)&amp;IF(Checks!$AA$448="","",IF(Checks!$Z$448="","",CHAR(10))&amp;"CA: "&amp;Checks!$AA$448)</f>
        <v/>
      </c>
      <c r="G47" s="112" t="str">
        <f aca="false">IF(ISNUMBER(Checks!$AD$448),TEXT(Checks!$AD$448,"DD-MMM-YY HH:MM")&amp;" "&amp;Checks!$P$448,"")&amp;IF(Checks!$AE$448="","",CHAR(10)&amp;"Verifier: "&amp;Checks!$AE$448)&amp;IF(Checks!$T$448="","",CHAR(10)&amp;"PIC: "&amp;Checks!$T$448)</f>
        <v/>
      </c>
      <c r="H47" s="113" t="str">
        <f aca="false">IF(Checks!$AH$448="","",Checks!$AH$448)</f>
        <v>OPEN – CLARIFICATION</v>
      </c>
    </row>
    <row r="48" customFormat="false" ht="25.5" hidden="false" customHeight="true" outlineLevel="0" collapsed="false">
      <c r="A48" s="111"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1"/>
      <c r="C48" s="111"/>
      <c r="D48" s="111"/>
      <c r="E48" s="111"/>
      <c r="F48" s="111"/>
      <c r="G48" s="111"/>
      <c r="H48" s="111"/>
    </row>
    <row r="49" customFormat="false" ht="114" hidden="false" customHeight="true" outlineLevel="0" collapsed="false">
      <c r="A49" s="112" t="str">
        <f aca="false">Checks!$A$449&amp;CHAR(10)&amp;IF(Checks!$I$449="","",Checks!$I$449&amp;": ")&amp;Checks!$J$449</f>
        <v>F13-UPL-01
Meal: Meals physically uplifted on board - quantity vs menu checklist</v>
      </c>
      <c r="B49" s="112" t="str">
        <f aca="false">Checks!$K$449&amp;IF(Checks!$O$449="","",IF(Checks!$K$449="","",CHAR(10))&amp;"Note: "&amp;Checks!$O$449)</f>
        <v>Enter expected &amp; actual
Note: Confirm on board before departure; completion time must fall inside the uplift window.</v>
      </c>
      <c r="C49" s="112" t="str">
        <f aca="false">Checks!$N$449&amp;CHAR(10)&amp;IF(ISNUMBER(Checks!$R$449),TEXT(Checks!$R$449,"DD-MMM-YY HH:MM"),"")&amp;" "&amp;Checks!$P$449</f>
        <v>Required
14-Oct-26 10:45 ADL</v>
      </c>
      <c r="D49" s="112" t="str">
        <f aca="false">IF(Checks!$U$449="","",Checks!$U$449)&amp;IF(Checks!$AB$449="","",CHAR(10)&amp;"CA: "&amp;Checks!$AB$449)</f>
        <v/>
      </c>
      <c r="E49" s="112" t="str">
        <f aca="false">IF(Checks!$V$449="","",Checks!$V$449)&amp;IF(Checks!$AC$449="","",IF(Checks!$V$449="","",CHAR(10))&amp;"N/A just.: "&amp;Checks!$AC$449)&amp;IF(Checks!$W$449="","",CHAR(10)&amp;"Batch: "&amp;Checks!$W$449)&amp;IF(AND(Checks!$X$449="",Checks!$Y$449=""),"",CHAR(10)&amp;"Exp: "&amp;Checks!$X$449&amp;"  /  Act: "&amp;Checks!$Y$449)</f>
        <v/>
      </c>
      <c r="F49" s="112" t="str">
        <f aca="false">IF(Checks!$Z$449="","","Evidence: "&amp;Checks!$Z$449)&amp;IF(Checks!$AA$449="","",IF(Checks!$Z$449="","",CHAR(10))&amp;"CA: "&amp;Checks!$AA$449)</f>
        <v/>
      </c>
      <c r="G49" s="112" t="str">
        <f aca="false">IF(ISNUMBER(Checks!$AD$449),TEXT(Checks!$AD$449,"DD-MMM-YY HH:MM")&amp;" "&amp;Checks!$P$449,"")&amp;IF(Checks!$AE$449="","",CHAR(10)&amp;"Verifier: "&amp;Checks!$AE$449)&amp;IF(Checks!$T$449="","",CHAR(10)&amp;"PIC: "&amp;Checks!$T$449)</f>
        <v/>
      </c>
      <c r="H49" s="113" t="str">
        <f aca="false">IF(Checks!$AH$449="","",Checks!$AH$449)</f>
        <v>OPEN</v>
      </c>
    </row>
    <row r="50" customFormat="false" ht="114" hidden="false" customHeight="true" outlineLevel="0" collapsed="false">
      <c r="A50" s="112" t="str">
        <f aca="false">Checks!$A$450&amp;CHAR(10)&amp;IF(Checks!$I$450="","",Checks!$I$450&amp;": ")&amp;Checks!$J$450</f>
        <v>F13-UPL-02
Equipment: Equipment physically loaded at GLD positions - quantity &amp; positions</v>
      </c>
      <c r="B50" s="112" t="str">
        <f aca="false">Checks!$K$450&amp;IF(Checks!$O$450="","",IF(Checks!$K$450="","",CHAR(10))&amp;"Note: "&amp;Checks!$O$450)</f>
        <v>Enter expected &amp; actual
Note: Confirm on board before departure; completion time must fall inside the uplift window.</v>
      </c>
      <c r="C50" s="112" t="str">
        <f aca="false">Checks!$N$450&amp;CHAR(10)&amp;IF(ISNUMBER(Checks!$R$450),TEXT(Checks!$R$450,"DD-MMM-YY HH:MM"),"")&amp;" "&amp;Checks!$P$450</f>
        <v>Required
14-Oct-26 10:45 ADL</v>
      </c>
      <c r="D50" s="112" t="str">
        <f aca="false">IF(Checks!$U$450="","",Checks!$U$450)&amp;IF(Checks!$AB$450="","",CHAR(10)&amp;"CA: "&amp;Checks!$AB$450)</f>
        <v/>
      </c>
      <c r="E50" s="112" t="str">
        <f aca="false">IF(Checks!$V$450="","",Checks!$V$450)&amp;IF(Checks!$AC$450="","",IF(Checks!$V$450="","",CHAR(10))&amp;"N/A just.: "&amp;Checks!$AC$450)&amp;IF(Checks!$W$450="","",CHAR(10)&amp;"Batch: "&amp;Checks!$W$450)&amp;IF(AND(Checks!$X$450="",Checks!$Y$450=""),"",CHAR(10)&amp;"Exp: "&amp;Checks!$X$450&amp;"  /  Act: "&amp;Checks!$Y$450)</f>
        <v/>
      </c>
      <c r="F50" s="112" t="str">
        <f aca="false">IF(Checks!$Z$450="","","Evidence: "&amp;Checks!$Z$450)&amp;IF(Checks!$AA$450="","",IF(Checks!$Z$450="","",CHAR(10))&amp;"CA: "&amp;Checks!$AA$450)</f>
        <v/>
      </c>
      <c r="G50" s="112" t="str">
        <f aca="false">IF(ISNUMBER(Checks!$AD$450),TEXT(Checks!$AD$450,"DD-MMM-YY HH:MM")&amp;" "&amp;Checks!$P$450,"")&amp;IF(Checks!$AE$450="","",CHAR(10)&amp;"Verifier: "&amp;Checks!$AE$450)&amp;IF(Checks!$T$450="","",CHAR(10)&amp;"PIC: "&amp;Checks!$T$450)</f>
        <v/>
      </c>
      <c r="H50" s="113" t="str">
        <f aca="false">IF(Checks!$AH$450="","",Checks!$AH$450)</f>
        <v>OPEN</v>
      </c>
    </row>
    <row r="51" customFormat="false" ht="114" hidden="false" customHeight="true" outlineLevel="0" collapsed="false">
      <c r="A51" s="112" t="str">
        <f aca="false">Checks!$A$451&amp;CHAR(10)&amp;IF(Checks!$I$451="","",Checks!$I$451&amp;": ")&amp;Checks!$J$451</f>
        <v>F13-UPL-03
Uplift plan: KUL-sourced items physically loaded at KUL on the inbound KUL-ADL flight</v>
      </c>
      <c r="B51" s="112" t="str">
        <f aca="false">Checks!$K$451&amp;IF(Checks!$O$451="","",IF(Checks!$K$451="","",CHAR(10))&amp;"Note: "&amp;Checks!$O$451)</f>
        <v>Items: Toiletry kits. Quantities as per Requirements
Note: Confirmed at KUL inside the uplift window before the carrying flight's KUL departure (Flights AX).</v>
      </c>
      <c r="C51" s="112" t="str">
        <f aca="false">Checks!$N$451&amp;CHAR(10)&amp;IF(ISNUMBER(Checks!$R$451),TEXT(Checks!$R$451,"DD-MMM-YY HH:MM"),"")&amp;" "&amp;Checks!$P$451</f>
        <v>Required
12-Oct-26 22:25 KUL</v>
      </c>
      <c r="D51" s="112" t="str">
        <f aca="false">IF(Checks!$U$451="","",Checks!$U$451)&amp;IF(Checks!$AB$451="","",CHAR(10)&amp;"CA: "&amp;Checks!$AB$451)</f>
        <v/>
      </c>
      <c r="E51" s="112" t="str">
        <f aca="false">IF(Checks!$V$451="","",Checks!$V$451)&amp;IF(Checks!$AC$451="","",IF(Checks!$V$451="","",CHAR(10))&amp;"N/A just.: "&amp;Checks!$AC$451)&amp;IF(Checks!$W$451="","",CHAR(10)&amp;"Batch: "&amp;Checks!$W$451)&amp;IF(AND(Checks!$X$451="",Checks!$Y$451=""),"",CHAR(10)&amp;"Exp: "&amp;Checks!$X$451&amp;"  /  Act: "&amp;Checks!$Y$451)</f>
        <v/>
      </c>
      <c r="F51" s="112" t="str">
        <f aca="false">IF(Checks!$Z$451="","","Evidence: "&amp;Checks!$Z$451)&amp;IF(Checks!$AA$451="","",IF(Checks!$Z$451="","",CHAR(10))&amp;"CA: "&amp;Checks!$AA$451)</f>
        <v/>
      </c>
      <c r="G51" s="112" t="str">
        <f aca="false">IF(ISNUMBER(Checks!$AD$451),TEXT(Checks!$AD$451,"DD-MMM-YY HH:MM")&amp;" "&amp;Checks!$P$451,"")&amp;IF(Checks!$AE$451="","",CHAR(10)&amp;"Verifier: "&amp;Checks!$AE$451)&amp;IF(Checks!$T$451="","",CHAR(10)&amp;"PIC: "&amp;Checks!$T$451)</f>
        <v/>
      </c>
      <c r="H51" s="113" t="str">
        <f aca="false">IF(Checks!$AH$451="","",Checks!$AH$451)</f>
        <v>OPEN</v>
      </c>
    </row>
    <row r="52" customFormat="false" ht="135.75" hidden="false" customHeight="true" outlineLevel="0" collapsed="false">
      <c r="A52" s="112" t="str">
        <f aca="false">Checks!$A$452&amp;CHAR(10)&amp;IF(Checks!$I$452="","",Checks!$I$452&amp;": ")&amp;Checks!$J$452</f>
        <v>F13-UPL-04
Amenities: Toiletry kits - on board</v>
      </c>
      <c r="B52" s="112"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2" t="str">
        <f aca="false">Checks!$N$452&amp;CHAR(10)&amp;IF(ISNUMBER(Checks!$R$452),TEXT(Checks!$R$452,"DD-MMM-YY HH:MM"),"")&amp;" "&amp;Checks!$P$452</f>
        <v>Clarification required
14-Oct-26 10:45 ADL</v>
      </c>
      <c r="D52" s="112" t="str">
        <f aca="false">IF(Checks!$U$452="","",Checks!$U$452)&amp;IF(Checks!$AB$452="","",CHAR(10)&amp;"CA: "&amp;Checks!$AB$452)</f>
        <v/>
      </c>
      <c r="E52" s="112" t="str">
        <f aca="false">IF(Checks!$V$452="","",Checks!$V$452)&amp;IF(Checks!$AC$452="","",IF(Checks!$V$452="","",CHAR(10))&amp;"N/A just.: "&amp;Checks!$AC$452)&amp;IF(Checks!$W$452="","",CHAR(10)&amp;"Batch: "&amp;Checks!$W$452)&amp;IF(AND(Checks!$X$452="",Checks!$Y$452=""),"",CHAR(10)&amp;"Exp: "&amp;Checks!$X$452&amp;"  /  Act: "&amp;Checks!$Y$452)</f>
        <v/>
      </c>
      <c r="F52" s="112" t="str">
        <f aca="false">IF(Checks!$Z$452="","","Evidence: "&amp;Checks!$Z$452)&amp;IF(Checks!$AA$452="","",IF(Checks!$Z$452="","",CHAR(10))&amp;"CA: "&amp;Checks!$AA$452)</f>
        <v/>
      </c>
      <c r="G52" s="112" t="str">
        <f aca="false">IF(ISNUMBER(Checks!$AD$452),TEXT(Checks!$AD$452,"DD-MMM-YY HH:MM")&amp;" "&amp;Checks!$P$452,"")&amp;IF(Checks!$AE$452="","",CHAR(10)&amp;"Verifier: "&amp;Checks!$AE$452)&amp;IF(Checks!$T$452="","",CHAR(10)&amp;"PIC: "&amp;Checks!$T$452)</f>
        <v/>
      </c>
      <c r="H52" s="113" t="str">
        <f aca="false">IF(Checks!$AH$452="","",Checks!$AH$452)</f>
        <v>OPEN – CLARIFICATION</v>
      </c>
    </row>
    <row r="53" customFormat="false" ht="114" hidden="false" customHeight="true" outlineLevel="0" collapsed="false">
      <c r="A53" s="112" t="str">
        <f aca="false">Checks!$A$453&amp;CHAR(10)&amp;IF(Checks!$I$453="","",Checks!$I$453&amp;": ")&amp;Checks!$J$453</f>
        <v>F13-UPL-05
Seat Linen: Seat pillow (EY) - on board</v>
      </c>
      <c r="B53" s="112" t="str">
        <f aca="false">Checks!$K$453&amp;IF(Checks!$O$453="","",IF(Checks!$K$453="","",CHAR(10))&amp;"Note: "&amp;Checks!$O$453)</f>
        <v>Available 100% (ticked in reference)</v>
      </c>
      <c r="C53" s="112" t="str">
        <f aca="false">Checks!$N$453&amp;CHAR(10)&amp;IF(ISNUMBER(Checks!$R$453),TEXT(Checks!$R$453,"DD-MMM-YY HH:MM"),"")&amp;" "&amp;Checks!$P$453</f>
        <v>Required
14-Oct-26 10:45 ADL</v>
      </c>
      <c r="D53" s="112" t="str">
        <f aca="false">IF(Checks!$U$453="","",Checks!$U$453)&amp;IF(Checks!$AB$453="","",CHAR(10)&amp;"CA: "&amp;Checks!$AB$453)</f>
        <v/>
      </c>
      <c r="E53" s="112" t="str">
        <f aca="false">IF(Checks!$V$453="","",Checks!$V$453)&amp;IF(Checks!$AC$453="","",IF(Checks!$V$453="","",CHAR(10))&amp;"N/A just.: "&amp;Checks!$AC$453)&amp;IF(Checks!$W$453="","",CHAR(10)&amp;"Batch: "&amp;Checks!$W$453)&amp;IF(AND(Checks!$X$453="",Checks!$Y$453=""),"",CHAR(10)&amp;"Exp: "&amp;Checks!$X$453&amp;"  /  Act: "&amp;Checks!$Y$453)</f>
        <v/>
      </c>
      <c r="F53" s="112" t="str">
        <f aca="false">IF(Checks!$Z$453="","","Evidence: "&amp;Checks!$Z$453)&amp;IF(Checks!$AA$453="","",IF(Checks!$Z$453="","",CHAR(10))&amp;"CA: "&amp;Checks!$AA$453)</f>
        <v/>
      </c>
      <c r="G53" s="112" t="str">
        <f aca="false">IF(ISNUMBER(Checks!$AD$453),TEXT(Checks!$AD$453,"DD-MMM-YY HH:MM")&amp;" "&amp;Checks!$P$453,"")&amp;IF(Checks!$AE$453="","",CHAR(10)&amp;"Verifier: "&amp;Checks!$AE$453)&amp;IF(Checks!$T$453="","",CHAR(10)&amp;"PIC: "&amp;Checks!$T$453)</f>
        <v/>
      </c>
      <c r="H53" s="113" t="str">
        <f aca="false">IF(Checks!$AH$453="","",Checks!$AH$453)</f>
        <v>OPEN</v>
      </c>
    </row>
    <row r="54" customFormat="false" ht="135.75" hidden="false" customHeight="true" outlineLevel="0" collapsed="false">
      <c r="A54" s="112" t="str">
        <f aca="false">Checks!$A$454&amp;CHAR(10)&amp;IF(Checks!$I$454="","",Checks!$I$454&amp;": ")&amp;Checks!$J$454</f>
        <v>F13-UPL-06
Seat Linen: Blanket (EY) - on board</v>
      </c>
      <c r="B54" s="112"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2" t="str">
        <f aca="false">Checks!$N$454&amp;CHAR(10)&amp;IF(ISNUMBER(Checks!$R$454),TEXT(Checks!$R$454,"DD-MMM-YY HH:MM"),"")&amp;" "&amp;Checks!$P$454</f>
        <v>Required
14-Oct-26 10:45 ADL</v>
      </c>
      <c r="D54" s="112" t="str">
        <f aca="false">IF(Checks!$U$454="","",Checks!$U$454)&amp;IF(Checks!$AB$454="","",CHAR(10)&amp;"CA: "&amp;Checks!$AB$454)</f>
        <v/>
      </c>
      <c r="E54" s="112" t="str">
        <f aca="false">IF(Checks!$V$454="","",Checks!$V$454)&amp;IF(Checks!$AC$454="","",IF(Checks!$V$454="","",CHAR(10))&amp;"N/A just.: "&amp;Checks!$AC$454)&amp;IF(Checks!$W$454="","",CHAR(10)&amp;"Batch: "&amp;Checks!$W$454)&amp;IF(AND(Checks!$X$454="",Checks!$Y$454=""),"",CHAR(10)&amp;"Exp: "&amp;Checks!$X$454&amp;"  /  Act: "&amp;Checks!$Y$454)</f>
        <v>
Exp: 280  /  Act: </v>
      </c>
      <c r="F54" s="112" t="str">
        <f aca="false">IF(Checks!$Z$454="","","Evidence: "&amp;Checks!$Z$454)&amp;IF(Checks!$AA$454="","",IF(Checks!$Z$454="","",CHAR(10))&amp;"CA: "&amp;Checks!$AA$454)</f>
        <v/>
      </c>
      <c r="G54" s="112" t="str">
        <f aca="false">IF(ISNUMBER(Checks!$AD$454),TEXT(Checks!$AD$454,"DD-MMM-YY HH:MM")&amp;" "&amp;Checks!$P$454,"")&amp;IF(Checks!$AE$454="","",CHAR(10)&amp;"Verifier: "&amp;Checks!$AE$454)&amp;IF(Checks!$T$454="","",CHAR(10)&amp;"PIC: "&amp;Checks!$T$454)</f>
        <v/>
      </c>
      <c r="H54" s="113" t="str">
        <f aca="false">IF(Checks!$AH$454="","",Checks!$AH$454)</f>
        <v>OPEN</v>
      </c>
    </row>
    <row r="55" customFormat="false" ht="135.75" hidden="false" customHeight="true" outlineLevel="0" collapsed="false">
      <c r="A55" s="112" t="str">
        <f aca="false">Checks!$A$455&amp;CHAR(10)&amp;IF(Checks!$I$455="","",Checks!$I$455&amp;": ")&amp;Checks!$J$455</f>
        <v>F13-UPL-07
Sales Cart: Sales cart (caterer PASB) - on board</v>
      </c>
      <c r="B55" s="112"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2" t="str">
        <f aca="false">Checks!$N$455&amp;CHAR(10)&amp;IF(ISNUMBER(Checks!$R$455),TEXT(Checks!$R$455,"DD-MMM-YY HH:MM"),"")&amp;" "&amp;Checks!$P$455</f>
        <v>Clarification required
14-Oct-26 10:45 ADL</v>
      </c>
      <c r="D55" s="112" t="str">
        <f aca="false">IF(Checks!$U$455="","",Checks!$U$455)&amp;IF(Checks!$AB$455="","",CHAR(10)&amp;"CA: "&amp;Checks!$AB$455)</f>
        <v/>
      </c>
      <c r="E55" s="112" t="str">
        <f aca="false">IF(Checks!$V$455="","",Checks!$V$455)&amp;IF(Checks!$AC$455="","",IF(Checks!$V$455="","",CHAR(10))&amp;"N/A just.: "&amp;Checks!$AC$455)&amp;IF(Checks!$W$455="","",CHAR(10)&amp;"Batch: "&amp;Checks!$W$455)&amp;IF(AND(Checks!$X$455="",Checks!$Y$455=""),"",CHAR(10)&amp;"Exp: "&amp;Checks!$X$455&amp;"  /  Act: "&amp;Checks!$Y$455)</f>
        <v/>
      </c>
      <c r="F55" s="112" t="str">
        <f aca="false">IF(Checks!$Z$455="","","Evidence: "&amp;Checks!$Z$455)&amp;IF(Checks!$AA$455="","",IF(Checks!$Z$455="","",CHAR(10))&amp;"CA: "&amp;Checks!$AA$455)</f>
        <v/>
      </c>
      <c r="G55" s="112" t="str">
        <f aca="false">IF(ISNUMBER(Checks!$AD$455),TEXT(Checks!$AD$455,"DD-MMM-YY HH:MM")&amp;" "&amp;Checks!$P$455,"")&amp;IF(Checks!$AE$455="","",CHAR(10)&amp;"Verifier: "&amp;Checks!$AE$455)&amp;IF(Checks!$T$455="","",CHAR(10)&amp;"PIC: "&amp;Checks!$T$455)</f>
        <v/>
      </c>
      <c r="H55" s="113" t="str">
        <f aca="false">IF(Checks!$AH$455="","",Checks!$AH$455)</f>
        <v>OPEN – CLARIFICATION</v>
      </c>
    </row>
    <row r="57" customFormat="false" ht="24" hidden="false" customHeight="true" outlineLevel="0" collapsed="false">
      <c r="A57" s="114" t="s">
        <v>1647</v>
      </c>
      <c r="B57" s="114"/>
      <c r="C57" s="114"/>
      <c r="D57" s="114"/>
      <c r="E57" s="114" t="s">
        <v>1648</v>
      </c>
      <c r="F57" s="114"/>
      <c r="G57" s="114"/>
      <c r="H57" s="114"/>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row r="63" customFormat="false" ht="21.75" hidden="false" customHeight="true" outlineLevel="0" collapsed="false">
      <c r="A63" s="115"/>
      <c r="B63" s="115"/>
      <c r="C63" s="115"/>
      <c r="D63" s="115"/>
      <c r="E63" s="115"/>
      <c r="F63" s="115"/>
      <c r="G63" s="115"/>
      <c r="H63" s="115"/>
    </row>
    <row r="64" customFormat="false" ht="21.75" hidden="false" customHeight="true" outlineLevel="0" collapsed="false">
      <c r="A64" s="115"/>
      <c r="B64" s="115"/>
      <c r="C64" s="115"/>
      <c r="D64" s="115"/>
      <c r="E64" s="115"/>
      <c r="F64" s="115"/>
      <c r="G64" s="115"/>
      <c r="H64" s="115"/>
    </row>
    <row r="65" customFormat="false" ht="21.75" hidden="false" customHeight="true" outlineLevel="0" collapsed="false">
      <c r="A65" s="115"/>
      <c r="B65" s="115"/>
      <c r="C65" s="115"/>
      <c r="D65" s="115"/>
      <c r="E65" s="115"/>
      <c r="F65" s="115"/>
      <c r="G65" s="115"/>
      <c r="H65" s="115"/>
    </row>
    <row r="66" customFormat="false" ht="21.75" hidden="false" customHeight="true" outlineLevel="0" collapsed="false">
      <c r="A66" s="115"/>
      <c r="B66" s="115"/>
      <c r="C66" s="115"/>
      <c r="D66" s="115"/>
      <c r="E66" s="115"/>
      <c r="F66" s="115"/>
      <c r="G66" s="115"/>
      <c r="H66" s="115"/>
    </row>
    <row r="67" customFormat="false" ht="21.75" hidden="false" customHeight="true" outlineLevel="0" collapsed="false">
      <c r="A67" s="115"/>
      <c r="B67" s="115"/>
      <c r="C67" s="115"/>
      <c r="D67" s="115"/>
      <c r="E67" s="115"/>
      <c r="F67" s="115"/>
      <c r="G67" s="115"/>
      <c r="H67" s="115"/>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F14  "&amp;Flights!$F$18&amp;"  "&amp;TEXT(Flights!$D$18,"DD-MMM-YY")&amp;" ("&amp;Flights!$E$18&amp;")  "&amp;Flights!$G$18&amp;" → "&amp;Flights!$H$18&amp;"  |  Class "&amp;Flights!$K$18</f>
        <v>SKYTRAX 2026 CATERING READINESS CHECKLIST  |  F14  MH0004  15-Oct-26 (THU)  KUL → LHR  |  Class EY</v>
      </c>
      <c r="B1" s="90"/>
      <c r="C1" s="90"/>
      <c r="D1" s="90"/>
      <c r="E1" s="90"/>
      <c r="F1" s="90"/>
      <c r="G1" s="90"/>
      <c r="H1" s="90"/>
    </row>
    <row r="2" customFormat="false" ht="12.75" hidden="false" customHeight="true" outlineLevel="0" collapsed="false">
      <c r="A2" s="91" t="s">
        <v>1602</v>
      </c>
      <c r="B2" s="92" t="str">
        <f aca="false">Flights!$F$18&amp;"   "&amp;TEXT(Flights!$D$18,"DD-MMM-YY")&amp;" ("&amp;Flights!$E$18&amp;")"</f>
        <v>MH0004   15-Oct-26 (THU)</v>
      </c>
      <c r="C2" s="92"/>
      <c r="D2" s="92"/>
      <c r="E2" s="93" t="s">
        <v>1603</v>
      </c>
      <c r="F2" s="94" t="str">
        <f aca="false">Flights!$AT$18</f>
        <v>NOT READY – DOCUMENTS</v>
      </c>
      <c r="G2" s="94"/>
      <c r="H2" s="94"/>
    </row>
    <row r="3" customFormat="false" ht="24" hidden="false" customHeight="true" outlineLevel="0" collapsed="false">
      <c r="A3" s="91" t="s">
        <v>1604</v>
      </c>
      <c r="B3" s="92" t="str">
        <f aca="false">Flights!$G$18&amp;" → "&amp;Flights!$H$18&amp;"   Class "&amp;Flights!$K$18&amp;"   Seat "&amp;Flights!$O$18</f>
        <v>KUL → LHR   Class EY   Seat 14C</v>
      </c>
      <c r="C3" s="92"/>
      <c r="D3" s="92"/>
      <c r="E3" s="93" t="s">
        <v>66</v>
      </c>
      <c r="F3" s="93" t="s">
        <v>1605</v>
      </c>
      <c r="G3" s="93" t="s">
        <v>1606</v>
      </c>
      <c r="H3" s="93"/>
    </row>
    <row r="4" customFormat="false" ht="24" hidden="false" customHeight="true" outlineLevel="0" collapsed="false">
      <c r="A4" s="91" t="s">
        <v>1607</v>
      </c>
      <c r="B4" s="92" t="str">
        <f aca="false">IF(ISNUMBER(Flights!$I$18),TEXT(Flights!$I$18,"DD-MMM-YY HH:MM"),"")&amp;" "&amp;Flights!$G$18&amp;"  →  "&amp;IF(ISNUMBER(Flights!$J$18),TEXT(Flights!$J$18,"DD-MMM-YY HH:MM"),"")&amp;" "&amp;Flights!$H$18</f>
        <v>15-Oct-26 09:50 KUL  →  15-Oct-26 16:35 LHR</v>
      </c>
      <c r="C4" s="92"/>
      <c r="D4" s="92"/>
      <c r="E4" s="91" t="s">
        <v>1608</v>
      </c>
      <c r="F4" s="95" t="str">
        <f aca="false">IF(ISNUMBER(Flights!$AG$18),TEXT(Flights!$AG$18,"DD-MMM-YY HH:MM"),"")&amp;" "&amp;Flights!$V$18</f>
        <v>08-Oct-26 09:50 KUL</v>
      </c>
      <c r="G4" s="96" t="n">
        <f aca="false">Flights!$AJ$18</f>
        <v>0</v>
      </c>
      <c r="H4" s="96"/>
    </row>
    <row r="5" customFormat="false" ht="24" hidden="false" customHeight="true" outlineLevel="0" collapsed="false">
      <c r="A5" s="91" t="s">
        <v>1609</v>
      </c>
      <c r="B5" s="92" t="str">
        <f aca="false">Flights!$L$18&amp;" – "&amp;Flights!$M$18</f>
        <v>A350 – A350-900: A359 (9M-MAB..MAG, row 6) or A350 9M-MAH (row 7) - tail to confirm</v>
      </c>
      <c r="C5" s="92"/>
      <c r="D5" s="92"/>
      <c r="E5" s="91" t="s">
        <v>1610</v>
      </c>
      <c r="F5" s="95" t="str">
        <f aca="false">IF(ISNUMBER(Flights!$AH$18),TEXT(Flights!$AH$18,"DD-MMM-YY HH:MM"),"")&amp;" "&amp;Flights!$V$18</f>
        <v>14-Oct-26 09:50 KUL</v>
      </c>
      <c r="G5" s="96" t="n">
        <f aca="false">Flights!$AK$18</f>
        <v>0</v>
      </c>
      <c r="H5" s="96"/>
    </row>
    <row r="6" customFormat="false" ht="24" hidden="false" customHeight="true" outlineLevel="0" collapsed="false">
      <c r="A6" s="91" t="s">
        <v>1611</v>
      </c>
      <c r="B6" s="92" t="str">
        <f aca="false">IF(TRIM(Flights!$N$18)="","__________________",Flights!$N$18)</f>
        <v>__________________</v>
      </c>
      <c r="C6" s="92"/>
      <c r="D6" s="92"/>
      <c r="E6" s="91" t="s">
        <v>1612</v>
      </c>
      <c r="F6" s="95" t="str">
        <f aca="false">IF(ISNUMBER(Flights!$AI$18),TEXT(Flights!$AI$18,"DD-MMM-YY HH:MM"),"")&amp;" "&amp;Flights!$V$18&amp;IF(Flights!$AI$18=Flights!$AH$18,"  (= T-24H due)","")</f>
        <v>14-Oct-26 21:50 KUL</v>
      </c>
      <c r="G6" s="96" t="n">
        <f aca="false">Flights!$AL$18</f>
        <v>0</v>
      </c>
      <c r="H6" s="96"/>
    </row>
    <row r="7" customFormat="false" ht="24" hidden="false" customHeight="true" outlineLevel="0" collapsed="false">
      <c r="A7" s="91" t="s">
        <v>1613</v>
      </c>
      <c r="B7" s="92" t="str">
        <f aca="false">Flights!$T$18</f>
        <v>2.5 Meal (Meal)</v>
      </c>
      <c r="C7" s="92"/>
      <c r="D7" s="92"/>
      <c r="E7" s="91" t="s">
        <v>1614</v>
      </c>
      <c r="F7" s="95" t="str">
        <f aca="false">"STD "&amp;IF(ISNUMBER(Flights!$I$18),TEXT(Flights!$I$18,"DD-MMM-YY HH:MM"),"")&amp;" "&amp;Flights!$G$18&amp;" (dep stn)"</f>
        <v>STD 15-Oct-26 09:50 KUL (dep stn)</v>
      </c>
      <c r="G7" s="96" t="n">
        <f aca="false">Flights!$AM$18</f>
        <v>0</v>
      </c>
      <c r="H7" s="96"/>
    </row>
    <row r="8" customFormat="false" ht="12.75" hidden="false" customHeight="true" outlineLevel="0" collapsed="false">
      <c r="A8" s="91" t="s">
        <v>148</v>
      </c>
      <c r="B8" s="92" t="str">
        <f aca="false">Flights!$V$18&amp;"   (reference uplift stns: "&amp;Flights!$U$18&amp;")"</f>
        <v>KUL   (reference uplift stns: KUL/LHR)</v>
      </c>
      <c r="C8" s="92"/>
      <c r="D8" s="92"/>
      <c r="E8" s="91" t="s">
        <v>1615</v>
      </c>
      <c r="F8" s="97" t="s">
        <v>1616</v>
      </c>
      <c r="G8" s="96" t="n">
        <f aca="false">Flights!$AN$18</f>
        <v>0</v>
      </c>
      <c r="H8" s="96"/>
    </row>
    <row r="9" customFormat="false" ht="12.75" hidden="false" customHeight="true" outlineLevel="0" collapsed="false">
      <c r="A9" s="91" t="s">
        <v>1617</v>
      </c>
      <c r="B9" s="92" t="str">
        <f aca="false">TRIM(Flights!$P$18&amp;"  "&amp;Flights!$Q$18)</f>
        <v>-</v>
      </c>
      <c r="C9" s="92"/>
      <c r="D9" s="92"/>
      <c r="E9" s="91" t="s">
        <v>1618</v>
      </c>
      <c r="F9" s="98" t="n">
        <f aca="false">Flights!$AP$18</f>
        <v>0</v>
      </c>
      <c r="G9" s="98" t="n">
        <f aca="false">Flights!$AQ$18</f>
        <v>0</v>
      </c>
      <c r="H9" s="98" t="n">
        <f aca="false">Flights!$AU$18</f>
        <v>0</v>
      </c>
    </row>
    <row r="10" customFormat="false" ht="24" hidden="false" customHeight="true" outlineLevel="0" collapsed="false">
      <c r="A10" s="91" t="s">
        <v>1619</v>
      </c>
      <c r="B10" s="92" t="str">
        <f aca="false">IF(TRIM(Flights!$X$18)="","__________________",Flights!$X$18)</f>
        <v>__________________</v>
      </c>
      <c r="C10" s="92"/>
      <c r="D10" s="92"/>
      <c r="E10" s="91" t="s">
        <v>1620</v>
      </c>
      <c r="F10" s="98" t="n">
        <f aca="false">Flights!$AO$18</f>
        <v>24</v>
      </c>
      <c r="G10" s="98" t="n">
        <f aca="false">Flights!$AS$18</f>
        <v>2</v>
      </c>
      <c r="H10" s="98" t="n">
        <f aca="false">Flights!$AR$18</f>
        <v>2</v>
      </c>
    </row>
    <row r="11" customFormat="false" ht="21" hidden="false" customHeight="true" outlineLevel="0" collapsed="false">
      <c r="A11" s="91" t="s">
        <v>1621</v>
      </c>
      <c r="B11" s="92" t="str">
        <f aca="false">IF(TRIM(Flights!$Y$18)="","__________________",Flights!$Y$18)</f>
        <v>__________________</v>
      </c>
      <c r="C11" s="92"/>
      <c r="D11" s="92"/>
      <c r="E11" s="91" t="s">
        <v>1622</v>
      </c>
      <c r="F11" s="98" t="str">
        <f aca="false">Flights!$AV$18&amp;" / "&amp;Flights!$AW$18</f>
        <v>0 / 24</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IF(Documents!$F$18="","",Documents!$F$18)</f>
        <v/>
      </c>
      <c r="C14" s="97" t="str">
        <f aca="false">IF(Documents!$G$18="","",Documents!$G$18)&amp;IF(ISNUMBER(Documents!$H$18),"  "&amp;TEXT(Documents!$H$18,"DD-MMM-YY"),"")</f>
        <v/>
      </c>
      <c r="D14" s="97"/>
      <c r="E14" s="105" t="str">
        <f aca="false">IF(Documents!$J$18="OUTSTANDING","OUTSTANDING – attach before T-7D (due "&amp;IF(ISNUMBER(Flights!$AG$18),TEXT(Flights!$AG$18,"DD-MMM-YY HH:MM"),"")&amp;" "&amp;Flights!$V$18&amp;")",IF(Documents!$J$18="","Status not recorded",Documents!$J$18))</f>
        <v>OUTSTANDING – attach before T-7D (due 08-Oct-26 09:50 KUL)</v>
      </c>
      <c r="F14" s="106" t="str">
        <f aca="false">"Staple behind this sheet as page A1."&amp;IF(Documents!$I$18="",""," Location: "&amp;Documents!$I$18)</f>
        <v>Staple behind this sheet as page A1.</v>
      </c>
      <c r="G14" s="106"/>
      <c r="H14" s="106"/>
    </row>
    <row r="15" customFormat="false" ht="36" hidden="false" customHeight="true" outlineLevel="0" collapsed="false">
      <c r="A15" s="91" t="s">
        <v>1633</v>
      </c>
      <c r="B15" s="92" t="str">
        <f aca="false">IF(Documents!$K$18="","",Documents!$K$18)</f>
        <v/>
      </c>
      <c r="C15" s="97" t="str">
        <f aca="false">IF(Documents!$L$18="","",Documents!$L$18)&amp;IF(ISNUMBER(Documents!$M$18),"  "&amp;TEXT(Documents!$M$18,"DD-MMM-YY"),"")</f>
        <v/>
      </c>
      <c r="D15" s="97"/>
      <c r="E15" s="105" t="str">
        <f aca="false">IF(Documents!$O$18="OUTSTANDING","OUTSTANDING – attach before T-7D (due "&amp;IF(ISNUMBER(Flights!$AG$18),TEXT(Flights!$AG$18,"DD-MMM-YY HH:MM"),"")&amp;" "&amp;Flights!$V$18&amp;")",IF(Documents!$O$18="","Status not recorded",Documents!$O$18))</f>
        <v>OUTSTANDING – attach before T-7D (due 08-Oct-26 09:50 KUL)</v>
      </c>
      <c r="F15" s="106" t="str">
        <f aca="false">"Staple behind this sheet as page A2."&amp;IF(Documents!$N$18="",""," Location: "&amp;Documents!$N$18)</f>
        <v>Staple behind this sheet as page A2.</v>
      </c>
      <c r="G15" s="106"/>
      <c r="H15" s="106"/>
    </row>
    <row r="16" customFormat="false" ht="22.5" hidden="false" customHeight="true" outlineLevel="0" collapsed="false">
      <c r="A16" s="91" t="s">
        <v>1634</v>
      </c>
      <c r="B16" s="107" t="str">
        <f aca="false">IF(Documents!$Q$18="","",Documents!$Q$18)</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"&amp;IF(TRIM(Flights!$Y$18)="","__________________",Flights!$Y$18)</f>
        <v>Name: __________________</v>
      </c>
      <c r="B18" s="92"/>
      <c r="C18" s="92" t="str">
        <f aca="false">"Name: __________________"</f>
        <v>Name: __________________</v>
      </c>
      <c r="D18" s="92"/>
      <c r="E18" s="92"/>
      <c r="F18" s="92" t="str">
        <f aca="false">"Name: __________________"&amp;"   Station: "&amp;Flights!$V$18</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Checks!$A$456&amp;CHAR(10)&amp;IF(Checks!$I$456="","",Checks!$I$456&amp;": ")&amp;Checks!$J$456</f>
        <v>F14-T7-01
Meal: Meal sensory testing completed for this flight's menu cycle (assessed class)</v>
      </c>
      <c r="B23" s="112" t="str">
        <f aca="false">Checks!$K$456&amp;IF(Checks!$O$456="","",IF(Checks!$K$456="","",CHAR(10))&amp;"Note: "&amp;Checks!$O$456)</f>
        <v>Record panel result / score in Result</v>
      </c>
      <c r="C23" s="112" t="str">
        <f aca="false">Checks!$N$456&amp;CHAR(10)&amp;IF(ISNUMBER(Checks!$R$456),TEXT(Checks!$R$456,"DD-MMM-YY HH:MM"),"")&amp;" "&amp;Checks!$P$456</f>
        <v>Required
08-Oct-26 09:50 KUL</v>
      </c>
      <c r="D23" s="112" t="str">
        <f aca="false">IF(Checks!$U$456="","",Checks!$U$456)&amp;IF(Checks!$AB$456="","",CHAR(10)&amp;"CA: "&amp;Checks!$AB$456)</f>
        <v/>
      </c>
      <c r="E23" s="112" t="str">
        <f aca="false">IF(Checks!$V$456="","",Checks!$V$456)&amp;IF(Checks!$AC$456="","",IF(Checks!$V$456="","",CHAR(10))&amp;"N/A just.: "&amp;Checks!$AC$456)&amp;IF(Checks!$W$456="","",CHAR(10)&amp;"Batch: "&amp;Checks!$W$456)&amp;IF(AND(Checks!$X$456="",Checks!$Y$456=""),"",CHAR(10)&amp;"Exp: "&amp;Checks!$X$456&amp;"  /  Act: "&amp;Checks!$Y$456)</f>
        <v/>
      </c>
      <c r="F23" s="112" t="str">
        <f aca="false">IF(Checks!$Z$456="","","Evidence: "&amp;Checks!$Z$456)&amp;IF(Checks!$AA$456="","",IF(Checks!$Z$456="","",CHAR(10))&amp;"CA: "&amp;Checks!$AA$456)</f>
        <v/>
      </c>
      <c r="G23" s="112" t="str">
        <f aca="false">IF(ISNUMBER(Checks!$AD$456),TEXT(Checks!$AD$456,"DD-MMM-YY HH:MM")&amp;" "&amp;Checks!$P$456,"")&amp;IF(Checks!$AE$456="","",CHAR(10)&amp;"Verifier: "&amp;Checks!$AE$456)&amp;IF(Checks!$T$456="","",CHAR(10)&amp;"PIC: "&amp;Checks!$T$456)</f>
        <v/>
      </c>
      <c r="H23" s="113" t="str">
        <f aca="false">IF(Checks!$AH$456="","",Checks!$AH$456)</f>
        <v>OPEN</v>
      </c>
    </row>
    <row r="24" customFormat="false" ht="114" hidden="false" customHeight="true" outlineLevel="0" collapsed="false">
      <c r="A24" s="112" t="str">
        <f aca="false">Checks!$A$457&amp;CHAR(10)&amp;IF(Checks!$I$457="","",Checks!$I$457&amp;": ")&amp;Checks!$J$457</f>
        <v>F14-T7-02
Menu: Printed menu cards confirmed (content, cycle, language, quantity)</v>
      </c>
      <c r="B24" s="112" t="str">
        <f aca="false">Checks!$K$457&amp;IF(Checks!$O$457="","",IF(Checks!$K$457="","",CHAR(10))&amp;"Note: "&amp;Checks!$O$457)</f>
        <v>Menu card matches approved menu for this flight</v>
      </c>
      <c r="C24" s="112" t="str">
        <f aca="false">Checks!$N$457&amp;CHAR(10)&amp;IF(ISNUMBER(Checks!$R$457),TEXT(Checks!$R$457,"DD-MMM-YY HH:MM"),"")&amp;" "&amp;Checks!$P$457</f>
        <v>Required
08-Oct-26 09:50 KUL</v>
      </c>
      <c r="D24" s="112" t="str">
        <f aca="false">IF(Checks!$U$457="","",Checks!$U$457)&amp;IF(Checks!$AB$457="","",CHAR(10)&amp;"CA: "&amp;Checks!$AB$457)</f>
        <v/>
      </c>
      <c r="E24" s="112" t="str">
        <f aca="false">IF(Checks!$V$457="","",Checks!$V$457)&amp;IF(Checks!$AC$457="","",IF(Checks!$V$457="","",CHAR(10))&amp;"N/A just.: "&amp;Checks!$AC$457)&amp;IF(Checks!$W$457="","",CHAR(10)&amp;"Batch: "&amp;Checks!$W$457)&amp;IF(AND(Checks!$X$457="",Checks!$Y$457=""),"",CHAR(10)&amp;"Exp: "&amp;Checks!$X$457&amp;"  /  Act: "&amp;Checks!$Y$457)</f>
        <v/>
      </c>
      <c r="F24" s="112" t="str">
        <f aca="false">IF(Checks!$Z$457="","","Evidence: "&amp;Checks!$Z$457)&amp;IF(Checks!$AA$457="","",IF(Checks!$Z$457="","",CHAR(10))&amp;"CA: "&amp;Checks!$AA$457)</f>
        <v/>
      </c>
      <c r="G24" s="112" t="str">
        <f aca="false">IF(ISNUMBER(Checks!$AD$457),TEXT(Checks!$AD$457,"DD-MMM-YY HH:MM")&amp;" "&amp;Checks!$P$457,"")&amp;IF(Checks!$AE$457="","",CHAR(10)&amp;"Verifier: "&amp;Checks!$AE$457)&amp;IF(Checks!$T$457="","",CHAR(10)&amp;"PIC: "&amp;Checks!$T$457)</f>
        <v/>
      </c>
      <c r="H24" s="113" t="str">
        <f aca="false">IF(Checks!$AH$457="","",Checks!$AH$457)</f>
        <v>OPEN</v>
      </c>
    </row>
    <row r="25" customFormat="false" ht="114" hidden="false" customHeight="true" outlineLevel="0" collapsed="false">
      <c r="A25" s="112" t="str">
        <f aca="false">Checks!$A$458&amp;CHAR(10)&amp;IF(Checks!$I$458="","",Checks!$I$458&amp;": ")&amp;Checks!$J$458</f>
        <v>F14-T7-03
IFE: Digital menu in IFE confirmed (A339 only)</v>
      </c>
      <c r="B25" s="112" t="str">
        <f aca="false">Checks!$K$458&amp;IF(Checks!$O$458="","",IF(Checks!$K$458="","",CHAR(10))&amp;"Note: "&amp;Checks!$O$458)</f>
        <v>Applies when fleet = A339
Note: Digital IFE menu applies to A339 only (user brief). Applicability follows the Fleet cell on Flights.</v>
      </c>
      <c r="C25" s="112" t="str">
        <f aca="false">Checks!$N$458&amp;CHAR(10)&amp;IF(ISNUMBER(Checks!$R$458),TEXT(Checks!$R$458,"DD-MMM-YY HH:MM"),"")&amp;" "&amp;Checks!$P$458</f>
        <v>N/A – rule
08-Oct-26 09:50 KUL</v>
      </c>
      <c r="D25" s="112" t="str">
        <f aca="false">IF(Checks!$U$458="","",Checks!$U$458)&amp;IF(Checks!$AB$458="","",CHAR(10)&amp;"CA: "&amp;Checks!$AB$458)</f>
        <v/>
      </c>
      <c r="E25" s="112" t="str">
        <f aca="false">IF(Checks!$V$458="","",Checks!$V$458)&amp;IF(Checks!$AC$458="","",IF(Checks!$V$458="","",CHAR(10))&amp;"N/A just.: "&amp;Checks!$AC$458)&amp;IF(Checks!$W$458="","",CHAR(10)&amp;"Batch: "&amp;Checks!$W$458)&amp;IF(AND(Checks!$X$458="",Checks!$Y$458=""),"",CHAR(10)&amp;"Exp: "&amp;Checks!$X$458&amp;"  /  Act: "&amp;Checks!$Y$458)</f>
        <v/>
      </c>
      <c r="F25" s="112" t="str">
        <f aca="false">IF(Checks!$Z$458="","","Evidence: "&amp;Checks!$Z$458)&amp;IF(Checks!$AA$458="","",IF(Checks!$Z$458="","",CHAR(10))&amp;"CA: "&amp;Checks!$AA$458)</f>
        <v/>
      </c>
      <c r="G25" s="112" t="str">
        <f aca="false">IF(ISNUMBER(Checks!$AD$458),TEXT(Checks!$AD$458,"DD-MMM-YY HH:MM")&amp;" "&amp;Checks!$P$458,"")&amp;IF(Checks!$AE$458="","",CHAR(10)&amp;"Verifier: "&amp;Checks!$AE$458)&amp;IF(Checks!$T$458="","",CHAR(10)&amp;"PIC: "&amp;Checks!$T$458)</f>
        <v/>
      </c>
      <c r="H25" s="113" t="str">
        <f aca="false">IF(Checks!$AH$458="","",Checks!$AH$458)</f>
        <v>N/A – RULE</v>
      </c>
    </row>
    <row r="26" customFormat="false" ht="114" hidden="false" customHeight="true" outlineLevel="0" collapsed="false">
      <c r="A26" s="112" t="str">
        <f aca="false">Checks!$A$459&amp;CHAR(10)&amp;IF(Checks!$I$459="","",Checks!$I$459&amp;": ")&amp;Checks!$J$459</f>
        <v>F14-T7-04
Staffing: Experienced catering officer assigned to this flight</v>
      </c>
      <c r="B26" s="112" t="str">
        <f aca="false">Checks!$K$459&amp;IF(Checks!$O$459="","",IF(Checks!$K$459="","",CHAR(10))&amp;"Note: "&amp;Checks!$O$459)</f>
        <v>Record officer name in Result</v>
      </c>
      <c r="C26" s="112" t="str">
        <f aca="false">Checks!$N$459&amp;CHAR(10)&amp;IF(ISNUMBER(Checks!$R$459),TEXT(Checks!$R$459,"DD-MMM-YY HH:MM"),"")&amp;" "&amp;Checks!$P$459</f>
        <v>Required
08-Oct-26 09:50 KUL</v>
      </c>
      <c r="D26" s="112" t="str">
        <f aca="false">IF(Checks!$U$459="","",Checks!$U$459)&amp;IF(Checks!$AB$459="","",CHAR(10)&amp;"CA: "&amp;Checks!$AB$459)</f>
        <v/>
      </c>
      <c r="E26" s="112" t="str">
        <f aca="false">IF(Checks!$V$459="","",Checks!$V$459)&amp;IF(Checks!$AC$459="","",IF(Checks!$V$459="","",CHAR(10))&amp;"N/A just.: "&amp;Checks!$AC$459)&amp;IF(Checks!$W$459="","",CHAR(10)&amp;"Batch: "&amp;Checks!$W$459)&amp;IF(AND(Checks!$X$459="",Checks!$Y$459=""),"",CHAR(10)&amp;"Exp: "&amp;Checks!$X$459&amp;"  /  Act: "&amp;Checks!$Y$459)</f>
        <v/>
      </c>
      <c r="F26" s="112" t="str">
        <f aca="false">IF(Checks!$Z$459="","","Evidence: "&amp;Checks!$Z$459)&amp;IF(Checks!$AA$459="","",IF(Checks!$Z$459="","",CHAR(10))&amp;"CA: "&amp;Checks!$AA$459)</f>
        <v/>
      </c>
      <c r="G26" s="112" t="str">
        <f aca="false">IF(ISNUMBER(Checks!$AD$459),TEXT(Checks!$AD$459,"DD-MMM-YY HH:MM")&amp;" "&amp;Checks!$P$459,"")&amp;IF(Checks!$AE$459="","",CHAR(10)&amp;"Verifier: "&amp;Checks!$AE$459)&amp;IF(Checks!$T$459="","",CHAR(10)&amp;"PIC: "&amp;Checks!$T$459)</f>
        <v/>
      </c>
      <c r="H26" s="113" t="str">
        <f aca="false">IF(Checks!$AH$459="","",Checks!$AH$459)</f>
        <v>OPEN</v>
      </c>
    </row>
    <row r="27" customFormat="false" ht="114" hidden="false" customHeight="true" outlineLevel="0" collapsed="false">
      <c r="A27" s="112" t="str">
        <f aca="false">Checks!$A$460&amp;CHAR(10)&amp;IF(Checks!$I$460="","",Checks!$I$460&amp;": ")&amp;Checks!$J$460</f>
        <v>F14-T7-05
ISOP: All latest applicable ISOP revisions communicated to caterer</v>
      </c>
      <c r="B27" s="112" t="str">
        <f aca="false">Checks!$K$460&amp;IF(Checks!$O$460="","",IF(Checks!$K$460="","",CHAR(10))&amp;"Note: "&amp;Checks!$O$460)</f>
        <v>List revision numbers in Result (see ISOP register)</v>
      </c>
      <c r="C27" s="112" t="str">
        <f aca="false">Checks!$N$460&amp;CHAR(10)&amp;IF(ISNUMBER(Checks!$R$460),TEXT(Checks!$R$460,"DD-MMM-YY HH:MM"),"")&amp;" "&amp;Checks!$P$460</f>
        <v>Required
08-Oct-26 09:50 KUL</v>
      </c>
      <c r="D27" s="112" t="str">
        <f aca="false">IF(Checks!$U$460="","",Checks!$U$460)&amp;IF(Checks!$AB$460="","",CHAR(10)&amp;"CA: "&amp;Checks!$AB$460)</f>
        <v/>
      </c>
      <c r="E27" s="112" t="str">
        <f aca="false">IF(Checks!$V$460="","",Checks!$V$460)&amp;IF(Checks!$AC$460="","",IF(Checks!$V$460="","",CHAR(10))&amp;"N/A just.: "&amp;Checks!$AC$460)&amp;IF(Checks!$W$460="","",CHAR(10)&amp;"Batch: "&amp;Checks!$W$460)&amp;IF(AND(Checks!$X$460="",Checks!$Y$460=""),"",CHAR(10)&amp;"Exp: "&amp;Checks!$X$460&amp;"  /  Act: "&amp;Checks!$Y$460)</f>
        <v/>
      </c>
      <c r="F27" s="112" t="str">
        <f aca="false">IF(Checks!$Z$460="","","Evidence: "&amp;Checks!$Z$460)&amp;IF(Checks!$AA$460="","",IF(Checks!$Z$460="","",CHAR(10))&amp;"CA: "&amp;Checks!$AA$460)</f>
        <v/>
      </c>
      <c r="G27" s="112" t="str">
        <f aca="false">IF(ISNUMBER(Checks!$AD$460),TEXT(Checks!$AD$460,"DD-MMM-YY HH:MM")&amp;" "&amp;Checks!$P$460,"")&amp;IF(Checks!$AE$460="","",CHAR(10)&amp;"Verifier: "&amp;Checks!$AE$460)&amp;IF(Checks!$T$460="","",CHAR(10)&amp;"PIC: "&amp;Checks!$T$460)</f>
        <v/>
      </c>
      <c r="H27" s="113" t="str">
        <f aca="false">IF(Checks!$AH$460="","",Checks!$AH$460)</f>
        <v>OPEN</v>
      </c>
    </row>
    <row r="28" customFormat="false" ht="114" hidden="false" customHeight="true" outlineLevel="0" collapsed="false">
      <c r="A28" s="112" t="str">
        <f aca="false">Checks!$A$461&amp;CHAR(10)&amp;IF(Checks!$I$461="","",Checks!$I$461&amp;": ")&amp;Checks!$J$461</f>
        <v>F14-T7-06
ISOP: Caterer acknowledgement of ISOP revisions recorded</v>
      </c>
      <c r="B28" s="112" t="str">
        <f aca="false">Checks!$K$461&amp;IF(Checks!$O$461="","",IF(Checks!$K$461="","",CHAR(10))&amp;"Note: "&amp;Checks!$O$461)</f>
        <v>Record acknowledgement ref in Evidence</v>
      </c>
      <c r="C28" s="112" t="str">
        <f aca="false">Checks!$N$461&amp;CHAR(10)&amp;IF(ISNUMBER(Checks!$R$461),TEXT(Checks!$R$461,"DD-MMM-YY HH:MM"),"")&amp;" "&amp;Checks!$P$461</f>
        <v>Required
08-Oct-26 09:50 KUL</v>
      </c>
      <c r="D28" s="112" t="str">
        <f aca="false">IF(Checks!$U$461="","",Checks!$U$461)&amp;IF(Checks!$AB$461="","",CHAR(10)&amp;"CA: "&amp;Checks!$AB$461)</f>
        <v/>
      </c>
      <c r="E28" s="112" t="str">
        <f aca="false">IF(Checks!$V$461="","",Checks!$V$461)&amp;IF(Checks!$AC$461="","",IF(Checks!$V$461="","",CHAR(10))&amp;"N/A just.: "&amp;Checks!$AC$461)&amp;IF(Checks!$W$461="","",CHAR(10)&amp;"Batch: "&amp;Checks!$W$461)&amp;IF(AND(Checks!$X$461="",Checks!$Y$461=""),"",CHAR(10)&amp;"Exp: "&amp;Checks!$X$461&amp;"  /  Act: "&amp;Checks!$Y$461)</f>
        <v/>
      </c>
      <c r="F28" s="112" t="str">
        <f aca="false">IF(Checks!$Z$461="","","Evidence: "&amp;Checks!$Z$461)&amp;IF(Checks!$AA$461="","",IF(Checks!$Z$461="","",CHAR(10))&amp;"CA: "&amp;Checks!$AA$461)</f>
        <v/>
      </c>
      <c r="G28" s="112" t="str">
        <f aca="false">IF(ISNUMBER(Checks!$AD$461),TEXT(Checks!$AD$461,"DD-MMM-YY HH:MM")&amp;" "&amp;Checks!$P$461,"")&amp;IF(Checks!$AE$461="","",CHAR(10)&amp;"Verifier: "&amp;Checks!$AE$461)&amp;IF(Checks!$T$461="","",CHAR(10)&amp;"PIC: "&amp;Checks!$T$461)</f>
        <v/>
      </c>
      <c r="H28" s="113" t="str">
        <f aca="false">IF(Checks!$AH$461="","",Checks!$AH$461)</f>
        <v>OPEN</v>
      </c>
    </row>
    <row r="29" customFormat="false" ht="114" hidden="false" customHeight="true" outlineLevel="0" collapsed="false">
      <c r="A29" s="112" t="str">
        <f aca="false">Checks!$A$462&amp;CHAR(10)&amp;IF(Checks!$I$462="","",Checks!$I$462&amp;": ")&amp;Checks!$J$462</f>
        <v>F14-T7-07
Documents: Galley loading diagram (GLD) received, revision recorded &amp; attached</v>
      </c>
      <c r="B29" s="112" t="str">
        <f aca="false">Checks!$K$462&amp;IF(Checks!$O$462="","",IF(Checks!$K$462="","",CHAR(10))&amp;"Note: "&amp;Checks!$O$462)</f>
        <v>Documents sheet row complete</v>
      </c>
      <c r="C29" s="112" t="str">
        <f aca="false">Checks!$N$462&amp;CHAR(10)&amp;IF(ISNUMBER(Checks!$R$462),TEXT(Checks!$R$462,"DD-MMM-YY HH:MM"),"")&amp;" "&amp;Checks!$P$462</f>
        <v>Required
08-Oct-26 09:50 KUL</v>
      </c>
      <c r="D29" s="112" t="str">
        <f aca="false">IF(Checks!$U$462="","",Checks!$U$462)&amp;IF(Checks!$AB$462="","",CHAR(10)&amp;"CA: "&amp;Checks!$AB$462)</f>
        <v/>
      </c>
      <c r="E29" s="112" t="str">
        <f aca="false">IF(Checks!$V$462="","",Checks!$V$462)&amp;IF(Checks!$AC$462="","",IF(Checks!$V$462="","",CHAR(10))&amp;"N/A just.: "&amp;Checks!$AC$462)&amp;IF(Checks!$W$462="","",CHAR(10)&amp;"Batch: "&amp;Checks!$W$462)&amp;IF(AND(Checks!$X$462="",Checks!$Y$462=""),"",CHAR(10)&amp;"Exp: "&amp;Checks!$X$462&amp;"  /  Act: "&amp;Checks!$Y$462)</f>
        <v/>
      </c>
      <c r="F29" s="112" t="str">
        <f aca="false">IF(Checks!$Z$462="","","Evidence: "&amp;Checks!$Z$462)&amp;IF(Checks!$AA$462="","",IF(Checks!$Z$462="","",CHAR(10))&amp;"CA: "&amp;Checks!$AA$462)</f>
        <v/>
      </c>
      <c r="G29" s="112" t="str">
        <f aca="false">IF(ISNUMBER(Checks!$AD$462),TEXT(Checks!$AD$462,"DD-MMM-YY HH:MM")&amp;" "&amp;Checks!$P$462,"")&amp;IF(Checks!$AE$462="","",CHAR(10)&amp;"Verifier: "&amp;Checks!$AE$462)&amp;IF(Checks!$T$462="","",CHAR(10)&amp;"PIC: "&amp;Checks!$T$462)</f>
        <v/>
      </c>
      <c r="H29" s="113" t="str">
        <f aca="false">IF(Checks!$AH$462="","",Checks!$AH$462)</f>
        <v>OPEN</v>
      </c>
    </row>
    <row r="30" customFormat="false" ht="114" hidden="false" customHeight="true" outlineLevel="0" collapsed="false">
      <c r="A30" s="112" t="str">
        <f aca="false">Checks!$A$463&amp;CHAR(10)&amp;IF(Checks!$I$463="","",Checks!$I$463&amp;": ")&amp;Checks!$J$463</f>
        <v>F14-T7-08
Documents: Menu checklist received, revision recorded &amp; attached</v>
      </c>
      <c r="B30" s="112" t="str">
        <f aca="false">Checks!$K$463&amp;IF(Checks!$O$463="","",IF(Checks!$K$463="","",CHAR(10))&amp;"Note: "&amp;Checks!$O$463)</f>
        <v>Documents sheet row complete</v>
      </c>
      <c r="C30" s="112" t="str">
        <f aca="false">Checks!$N$463&amp;CHAR(10)&amp;IF(ISNUMBER(Checks!$R$463),TEXT(Checks!$R$463,"DD-MMM-YY HH:MM"),"")&amp;" "&amp;Checks!$P$463</f>
        <v>Required
08-Oct-26 09:50 KUL</v>
      </c>
      <c r="D30" s="112" t="str">
        <f aca="false">IF(Checks!$U$463="","",Checks!$U$463)&amp;IF(Checks!$AB$463="","",CHAR(10)&amp;"CA: "&amp;Checks!$AB$463)</f>
        <v/>
      </c>
      <c r="E30" s="112" t="str">
        <f aca="false">IF(Checks!$V$463="","",Checks!$V$463)&amp;IF(Checks!$AC$463="","",IF(Checks!$V$463="","",CHAR(10))&amp;"N/A just.: "&amp;Checks!$AC$463)&amp;IF(Checks!$W$463="","",CHAR(10)&amp;"Batch: "&amp;Checks!$W$463)&amp;IF(AND(Checks!$X$463="",Checks!$Y$463=""),"",CHAR(10)&amp;"Exp: "&amp;Checks!$X$463&amp;"  /  Act: "&amp;Checks!$Y$463)</f>
        <v/>
      </c>
      <c r="F30" s="112" t="str">
        <f aca="false">IF(Checks!$Z$463="","","Evidence: "&amp;Checks!$Z$463)&amp;IF(Checks!$AA$463="","",IF(Checks!$Z$463="","",CHAR(10))&amp;"CA: "&amp;Checks!$AA$463)</f>
        <v/>
      </c>
      <c r="G30" s="112" t="str">
        <f aca="false">IF(ISNUMBER(Checks!$AD$463),TEXT(Checks!$AD$463,"DD-MMM-YY HH:MM")&amp;" "&amp;Checks!$P$463,"")&amp;IF(Checks!$AE$463="","",CHAR(10)&amp;"Verifier: "&amp;Checks!$AE$463)&amp;IF(Checks!$T$463="","",CHAR(10)&amp;"PIC: "&amp;Checks!$T$463)</f>
        <v/>
      </c>
      <c r="H30" s="113" t="str">
        <f aca="false">IF(Checks!$AH$463="","",Checks!$AH$463)</f>
        <v>OPEN</v>
      </c>
    </row>
    <row r="31" customFormat="false" ht="114" hidden="false" customHeight="true" outlineLevel="0" collapsed="false">
      <c r="A31" s="112" t="str">
        <f aca="false">Checks!$A$464&amp;CHAR(10)&amp;IF(Checks!$I$464="","",Checks!$I$464&amp;": ")&amp;Checks!$J$464</f>
        <v>F14-T7-09
Uplift plan: Uplift plan confirmed with caterer vs STD Uplift Information</v>
      </c>
      <c r="B31" s="112" t="str">
        <f aca="false">Checks!$K$464&amp;IF(Checks!$O$464="","",IF(Checks!$K$464="","",CHAR(10))&amp;"Note: "&amp;Checks!$O$464)</f>
        <v>Service: 2.5 Meal (Meal); meal uplift stn KUL (ref lists KUL/LHR)</v>
      </c>
      <c r="C31" s="112" t="str">
        <f aca="false">Checks!$N$464&amp;CHAR(10)&amp;IF(ISNUMBER(Checks!$R$464),TEXT(Checks!$R$464,"DD-MMM-YY HH:MM"),"")&amp;" "&amp;Checks!$P$464</f>
        <v>Required
08-Oct-26 09:50 KUL</v>
      </c>
      <c r="D31" s="112" t="str">
        <f aca="false">IF(Checks!$U$464="","",Checks!$U$464)&amp;IF(Checks!$AB$464="","",CHAR(10)&amp;"CA: "&amp;Checks!$AB$464)</f>
        <v/>
      </c>
      <c r="E31" s="112" t="str">
        <f aca="false">IF(Checks!$V$464="","",Checks!$V$464)&amp;IF(Checks!$AC$464="","",IF(Checks!$V$464="","",CHAR(10))&amp;"N/A just.: "&amp;Checks!$AC$464)&amp;IF(Checks!$W$464="","",CHAR(10)&amp;"Batch: "&amp;Checks!$W$464)&amp;IF(AND(Checks!$X$464="",Checks!$Y$464=""),"",CHAR(10)&amp;"Exp: "&amp;Checks!$X$464&amp;"  /  Act: "&amp;Checks!$Y$464)</f>
        <v/>
      </c>
      <c r="F31" s="112" t="str">
        <f aca="false">IF(Checks!$Z$464="","","Evidence: "&amp;Checks!$Z$464)&amp;IF(Checks!$AA$464="","",IF(Checks!$Z$464="","",CHAR(10))&amp;"CA: "&amp;Checks!$AA$464)</f>
        <v/>
      </c>
      <c r="G31" s="112" t="str">
        <f aca="false">IF(ISNUMBER(Checks!$AD$464),TEXT(Checks!$AD$464,"DD-MMM-YY HH:MM")&amp;" "&amp;Checks!$P$464,"")&amp;IF(Checks!$AE$464="","",CHAR(10)&amp;"Verifier: "&amp;Checks!$AE$464)&amp;IF(Checks!$T$464="","",CHAR(10)&amp;"PIC: "&amp;Checks!$T$464)</f>
        <v/>
      </c>
      <c r="H31" s="113" t="str">
        <f aca="false">IF(Checks!$AH$464="","",Checks!$AH$464)</f>
        <v>OPEN</v>
      </c>
    </row>
    <row r="32" customFormat="false" ht="25.5" hidden="false" customHeight="true" outlineLevel="0" collapsed="false">
      <c r="A32" s="111"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Checks!$A$465&amp;CHAR(10)&amp;IF(Checks!$I$465="","",Checks!$I$465&amp;": ")&amp;Checks!$J$465</f>
        <v>F14-T24-01
Meal: Sensory test repeated on ACTUAL production batch for this flight</v>
      </c>
      <c r="B33" s="112" t="str">
        <f aca="false">Checks!$K$465&amp;IF(Checks!$O$465="","",IF(Checks!$K$465="","",CHAR(10))&amp;"Note: "&amp;Checks!$O$465)</f>
        <v>Batch ID, result, CA and acceptance mandatory</v>
      </c>
      <c r="C33" s="112" t="str">
        <f aca="false">Checks!$N$465&amp;CHAR(10)&amp;IF(ISNUMBER(Checks!$R$465),TEXT(Checks!$R$465,"DD-MMM-YY HH:MM"),"")&amp;" "&amp;Checks!$P$465</f>
        <v>Required
14-Oct-26 09:50 KUL</v>
      </c>
      <c r="D33" s="112" t="str">
        <f aca="false">IF(Checks!$U$465="","",Checks!$U$465)&amp;IF(Checks!$AB$465="","",CHAR(10)&amp;"CA: "&amp;Checks!$AB$465)</f>
        <v/>
      </c>
      <c r="E33" s="112" t="str">
        <f aca="false">IF(Checks!$V$465="","",Checks!$V$465)&amp;IF(Checks!$AC$465="","",IF(Checks!$V$465="","",CHAR(10))&amp;"N/A just.: "&amp;Checks!$AC$465)&amp;IF(Checks!$W$465="","",CHAR(10)&amp;"Batch: "&amp;Checks!$W$465)&amp;IF(AND(Checks!$X$465="",Checks!$Y$465=""),"",CHAR(10)&amp;"Exp: "&amp;Checks!$X$465&amp;"  /  Act: "&amp;Checks!$Y$465)</f>
        <v/>
      </c>
      <c r="F33" s="112" t="str">
        <f aca="false">IF(Checks!$Z$465="","","Evidence: "&amp;Checks!$Z$465)&amp;IF(Checks!$AA$465="","",IF(Checks!$Z$465="","",CHAR(10))&amp;"CA: "&amp;Checks!$AA$465)</f>
        <v/>
      </c>
      <c r="G33" s="112" t="str">
        <f aca="false">IF(ISNUMBER(Checks!$AD$465),TEXT(Checks!$AD$465,"DD-MMM-YY HH:MM")&amp;" "&amp;Checks!$P$465,"")&amp;IF(Checks!$AE$465="","",CHAR(10)&amp;"Verifier: "&amp;Checks!$AE$465)&amp;IF(Checks!$T$465="","",CHAR(10)&amp;"PIC: "&amp;Checks!$T$465)</f>
        <v/>
      </c>
      <c r="H33" s="113" t="str">
        <f aca="false">IF(Checks!$AH$465="","",Checks!$AH$465)</f>
        <v>OPEN</v>
      </c>
    </row>
    <row r="34" customFormat="false" ht="25.5" hidden="false" customHeight="true" outlineLevel="0" collapsed="false">
      <c r="A34" s="111"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1"/>
      <c r="C34" s="111"/>
      <c r="D34" s="111"/>
      <c r="E34" s="111"/>
      <c r="F34" s="111"/>
      <c r="G34" s="111"/>
      <c r="H34" s="111"/>
    </row>
    <row r="35" customFormat="false" ht="114" hidden="false" customHeight="true" outlineLevel="0" collapsed="false">
      <c r="A35" s="112" t="str">
        <f aca="false">Checks!$A$466&amp;CHAR(10)&amp;IF(Checks!$I$466="","",Checks!$I$466&amp;": ")&amp;Checks!$J$466</f>
        <v>F14-T12-01
Meal: Meal quality vs menu checklist</v>
      </c>
      <c r="B35" s="112" t="str">
        <f aca="false">Checks!$K$466&amp;IF(Checks!$O$466="","",IF(Checks!$K$466="","",CHAR(10))&amp;"Note: "&amp;Checks!$O$466)</f>
        <v>Note: Preparation check at caterer - does NOT confirm loading.</v>
      </c>
      <c r="C35" s="112" t="str">
        <f aca="false">Checks!$N$466&amp;CHAR(10)&amp;IF(ISNUMBER(Checks!$R$466),TEXT(Checks!$R$466,"DD-MMM-YY HH:MM"),"")&amp;" "&amp;Checks!$P$466</f>
        <v>Required
14-Oct-26 21:50 KUL</v>
      </c>
      <c r="D35" s="112" t="str">
        <f aca="false">IF(Checks!$U$466="","",Checks!$U$466)&amp;IF(Checks!$AB$466="","",CHAR(10)&amp;"CA: "&amp;Checks!$AB$466)</f>
        <v/>
      </c>
      <c r="E35" s="112" t="str">
        <f aca="false">IF(Checks!$V$466="","",Checks!$V$466)&amp;IF(Checks!$AC$466="","",IF(Checks!$V$466="","",CHAR(10))&amp;"N/A just.: "&amp;Checks!$AC$466)&amp;IF(Checks!$W$466="","",CHAR(10)&amp;"Batch: "&amp;Checks!$W$466)&amp;IF(AND(Checks!$X$466="",Checks!$Y$466=""),"",CHAR(10)&amp;"Exp: "&amp;Checks!$X$466&amp;"  /  Act: "&amp;Checks!$Y$466)</f>
        <v/>
      </c>
      <c r="F35" s="112" t="str">
        <f aca="false">IF(Checks!$Z$466="","","Evidence: "&amp;Checks!$Z$466)&amp;IF(Checks!$AA$466="","",IF(Checks!$Z$466="","",CHAR(10))&amp;"CA: "&amp;Checks!$AA$466)</f>
        <v/>
      </c>
      <c r="G35" s="112" t="str">
        <f aca="false">IF(ISNUMBER(Checks!$AD$466),TEXT(Checks!$AD$466,"DD-MMM-YY HH:MM")&amp;" "&amp;Checks!$P$466,"")&amp;IF(Checks!$AE$466="","",CHAR(10)&amp;"Verifier: "&amp;Checks!$AE$466)&amp;IF(Checks!$T$466="","",CHAR(10)&amp;"PIC: "&amp;Checks!$T$466)</f>
        <v/>
      </c>
      <c r="H35" s="113" t="str">
        <f aca="false">IF(Checks!$AH$466="","",Checks!$AH$466)</f>
        <v>OPEN</v>
      </c>
    </row>
    <row r="36" customFormat="false" ht="114" hidden="false" customHeight="true" outlineLevel="0" collapsed="false">
      <c r="A36" s="112" t="str">
        <f aca="false">Checks!$A$467&amp;CHAR(10)&amp;IF(Checks!$I$467="","",Checks!$I$467&amp;": ")&amp;Checks!$J$467</f>
        <v>F14-T12-02
Meal: Meal quantities vs menu checklist</v>
      </c>
      <c r="B36" s="112" t="str">
        <f aca="false">Checks!$K$467&amp;IF(Checks!$O$467="","",IF(Checks!$K$467="","",CHAR(10))&amp;"Note: "&amp;Checks!$O$467)</f>
        <v>Enter expected &amp; actual
Note: Preparation check at caterer - does NOT confirm loading.</v>
      </c>
      <c r="C36" s="112" t="str">
        <f aca="false">Checks!$N$467&amp;CHAR(10)&amp;IF(ISNUMBER(Checks!$R$467),TEXT(Checks!$R$467,"DD-MMM-YY HH:MM"),"")&amp;" "&amp;Checks!$P$467</f>
        <v>Required
14-Oct-26 21:50 KUL</v>
      </c>
      <c r="D36" s="112" t="str">
        <f aca="false">IF(Checks!$U$467="","",Checks!$U$467)&amp;IF(Checks!$AB$467="","",CHAR(10)&amp;"CA: "&amp;Checks!$AB$467)</f>
        <v/>
      </c>
      <c r="E36" s="112" t="str">
        <f aca="false">IF(Checks!$V$467="","",Checks!$V$467)&amp;IF(Checks!$AC$467="","",IF(Checks!$V$467="","",CHAR(10))&amp;"N/A just.: "&amp;Checks!$AC$467)&amp;IF(Checks!$W$467="","",CHAR(10)&amp;"Batch: "&amp;Checks!$W$467)&amp;IF(AND(Checks!$X$467="",Checks!$Y$467=""),"",CHAR(10)&amp;"Exp: "&amp;Checks!$X$467&amp;"  /  Act: "&amp;Checks!$Y$467)</f>
        <v/>
      </c>
      <c r="F36" s="112" t="str">
        <f aca="false">IF(Checks!$Z$467="","","Evidence: "&amp;Checks!$Z$467)&amp;IF(Checks!$AA$467="","",IF(Checks!$Z$467="","",CHAR(10))&amp;"CA: "&amp;Checks!$AA$467)</f>
        <v/>
      </c>
      <c r="G36" s="112" t="str">
        <f aca="false">IF(ISNUMBER(Checks!$AD$467),TEXT(Checks!$AD$467,"DD-MMM-YY HH:MM")&amp;" "&amp;Checks!$P$467,"")&amp;IF(Checks!$AE$467="","",CHAR(10)&amp;"Verifier: "&amp;Checks!$AE$467)&amp;IF(Checks!$T$467="","",CHAR(10)&amp;"PIC: "&amp;Checks!$T$467)</f>
        <v/>
      </c>
      <c r="H36" s="113" t="str">
        <f aca="false">IF(Checks!$AH$467="","",Checks!$AH$467)</f>
        <v>OPEN</v>
      </c>
    </row>
    <row r="37" customFormat="false" ht="114" hidden="false" customHeight="true" outlineLevel="0" collapsed="false">
      <c r="A37" s="112" t="str">
        <f aca="false">Checks!$A$468&amp;CHAR(10)&amp;IF(Checks!$I$468="","",Checks!$I$468&amp;": ")&amp;Checks!$J$468</f>
        <v>F14-T12-03
Equipment: Equipment cleanliness vs GLD</v>
      </c>
      <c r="B37" s="112" t="str">
        <f aca="false">Checks!$K$468&amp;IF(Checks!$O$468="","",IF(Checks!$K$468="","",CHAR(10))&amp;"Note: "&amp;Checks!$O$468)</f>
        <v>Note: Preparation check at caterer - does NOT confirm loading.</v>
      </c>
      <c r="C37" s="112" t="str">
        <f aca="false">Checks!$N$468&amp;CHAR(10)&amp;IF(ISNUMBER(Checks!$R$468),TEXT(Checks!$R$468,"DD-MMM-YY HH:MM"),"")&amp;" "&amp;Checks!$P$468</f>
        <v>Required
14-Oct-26 21:50 KUL</v>
      </c>
      <c r="D37" s="112" t="str">
        <f aca="false">IF(Checks!$U$468="","",Checks!$U$468)&amp;IF(Checks!$AB$468="","",CHAR(10)&amp;"CA: "&amp;Checks!$AB$468)</f>
        <v/>
      </c>
      <c r="E37" s="112" t="str">
        <f aca="false">IF(Checks!$V$468="","",Checks!$V$468)&amp;IF(Checks!$AC$468="","",IF(Checks!$V$468="","",CHAR(10))&amp;"N/A just.: "&amp;Checks!$AC$468)&amp;IF(Checks!$W$468="","",CHAR(10)&amp;"Batch: "&amp;Checks!$W$468)&amp;IF(AND(Checks!$X$468="",Checks!$Y$468=""),"",CHAR(10)&amp;"Exp: "&amp;Checks!$X$468&amp;"  /  Act: "&amp;Checks!$Y$468)</f>
        <v/>
      </c>
      <c r="F37" s="112" t="str">
        <f aca="false">IF(Checks!$Z$468="","","Evidence: "&amp;Checks!$Z$468)&amp;IF(Checks!$AA$468="","",IF(Checks!$Z$468="","",CHAR(10))&amp;"CA: "&amp;Checks!$AA$468)</f>
        <v/>
      </c>
      <c r="G37" s="112" t="str">
        <f aca="false">IF(ISNUMBER(Checks!$AD$468),TEXT(Checks!$AD$468,"DD-MMM-YY HH:MM")&amp;" "&amp;Checks!$P$468,"")&amp;IF(Checks!$AE$468="","",CHAR(10)&amp;"Verifier: "&amp;Checks!$AE$468)&amp;IF(Checks!$T$468="","",CHAR(10)&amp;"PIC: "&amp;Checks!$T$468)</f>
        <v/>
      </c>
      <c r="H37" s="113" t="str">
        <f aca="false">IF(Checks!$AH$468="","",Checks!$AH$468)</f>
        <v>OPEN</v>
      </c>
    </row>
    <row r="38" customFormat="false" ht="114" hidden="false" customHeight="true" outlineLevel="0" collapsed="false">
      <c r="A38" s="112" t="str">
        <f aca="false">Checks!$A$469&amp;CHAR(10)&amp;IF(Checks!$I$469="","",Checks!$I$469&amp;": ")&amp;Checks!$J$469</f>
        <v>F14-T12-04
Equipment: Equipment presentation vs GLD</v>
      </c>
      <c r="B38" s="112" t="str">
        <f aca="false">Checks!$K$469&amp;IF(Checks!$O$469="","",IF(Checks!$K$469="","",CHAR(10))&amp;"Note: "&amp;Checks!$O$469)</f>
        <v>Note: Preparation check at caterer - does NOT confirm loading.</v>
      </c>
      <c r="C38" s="112" t="str">
        <f aca="false">Checks!$N$469&amp;CHAR(10)&amp;IF(ISNUMBER(Checks!$R$469),TEXT(Checks!$R$469,"DD-MMM-YY HH:MM"),"")&amp;" "&amp;Checks!$P$469</f>
        <v>Required
14-Oct-26 21:50 KUL</v>
      </c>
      <c r="D38" s="112" t="str">
        <f aca="false">IF(Checks!$U$469="","",Checks!$U$469)&amp;IF(Checks!$AB$469="","",CHAR(10)&amp;"CA: "&amp;Checks!$AB$469)</f>
        <v/>
      </c>
      <c r="E38" s="112" t="str">
        <f aca="false">IF(Checks!$V$469="","",Checks!$V$469)&amp;IF(Checks!$AC$469="","",IF(Checks!$V$469="","",CHAR(10))&amp;"N/A just.: "&amp;Checks!$AC$469)&amp;IF(Checks!$W$469="","",CHAR(10)&amp;"Batch: "&amp;Checks!$W$469)&amp;IF(AND(Checks!$X$469="",Checks!$Y$469=""),"",CHAR(10)&amp;"Exp: "&amp;Checks!$X$469&amp;"  /  Act: "&amp;Checks!$Y$469)</f>
        <v/>
      </c>
      <c r="F38" s="112" t="str">
        <f aca="false">IF(Checks!$Z$469="","","Evidence: "&amp;Checks!$Z$469)&amp;IF(Checks!$AA$469="","",IF(Checks!$Z$469="","",CHAR(10))&amp;"CA: "&amp;Checks!$AA$469)</f>
        <v/>
      </c>
      <c r="G38" s="112" t="str">
        <f aca="false">IF(ISNUMBER(Checks!$AD$469),TEXT(Checks!$AD$469,"DD-MMM-YY HH:MM")&amp;" "&amp;Checks!$P$469,"")&amp;IF(Checks!$AE$469="","",CHAR(10)&amp;"Verifier: "&amp;Checks!$AE$469)&amp;IF(Checks!$T$469="","",CHAR(10)&amp;"PIC: "&amp;Checks!$T$469)</f>
        <v/>
      </c>
      <c r="H38" s="113" t="str">
        <f aca="false">IF(Checks!$AH$469="","",Checks!$AH$469)</f>
        <v>OPEN</v>
      </c>
    </row>
    <row r="39" customFormat="false" ht="114" hidden="false" customHeight="true" outlineLevel="0" collapsed="false">
      <c r="A39" s="112" t="str">
        <f aca="false">Checks!$A$470&amp;CHAR(10)&amp;IF(Checks!$I$470="","",Checks!$I$470&amp;": ")&amp;Checks!$J$470</f>
        <v>F14-T12-05
Equipment: Equipment serviceability vs GLD</v>
      </c>
      <c r="B39" s="112" t="str">
        <f aca="false">Checks!$K$470&amp;IF(Checks!$O$470="","",IF(Checks!$K$470="","",CHAR(10))&amp;"Note: "&amp;Checks!$O$470)</f>
        <v>Note: Preparation check at caterer - does NOT confirm loading.</v>
      </c>
      <c r="C39" s="112" t="str">
        <f aca="false">Checks!$N$470&amp;CHAR(10)&amp;IF(ISNUMBER(Checks!$R$470),TEXT(Checks!$R$470,"DD-MMM-YY HH:MM"),"")&amp;" "&amp;Checks!$P$470</f>
        <v>Required
14-Oct-26 21:50 KUL</v>
      </c>
      <c r="D39" s="112" t="str">
        <f aca="false">IF(Checks!$U$470="","",Checks!$U$470)&amp;IF(Checks!$AB$470="","",CHAR(10)&amp;"CA: "&amp;Checks!$AB$470)</f>
        <v/>
      </c>
      <c r="E39" s="112" t="str">
        <f aca="false">IF(Checks!$V$470="","",Checks!$V$470)&amp;IF(Checks!$AC$470="","",IF(Checks!$V$470="","",CHAR(10))&amp;"N/A just.: "&amp;Checks!$AC$470)&amp;IF(Checks!$W$470="","",CHAR(10)&amp;"Batch: "&amp;Checks!$W$470)&amp;IF(AND(Checks!$X$470="",Checks!$Y$470=""),"",CHAR(10)&amp;"Exp: "&amp;Checks!$X$470&amp;"  /  Act: "&amp;Checks!$Y$470)</f>
        <v/>
      </c>
      <c r="F39" s="112" t="str">
        <f aca="false">IF(Checks!$Z$470="","","Evidence: "&amp;Checks!$Z$470)&amp;IF(Checks!$AA$470="","",IF(Checks!$Z$470="","",CHAR(10))&amp;"CA: "&amp;Checks!$AA$470)</f>
        <v/>
      </c>
      <c r="G39" s="112" t="str">
        <f aca="false">IF(ISNUMBER(Checks!$AD$470),TEXT(Checks!$AD$470,"DD-MMM-YY HH:MM")&amp;" "&amp;Checks!$P$470,"")&amp;IF(Checks!$AE$470="","",CHAR(10)&amp;"Verifier: "&amp;Checks!$AE$470)&amp;IF(Checks!$T$470="","",CHAR(10)&amp;"PIC: "&amp;Checks!$T$470)</f>
        <v/>
      </c>
      <c r="H39" s="113" t="str">
        <f aca="false">IF(Checks!$AH$470="","",Checks!$AH$470)</f>
        <v>OPEN</v>
      </c>
    </row>
    <row r="40" customFormat="false" ht="322.5" hidden="false" customHeight="true" outlineLevel="0" collapsed="false">
      <c r="A40" s="112" t="str">
        <f aca="false">Checks!$A$471&amp;CHAR(10)&amp;IF(Checks!$I$471="","",Checks!$I$471&amp;": ")&amp;Checks!$J$471</f>
        <v>F14-T12-06
Equipment: Equipment quantities vs GLD</v>
      </c>
      <c r="B40" s="112"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2" t="str">
        <f aca="false">Checks!$N$471&amp;CHAR(10)&amp;IF(ISNUMBER(Checks!$R$471),TEXT(Checks!$R$471,"DD-MMM-YY HH:MM"),"")&amp;" "&amp;Checks!$P$471</f>
        <v>Required
14-Oct-26 21:50 KUL</v>
      </c>
      <c r="D40" s="112" t="str">
        <f aca="false">IF(Checks!$U$471="","",Checks!$U$471)&amp;IF(Checks!$AB$471="","",CHAR(10)&amp;"CA: "&amp;Checks!$AB$471)</f>
        <v/>
      </c>
      <c r="E40" s="112" t="str">
        <f aca="false">IF(Checks!$V$471="","",Checks!$V$471)&amp;IF(Checks!$AC$471="","",IF(Checks!$V$471="","",CHAR(10))&amp;"N/A just.: "&amp;Checks!$AC$471)&amp;IF(Checks!$W$471="","",CHAR(10)&amp;"Batch: "&amp;Checks!$W$471)&amp;IF(AND(Checks!$X$471="",Checks!$Y$471=""),"",CHAR(10)&amp;"Exp: "&amp;Checks!$X$471&amp;"  /  Act: "&amp;Checks!$Y$471)</f>
        <v/>
      </c>
      <c r="F40" s="112" t="str">
        <f aca="false">IF(Checks!$Z$471="","","Evidence: "&amp;Checks!$Z$471)&amp;IF(Checks!$AA$471="","",IF(Checks!$Z$471="","",CHAR(10))&amp;"CA: "&amp;Checks!$AA$471)</f>
        <v/>
      </c>
      <c r="G40" s="112" t="str">
        <f aca="false">IF(ISNUMBER(Checks!$AD$471),TEXT(Checks!$AD$471,"DD-MMM-YY HH:MM")&amp;" "&amp;Checks!$P$471,"")&amp;IF(Checks!$AE$471="","",CHAR(10)&amp;"Verifier: "&amp;Checks!$AE$471)&amp;IF(Checks!$T$471="","",CHAR(10)&amp;"PIC: "&amp;Checks!$T$471)</f>
        <v/>
      </c>
      <c r="H40" s="113" t="str">
        <f aca="false">IF(Checks!$AH$471="","",Checks!$AH$471)</f>
        <v>OPEN</v>
      </c>
    </row>
    <row r="41" customFormat="false" ht="114" hidden="false" customHeight="true" outlineLevel="0" collapsed="false">
      <c r="A41" s="112" t="str">
        <f aca="false">Checks!$A$472&amp;CHAR(10)&amp;IF(Checks!$I$472="","",Checks!$I$472&amp;": ")&amp;Checks!$J$472</f>
        <v>F14-T12-07
Equipment: Loading positions planned vs GLD</v>
      </c>
      <c r="B41" s="112" t="str">
        <f aca="false">Checks!$K$472&amp;IF(Checks!$O$472="","",IF(Checks!$K$472="","",CHAR(10))&amp;"Note: "&amp;Checks!$O$472)</f>
        <v>Note: Preparation check at caterer - does NOT confirm loading.</v>
      </c>
      <c r="C41" s="112" t="str">
        <f aca="false">Checks!$N$472&amp;CHAR(10)&amp;IF(ISNUMBER(Checks!$R$472),TEXT(Checks!$R$472,"DD-MMM-YY HH:MM"),"")&amp;" "&amp;Checks!$P$472</f>
        <v>Required
14-Oct-26 21:50 KUL</v>
      </c>
      <c r="D41" s="112" t="str">
        <f aca="false">IF(Checks!$U$472="","",Checks!$U$472)&amp;IF(Checks!$AB$472="","",CHAR(10)&amp;"CA: "&amp;Checks!$AB$472)</f>
        <v/>
      </c>
      <c r="E41" s="112" t="str">
        <f aca="false">IF(Checks!$V$472="","",Checks!$V$472)&amp;IF(Checks!$AC$472="","",IF(Checks!$V$472="","",CHAR(10))&amp;"N/A just.: "&amp;Checks!$AC$472)&amp;IF(Checks!$W$472="","",CHAR(10)&amp;"Batch: "&amp;Checks!$W$472)&amp;IF(AND(Checks!$X$472="",Checks!$Y$472=""),"",CHAR(10)&amp;"Exp: "&amp;Checks!$X$472&amp;"  /  Act: "&amp;Checks!$Y$472)</f>
        <v/>
      </c>
      <c r="F41" s="112" t="str">
        <f aca="false">IF(Checks!$Z$472="","","Evidence: "&amp;Checks!$Z$472)&amp;IF(Checks!$AA$472="","",IF(Checks!$Z$472="","",CHAR(10))&amp;"CA: "&amp;Checks!$AA$472)</f>
        <v/>
      </c>
      <c r="G41" s="112" t="str">
        <f aca="false">IF(ISNUMBER(Checks!$AD$472),TEXT(Checks!$AD$472,"DD-MMM-YY HH:MM")&amp;" "&amp;Checks!$P$472,"")&amp;IF(Checks!$AE$472="","",CHAR(10)&amp;"Verifier: "&amp;Checks!$AE$472)&amp;IF(Checks!$T$472="","",CHAR(10)&amp;"PIC: "&amp;Checks!$T$472)</f>
        <v/>
      </c>
      <c r="H41" s="113" t="str">
        <f aca="false">IF(Checks!$AH$472="","",Checks!$AH$472)</f>
        <v>OPEN</v>
      </c>
    </row>
    <row r="42" customFormat="false" ht="279" hidden="false" customHeight="true" outlineLevel="0" collapsed="false">
      <c r="A42" s="112" t="str">
        <f aca="false">Checks!$A$473&amp;CHAR(10)&amp;IF(Checks!$I$473="","",Checks!$I$473&amp;": ")&amp;Checks!$J$473</f>
        <v>F14-T12-08
Amenities: Toiletry kits - prepared</v>
      </c>
      <c r="B42" s="112"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2" t="str">
        <f aca="false">Checks!$N$473&amp;CHAR(10)&amp;IF(ISNUMBER(Checks!$R$473),TEXT(Checks!$R$473,"DD-MMM-YY HH:MM"),"")&amp;" "&amp;Checks!$P$473</f>
        <v>Clarification required
14-Oct-26 21:50 KUL</v>
      </c>
      <c r="D42" s="112" t="str">
        <f aca="false">IF(Checks!$U$473="","",Checks!$U$473)&amp;IF(Checks!$AB$473="","",CHAR(10)&amp;"CA: "&amp;Checks!$AB$473)</f>
        <v/>
      </c>
      <c r="E42" s="112" t="str">
        <f aca="false">IF(Checks!$V$473="","",Checks!$V$473)&amp;IF(Checks!$AC$473="","",IF(Checks!$V$473="","",CHAR(10))&amp;"N/A just.: "&amp;Checks!$AC$473)&amp;IF(Checks!$W$473="","",CHAR(10)&amp;"Batch: "&amp;Checks!$W$473)&amp;IF(AND(Checks!$X$473="",Checks!$Y$473=""),"",CHAR(10)&amp;"Exp: "&amp;Checks!$X$473&amp;"  /  Act: "&amp;Checks!$Y$473)</f>
        <v/>
      </c>
      <c r="F42" s="112" t="str">
        <f aca="false">IF(Checks!$Z$473="","","Evidence: "&amp;Checks!$Z$473)&amp;IF(Checks!$AA$473="","",IF(Checks!$Z$473="","",CHAR(10))&amp;"CA: "&amp;Checks!$AA$473)</f>
        <v/>
      </c>
      <c r="G42" s="112" t="str">
        <f aca="false">IF(ISNUMBER(Checks!$AD$473),TEXT(Checks!$AD$473,"DD-MMM-YY HH:MM")&amp;" "&amp;Checks!$P$473,"")&amp;IF(Checks!$AE$473="","",CHAR(10)&amp;"Verifier: "&amp;Checks!$AE$473)&amp;IF(Checks!$T$473="","",CHAR(10)&amp;"PIC: "&amp;Checks!$T$473)</f>
        <v/>
      </c>
      <c r="H42" s="113" t="str">
        <f aca="false">IF(Checks!$AH$473="","",Checks!$AH$473)</f>
        <v>OPEN – CLARIFICATION</v>
      </c>
    </row>
    <row r="43" customFormat="false" ht="114" hidden="false" customHeight="true" outlineLevel="0" collapsed="false">
      <c r="A43" s="112" t="str">
        <f aca="false">Checks!$A$474&amp;CHAR(10)&amp;IF(Checks!$I$474="","",Checks!$I$474&amp;": ")&amp;Checks!$J$474</f>
        <v>F14-T12-09
Seat Linen: Seat pillow (EY) - prepared</v>
      </c>
      <c r="B43" s="112" t="str">
        <f aca="false">Checks!$K$474&amp;IF(Checks!$O$474="","",IF(Checks!$K$474="","",CHAR(10))&amp;"Note: "&amp;Checks!$O$474)</f>
        <v>Available 100% (ticked in reference)
Note: Reference gives no uplift stn for this item: preparation checked at the meal uplift stn (KUL) - confirm with caterer.</v>
      </c>
      <c r="C43" s="112" t="str">
        <f aca="false">Checks!$N$474&amp;CHAR(10)&amp;IF(ISNUMBER(Checks!$R$474),TEXT(Checks!$R$474,"DD-MMM-YY HH:MM"),"")&amp;" "&amp;Checks!$P$474</f>
        <v>Required
14-Oct-26 21:50 KUL</v>
      </c>
      <c r="D43" s="112" t="str">
        <f aca="false">IF(Checks!$U$474="","",Checks!$U$474)&amp;IF(Checks!$AB$474="","",CHAR(10)&amp;"CA: "&amp;Checks!$AB$474)</f>
        <v/>
      </c>
      <c r="E43" s="112" t="str">
        <f aca="false">IF(Checks!$V$474="","",Checks!$V$474)&amp;IF(Checks!$AC$474="","",IF(Checks!$V$474="","",CHAR(10))&amp;"N/A just.: "&amp;Checks!$AC$474)&amp;IF(Checks!$W$474="","",CHAR(10)&amp;"Batch: "&amp;Checks!$W$474)&amp;IF(AND(Checks!$X$474="",Checks!$Y$474=""),"",CHAR(10)&amp;"Exp: "&amp;Checks!$X$474&amp;"  /  Act: "&amp;Checks!$Y$474)</f>
        <v/>
      </c>
      <c r="F43" s="112" t="str">
        <f aca="false">IF(Checks!$Z$474="","","Evidence: "&amp;Checks!$Z$474)&amp;IF(Checks!$AA$474="","",IF(Checks!$Z$474="","",CHAR(10))&amp;"CA: "&amp;Checks!$AA$474)</f>
        <v/>
      </c>
      <c r="G43" s="112" t="str">
        <f aca="false">IF(ISNUMBER(Checks!$AD$474),TEXT(Checks!$AD$474,"DD-MMM-YY HH:MM")&amp;" "&amp;Checks!$P$474,"")&amp;IF(Checks!$AE$474="","",CHAR(10)&amp;"Verifier: "&amp;Checks!$AE$474)&amp;IF(Checks!$T$474="","",CHAR(10)&amp;"PIC: "&amp;Checks!$T$474)</f>
        <v/>
      </c>
      <c r="H43" s="113" t="str">
        <f aca="false">IF(Checks!$AH$474="","",Checks!$AH$474)</f>
        <v>OPEN</v>
      </c>
    </row>
    <row r="44" customFormat="false" ht="246" hidden="false" customHeight="true" outlineLevel="0" collapsed="false">
      <c r="A44" s="112" t="str">
        <f aca="false">Checks!$A$475&amp;CHAR(10)&amp;IF(Checks!$I$475="","",Checks!$I$475&amp;": ")&amp;Checks!$J$475</f>
        <v>F14-T12-10
Seat Linen: Blanket (EY) - prepared</v>
      </c>
      <c r="B44" s="112"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2" t="str">
        <f aca="false">Checks!$N$475&amp;CHAR(10)&amp;IF(ISNUMBER(Checks!$R$475),TEXT(Checks!$R$475,"DD-MMM-YY HH:MM"),"")&amp;" "&amp;Checks!$P$475</f>
        <v>Required
14-Oct-26 21:50 KUL</v>
      </c>
      <c r="D44" s="112" t="str">
        <f aca="false">IF(Checks!$U$475="","",Checks!$U$475)&amp;IF(Checks!$AB$475="","",CHAR(10)&amp;"CA: "&amp;Checks!$AB$475)</f>
        <v/>
      </c>
      <c r="E44" s="112" t="str">
        <f aca="false">IF(Checks!$V$475="","",Checks!$V$475)&amp;IF(Checks!$AC$475="","",IF(Checks!$V$475="","",CHAR(10))&amp;"N/A just.: "&amp;Checks!$AC$475)&amp;IF(Checks!$W$475="","",CHAR(10)&amp;"Batch: "&amp;Checks!$W$475)&amp;IF(AND(Checks!$X$475="",Checks!$Y$475=""),"",CHAR(10)&amp;"Exp: "&amp;Checks!$X$475&amp;"  /  Act: "&amp;Checks!$Y$475)</f>
        <v/>
      </c>
      <c r="F44" s="112" t="str">
        <f aca="false">IF(Checks!$Z$475="","","Evidence: "&amp;Checks!$Z$475)&amp;IF(Checks!$AA$475="","",IF(Checks!$Z$475="","",CHAR(10))&amp;"CA: "&amp;Checks!$AA$475)</f>
        <v/>
      </c>
      <c r="G44" s="112" t="str">
        <f aca="false">IF(ISNUMBER(Checks!$AD$475),TEXT(Checks!$AD$475,"DD-MMM-YY HH:MM")&amp;" "&amp;Checks!$P$475,"")&amp;IF(Checks!$AE$475="","",CHAR(10)&amp;"Verifier: "&amp;Checks!$AE$475)&amp;IF(Checks!$T$475="","",CHAR(10)&amp;"PIC: "&amp;Checks!$T$475)</f>
        <v/>
      </c>
      <c r="H44" s="113" t="str">
        <f aca="false">IF(Checks!$AH$475="","",Checks!$AH$475)</f>
        <v>OPEN</v>
      </c>
    </row>
    <row r="45" customFormat="false" ht="25.5" hidden="false" customHeight="true" outlineLevel="0" collapsed="false">
      <c r="A45" s="111"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1"/>
      <c r="C45" s="111"/>
      <c r="D45" s="111"/>
      <c r="E45" s="111"/>
      <c r="F45" s="111"/>
      <c r="G45" s="111"/>
      <c r="H45" s="111"/>
    </row>
    <row r="46" customFormat="false" ht="114" hidden="false" customHeight="true" outlineLevel="0" collapsed="false">
      <c r="A46" s="112" t="str">
        <f aca="false">Checks!$A$476&amp;CHAR(10)&amp;IF(Checks!$I$476="","",Checks!$I$476&amp;": ")&amp;Checks!$J$476</f>
        <v>F14-UPL-01
Meal: Meals physically uplifted on board - quantity vs menu checklist</v>
      </c>
      <c r="B46" s="112" t="str">
        <f aca="false">Checks!$K$476&amp;IF(Checks!$O$476="","",IF(Checks!$K$476="","",CHAR(10))&amp;"Note: "&amp;Checks!$O$476)</f>
        <v>Enter expected &amp; actual
Note: Confirm on board before departure; completion time must fall inside the uplift window.</v>
      </c>
      <c r="C46" s="112" t="str">
        <f aca="false">Checks!$N$476&amp;CHAR(10)&amp;IF(ISNUMBER(Checks!$R$476),TEXT(Checks!$R$476,"DD-MMM-YY HH:MM"),"")&amp;" "&amp;Checks!$P$476</f>
        <v>Required
15-Oct-26 09:50 KUL</v>
      </c>
      <c r="D46" s="112" t="str">
        <f aca="false">IF(Checks!$U$476="","",Checks!$U$476)&amp;IF(Checks!$AB$476="","",CHAR(10)&amp;"CA: "&amp;Checks!$AB$476)</f>
        <v/>
      </c>
      <c r="E46" s="112" t="str">
        <f aca="false">IF(Checks!$V$476="","",Checks!$V$476)&amp;IF(Checks!$AC$476="","",IF(Checks!$V$476="","",CHAR(10))&amp;"N/A just.: "&amp;Checks!$AC$476)&amp;IF(Checks!$W$476="","",CHAR(10)&amp;"Batch: "&amp;Checks!$W$476)&amp;IF(AND(Checks!$X$476="",Checks!$Y$476=""),"",CHAR(10)&amp;"Exp: "&amp;Checks!$X$476&amp;"  /  Act: "&amp;Checks!$Y$476)</f>
        <v/>
      </c>
      <c r="F46" s="112" t="str">
        <f aca="false">IF(Checks!$Z$476="","","Evidence: "&amp;Checks!$Z$476)&amp;IF(Checks!$AA$476="","",IF(Checks!$Z$476="","",CHAR(10))&amp;"CA: "&amp;Checks!$AA$476)</f>
        <v/>
      </c>
      <c r="G46" s="112" t="str">
        <f aca="false">IF(ISNUMBER(Checks!$AD$476),TEXT(Checks!$AD$476,"DD-MMM-YY HH:MM")&amp;" "&amp;Checks!$P$476,"")&amp;IF(Checks!$AE$476="","",CHAR(10)&amp;"Verifier: "&amp;Checks!$AE$476)&amp;IF(Checks!$T$476="","",CHAR(10)&amp;"PIC: "&amp;Checks!$T$476)</f>
        <v/>
      </c>
      <c r="H46" s="113" t="str">
        <f aca="false">IF(Checks!$AH$476="","",Checks!$AH$476)</f>
        <v>OPEN</v>
      </c>
    </row>
    <row r="47" customFormat="false" ht="114" hidden="false" customHeight="true" outlineLevel="0" collapsed="false">
      <c r="A47" s="112" t="str">
        <f aca="false">Checks!$A$477&amp;CHAR(10)&amp;IF(Checks!$I$477="","",Checks!$I$477&amp;": ")&amp;Checks!$J$477</f>
        <v>F14-UPL-02
Equipment: Equipment physically loaded at GLD positions - quantity &amp; positions</v>
      </c>
      <c r="B47" s="112" t="str">
        <f aca="false">Checks!$K$477&amp;IF(Checks!$O$477="","",IF(Checks!$K$477="","",CHAR(10))&amp;"Note: "&amp;Checks!$O$477)</f>
        <v>Enter expected &amp; actual
Note: Confirm on board before departure; completion time must fall inside the uplift window.</v>
      </c>
      <c r="C47" s="112" t="str">
        <f aca="false">Checks!$N$477&amp;CHAR(10)&amp;IF(ISNUMBER(Checks!$R$477),TEXT(Checks!$R$477,"DD-MMM-YY HH:MM"),"")&amp;" "&amp;Checks!$P$477</f>
        <v>Required
15-Oct-26 09:50 KUL</v>
      </c>
      <c r="D47" s="112" t="str">
        <f aca="false">IF(Checks!$U$477="","",Checks!$U$477)&amp;IF(Checks!$AB$477="","",CHAR(10)&amp;"CA: "&amp;Checks!$AB$477)</f>
        <v/>
      </c>
      <c r="E47" s="112" t="str">
        <f aca="false">IF(Checks!$V$477="","",Checks!$V$477)&amp;IF(Checks!$AC$477="","",IF(Checks!$V$477="","",CHAR(10))&amp;"N/A just.: "&amp;Checks!$AC$477)&amp;IF(Checks!$W$477="","",CHAR(10)&amp;"Batch: "&amp;Checks!$W$477)&amp;IF(AND(Checks!$X$477="",Checks!$Y$477=""),"",CHAR(10)&amp;"Exp: "&amp;Checks!$X$477&amp;"  /  Act: "&amp;Checks!$Y$477)</f>
        <v/>
      </c>
      <c r="F47" s="112" t="str">
        <f aca="false">IF(Checks!$Z$477="","","Evidence: "&amp;Checks!$Z$477)&amp;IF(Checks!$AA$477="","",IF(Checks!$Z$477="","",CHAR(10))&amp;"CA: "&amp;Checks!$AA$477)</f>
        <v/>
      </c>
      <c r="G47" s="112" t="str">
        <f aca="false">IF(ISNUMBER(Checks!$AD$477),TEXT(Checks!$AD$477,"DD-MMM-YY HH:MM")&amp;" "&amp;Checks!$P$477,"")&amp;IF(Checks!$AE$477="","",CHAR(10)&amp;"Verifier: "&amp;Checks!$AE$477)&amp;IF(Checks!$T$477="","",CHAR(10)&amp;"PIC: "&amp;Checks!$T$477)</f>
        <v/>
      </c>
      <c r="H47" s="113" t="str">
        <f aca="false">IF(Checks!$AH$477="","",Checks!$AH$477)</f>
        <v>OPEN</v>
      </c>
    </row>
    <row r="48" customFormat="false" ht="279" hidden="false" customHeight="true" outlineLevel="0" collapsed="false">
      <c r="A48" s="112" t="str">
        <f aca="false">Checks!$A$478&amp;CHAR(10)&amp;IF(Checks!$I$478="","",Checks!$I$478&amp;": ")&amp;Checks!$J$478</f>
        <v>F14-UPL-03
Amenities: Toiletry kits - on board</v>
      </c>
      <c r="B48" s="112"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2" t="str">
        <f aca="false">Checks!$N$478&amp;CHAR(10)&amp;IF(ISNUMBER(Checks!$R$478),TEXT(Checks!$R$478,"DD-MMM-YY HH:MM"),"")&amp;" "&amp;Checks!$P$478</f>
        <v>Clarification required
15-Oct-26 09:50 KUL</v>
      </c>
      <c r="D48" s="112" t="str">
        <f aca="false">IF(Checks!$U$478="","",Checks!$U$478)&amp;IF(Checks!$AB$478="","",CHAR(10)&amp;"CA: "&amp;Checks!$AB$478)</f>
        <v/>
      </c>
      <c r="E48" s="112" t="str">
        <f aca="false">IF(Checks!$V$478="","",Checks!$V$478)&amp;IF(Checks!$AC$478="","",IF(Checks!$V$478="","",CHAR(10))&amp;"N/A just.: "&amp;Checks!$AC$478)&amp;IF(Checks!$W$478="","",CHAR(10)&amp;"Batch: "&amp;Checks!$W$478)&amp;IF(AND(Checks!$X$478="",Checks!$Y$478=""),"",CHAR(10)&amp;"Exp: "&amp;Checks!$X$478&amp;"  /  Act: "&amp;Checks!$Y$478)</f>
        <v/>
      </c>
      <c r="F48" s="112" t="str">
        <f aca="false">IF(Checks!$Z$478="","","Evidence: "&amp;Checks!$Z$478)&amp;IF(Checks!$AA$478="","",IF(Checks!$Z$478="","",CHAR(10))&amp;"CA: "&amp;Checks!$AA$478)</f>
        <v/>
      </c>
      <c r="G48" s="112" t="str">
        <f aca="false">IF(ISNUMBER(Checks!$AD$478),TEXT(Checks!$AD$478,"DD-MMM-YY HH:MM")&amp;" "&amp;Checks!$P$478,"")&amp;IF(Checks!$AE$478="","",CHAR(10)&amp;"Verifier: "&amp;Checks!$AE$478)&amp;IF(Checks!$T$478="","",CHAR(10)&amp;"PIC: "&amp;Checks!$T$478)</f>
        <v/>
      </c>
      <c r="H48" s="113" t="str">
        <f aca="false">IF(Checks!$AH$478="","",Checks!$AH$478)</f>
        <v>OPEN – CLARIFICATION</v>
      </c>
    </row>
    <row r="49" customFormat="false" ht="114" hidden="false" customHeight="true" outlineLevel="0" collapsed="false">
      <c r="A49" s="112" t="str">
        <f aca="false">Checks!$A$479&amp;CHAR(10)&amp;IF(Checks!$I$479="","",Checks!$I$479&amp;": ")&amp;Checks!$J$479</f>
        <v>F14-UPL-04
Seat Linen: Seat pillow (EY) - on board</v>
      </c>
      <c r="B49" s="112" t="str">
        <f aca="false">Checks!$K$479&amp;IF(Checks!$O$479="","",IF(Checks!$K$479="","",CHAR(10))&amp;"Note: "&amp;Checks!$O$479)</f>
        <v>Available 100% (ticked in reference)</v>
      </c>
      <c r="C49" s="112" t="str">
        <f aca="false">Checks!$N$479&amp;CHAR(10)&amp;IF(ISNUMBER(Checks!$R$479),TEXT(Checks!$R$479,"DD-MMM-YY HH:MM"),"")&amp;" "&amp;Checks!$P$479</f>
        <v>Required
15-Oct-26 09:50 KUL</v>
      </c>
      <c r="D49" s="112" t="str">
        <f aca="false">IF(Checks!$U$479="","",Checks!$U$479)&amp;IF(Checks!$AB$479="","",CHAR(10)&amp;"CA: "&amp;Checks!$AB$479)</f>
        <v/>
      </c>
      <c r="E49" s="112" t="str">
        <f aca="false">IF(Checks!$V$479="","",Checks!$V$479)&amp;IF(Checks!$AC$479="","",IF(Checks!$V$479="","",CHAR(10))&amp;"N/A just.: "&amp;Checks!$AC$479)&amp;IF(Checks!$W$479="","",CHAR(10)&amp;"Batch: "&amp;Checks!$W$479)&amp;IF(AND(Checks!$X$479="",Checks!$Y$479=""),"",CHAR(10)&amp;"Exp: "&amp;Checks!$X$479&amp;"  /  Act: "&amp;Checks!$Y$479)</f>
        <v/>
      </c>
      <c r="F49" s="112" t="str">
        <f aca="false">IF(Checks!$Z$479="","","Evidence: "&amp;Checks!$Z$479)&amp;IF(Checks!$AA$479="","",IF(Checks!$Z$479="","",CHAR(10))&amp;"CA: "&amp;Checks!$AA$479)</f>
        <v/>
      </c>
      <c r="G49" s="112" t="str">
        <f aca="false">IF(ISNUMBER(Checks!$AD$479),TEXT(Checks!$AD$479,"DD-MMM-YY HH:MM")&amp;" "&amp;Checks!$P$479,"")&amp;IF(Checks!$AE$479="","",CHAR(10)&amp;"Verifier: "&amp;Checks!$AE$479)&amp;IF(Checks!$T$479="","",CHAR(10)&amp;"PIC: "&amp;Checks!$T$479)</f>
        <v/>
      </c>
      <c r="H49" s="113" t="str">
        <f aca="false">IF(Checks!$AH$479="","",Checks!$AH$479)</f>
        <v>OPEN</v>
      </c>
    </row>
    <row r="50" customFormat="false" ht="168.75" hidden="false" customHeight="true" outlineLevel="0" collapsed="false">
      <c r="A50" s="112" t="str">
        <f aca="false">Checks!$A$480&amp;CHAR(10)&amp;IF(Checks!$I$480="","",Checks!$I$480&amp;": ")&amp;Checks!$J$480</f>
        <v>F14-UPL-05
Seat Linen: Blanket (EY) - on board</v>
      </c>
      <c r="B50" s="112"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2" t="str">
        <f aca="false">Checks!$N$480&amp;CHAR(10)&amp;IF(ISNUMBER(Checks!$R$480),TEXT(Checks!$R$480,"DD-MMM-YY HH:MM"),"")&amp;" "&amp;Checks!$P$480</f>
        <v>Required
15-Oct-26 09:50 KUL</v>
      </c>
      <c r="D50" s="112" t="str">
        <f aca="false">IF(Checks!$U$480="","",Checks!$U$480)&amp;IF(Checks!$AB$480="","",CHAR(10)&amp;"CA: "&amp;Checks!$AB$480)</f>
        <v/>
      </c>
      <c r="E50" s="112" t="str">
        <f aca="false">IF(Checks!$V$480="","",Checks!$V$480)&amp;IF(Checks!$AC$480="","",IF(Checks!$V$480="","",CHAR(10))&amp;"N/A just.: "&amp;Checks!$AC$480)&amp;IF(Checks!$W$480="","",CHAR(10)&amp;"Batch: "&amp;Checks!$W$480)&amp;IF(AND(Checks!$X$480="",Checks!$Y$480=""),"",CHAR(10)&amp;"Exp: "&amp;Checks!$X$480&amp;"  /  Act: "&amp;Checks!$Y$480)</f>
        <v/>
      </c>
      <c r="F50" s="112" t="str">
        <f aca="false">IF(Checks!$Z$480="","","Evidence: "&amp;Checks!$Z$480)&amp;IF(Checks!$AA$480="","",IF(Checks!$Z$480="","",CHAR(10))&amp;"CA: "&amp;Checks!$AA$480)</f>
        <v/>
      </c>
      <c r="G50" s="112" t="str">
        <f aca="false">IF(ISNUMBER(Checks!$AD$480),TEXT(Checks!$AD$480,"DD-MMM-YY HH:MM")&amp;" "&amp;Checks!$P$480,"")&amp;IF(Checks!$AE$480="","",CHAR(10)&amp;"Verifier: "&amp;Checks!$AE$480)&amp;IF(Checks!$T$480="","",CHAR(10)&amp;"PIC: "&amp;Checks!$T$480)</f>
        <v/>
      </c>
      <c r="H50" s="113" t="str">
        <f aca="false">IF(Checks!$AH$480="","",Checks!$AH$480)</f>
        <v>OPEN</v>
      </c>
    </row>
    <row r="52" customFormat="false" ht="24" hidden="false" customHeight="true" outlineLevel="0" collapsed="false">
      <c r="A52" s="114" t="s">
        <v>1647</v>
      </c>
      <c r="B52" s="114"/>
      <c r="C52" s="114"/>
      <c r="D52" s="114"/>
      <c r="E52" s="114" t="s">
        <v>1648</v>
      </c>
      <c r="F52" s="114"/>
      <c r="G52" s="114"/>
      <c r="H52" s="114"/>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F15  "&amp;Flights!$F$19&amp;"  "&amp;TEXT(Flights!$D$19,"DD-MMM-YY")&amp;" ("&amp;Flights!$E$19&amp;")  "&amp;Flights!$G$19&amp;" → "&amp;Flights!$H$19&amp;"  |  Class "&amp;Flights!$K$19</f>
        <v>SKYTRAX 2026 CATERING READINESS CHECKLIST  |  F15  MH0003  25-Oct-26 (SUN)  LHR → KUL  |  Class EY</v>
      </c>
      <c r="B1" s="90"/>
      <c r="C1" s="90"/>
      <c r="D1" s="90"/>
      <c r="E1" s="90"/>
      <c r="F1" s="90"/>
      <c r="G1" s="90"/>
      <c r="H1" s="90"/>
    </row>
    <row r="2" customFormat="false" ht="12.75" hidden="false" customHeight="true" outlineLevel="0" collapsed="false">
      <c r="A2" s="91" t="s">
        <v>1602</v>
      </c>
      <c r="B2" s="92" t="str">
        <f aca="false">Flights!$F$19&amp;"   "&amp;TEXT(Flights!$D$19,"DD-MMM-YY")&amp;" ("&amp;Flights!$E$19&amp;")"</f>
        <v>MH0003   25-Oct-26 (SUN)</v>
      </c>
      <c r="C2" s="92"/>
      <c r="D2" s="92"/>
      <c r="E2" s="93" t="s">
        <v>1603</v>
      </c>
      <c r="F2" s="94" t="str">
        <f aca="false">Flights!$AT$19</f>
        <v>NOT READY – DOCUMENTS</v>
      </c>
      <c r="G2" s="94"/>
      <c r="H2" s="94"/>
    </row>
    <row r="3" customFormat="false" ht="24" hidden="false" customHeight="true" outlineLevel="0" collapsed="false">
      <c r="A3" s="91" t="s">
        <v>1604</v>
      </c>
      <c r="B3" s="92" t="str">
        <f aca="false">Flights!$G$19&amp;" → "&amp;Flights!$H$19&amp;"   Class "&amp;Flights!$K$19&amp;"   Seat "&amp;Flights!$O$19</f>
        <v>LHR → KUL   Class EY   Seat 12H</v>
      </c>
      <c r="C3" s="92"/>
      <c r="D3" s="92"/>
      <c r="E3" s="93" t="s">
        <v>66</v>
      </c>
      <c r="F3" s="93" t="s">
        <v>1605</v>
      </c>
      <c r="G3" s="93" t="s">
        <v>1606</v>
      </c>
      <c r="H3" s="93"/>
    </row>
    <row r="4" customFormat="false" ht="24" hidden="false" customHeight="true" outlineLevel="0" collapsed="false">
      <c r="A4" s="91" t="s">
        <v>1607</v>
      </c>
      <c r="B4" s="92" t="str">
        <f aca="false">IF(ISNUMBER(Flights!$I$19),TEXT(Flights!$I$19,"DD-MMM-YY HH:MM"),"")&amp;" "&amp;Flights!$G$19&amp;"  →  "&amp;IF(ISNUMBER(Flights!$J$19),TEXT(Flights!$J$19,"DD-MMM-YY HH:MM"),"")&amp;" "&amp;Flights!$H$19</f>
        <v>25-Oct-26 11:00 LHR  →  26-Oct-26 06:45 KUL</v>
      </c>
      <c r="C4" s="92"/>
      <c r="D4" s="92"/>
      <c r="E4" s="91" t="s">
        <v>1608</v>
      </c>
      <c r="F4" s="95" t="str">
        <f aca="false">IF(ISNUMBER(Flights!$AG$19),TEXT(Flights!$AG$19,"DD-MMM-YY HH:MM"),"")&amp;" "&amp;Flights!$V$19</f>
        <v>18-Oct-26 12:00 LHR</v>
      </c>
      <c r="G4" s="96" t="n">
        <f aca="false">Flights!$AJ$19</f>
        <v>0</v>
      </c>
      <c r="H4" s="96"/>
    </row>
    <row r="5" customFormat="false" ht="24" hidden="false" customHeight="true" outlineLevel="0" collapsed="false">
      <c r="A5" s="91" t="s">
        <v>1609</v>
      </c>
      <c r="B5" s="92" t="str">
        <f aca="false">Flights!$L$19&amp;" – "&amp;Flights!$M$19</f>
        <v>A350 – A350-900: A359 (9M-MAB..MAG, row 6) or A350 9M-MAH (row 7) - tail to confirm</v>
      </c>
      <c r="C5" s="92"/>
      <c r="D5" s="92"/>
      <c r="E5" s="91" t="s">
        <v>1610</v>
      </c>
      <c r="F5" s="95" t="str">
        <f aca="false">IF(ISNUMBER(Flights!$AH$19),TEXT(Flights!$AH$19,"DD-MMM-YY HH:MM"),"")&amp;" "&amp;Flights!$V$19</f>
        <v>24-Oct-26 12:00 LHR</v>
      </c>
      <c r="G5" s="96" t="n">
        <f aca="false">Flights!$AK$19</f>
        <v>0</v>
      </c>
      <c r="H5" s="96"/>
    </row>
    <row r="6" customFormat="false" ht="24" hidden="false" customHeight="true" outlineLevel="0" collapsed="false">
      <c r="A6" s="91" t="s">
        <v>1611</v>
      </c>
      <c r="B6" s="92" t="str">
        <f aca="false">IF(TRIM(Flights!$N$19)="","__________________",Flights!$N$19)</f>
        <v>__________________</v>
      </c>
      <c r="C6" s="92"/>
      <c r="D6" s="92"/>
      <c r="E6" s="91" t="s">
        <v>1612</v>
      </c>
      <c r="F6" s="95" t="str">
        <f aca="false">IF(ISNUMBER(Flights!$AI$19),TEXT(Flights!$AI$19,"DD-MMM-YY HH:MM"),"")&amp;" "&amp;Flights!$V$19&amp;IF(Flights!$AI$19=Flights!$AH$19,"  (= T-24H due)","")</f>
        <v>25-Oct-26 00:00 LHR</v>
      </c>
      <c r="G6" s="96" t="n">
        <f aca="false">Flights!$AL$19</f>
        <v>0</v>
      </c>
      <c r="H6" s="96"/>
    </row>
    <row r="7" customFormat="false" ht="24" hidden="false" customHeight="true" outlineLevel="0" collapsed="false">
      <c r="A7" s="91" t="s">
        <v>1613</v>
      </c>
      <c r="B7" s="92" t="str">
        <f aca="false">Flights!$T$19</f>
        <v>2.5 Meal (Meal)</v>
      </c>
      <c r="C7" s="92"/>
      <c r="D7" s="92"/>
      <c r="E7" s="91" t="s">
        <v>1614</v>
      </c>
      <c r="F7" s="95" t="str">
        <f aca="false">"STD "&amp;IF(ISNUMBER(Flights!$I$19),TEXT(Flights!$I$19,"DD-MMM-YY HH:MM"),"")&amp;" "&amp;Flights!$G$19&amp;" (dep stn)"</f>
        <v>STD 25-Oct-26 11:00 LHR (dep stn)</v>
      </c>
      <c r="G7" s="96" t="n">
        <f aca="false">Flights!$AM$19</f>
        <v>0</v>
      </c>
      <c r="H7" s="96"/>
    </row>
    <row r="8" customFormat="false" ht="12.75" hidden="false" customHeight="true" outlineLevel="0" collapsed="false">
      <c r="A8" s="91" t="s">
        <v>148</v>
      </c>
      <c r="B8" s="92" t="str">
        <f aca="false">Flights!$V$19&amp;"   (reference uplift stns: "&amp;Flights!$U$19&amp;")"</f>
        <v>LHR   (reference uplift stns: KUL/LHR)</v>
      </c>
      <c r="C8" s="92"/>
      <c r="D8" s="92"/>
      <c r="E8" s="91" t="s">
        <v>1615</v>
      </c>
      <c r="F8" s="97" t="s">
        <v>1616</v>
      </c>
      <c r="G8" s="96" t="n">
        <f aca="false">Flights!$AN$19</f>
        <v>0</v>
      </c>
      <c r="H8" s="96"/>
    </row>
    <row r="9" customFormat="false" ht="12.75" hidden="false" customHeight="true" outlineLevel="0" collapsed="false">
      <c r="A9" s="91" t="s">
        <v>1617</v>
      </c>
      <c r="B9" s="92" t="str">
        <f aca="false">TRIM(Flights!$P$19&amp;"  "&amp;Flights!$Q$19)</f>
        <v>-</v>
      </c>
      <c r="C9" s="92"/>
      <c r="D9" s="92"/>
      <c r="E9" s="91" t="s">
        <v>1618</v>
      </c>
      <c r="F9" s="98" t="n">
        <f aca="false">Flights!$AP$19</f>
        <v>0</v>
      </c>
      <c r="G9" s="98" t="n">
        <f aca="false">Flights!$AQ$19</f>
        <v>0</v>
      </c>
      <c r="H9" s="98" t="n">
        <f aca="false">Flights!$AU$19</f>
        <v>0</v>
      </c>
    </row>
    <row r="10" customFormat="false" ht="24" hidden="false" customHeight="true" outlineLevel="0" collapsed="false">
      <c r="A10" s="91" t="s">
        <v>1619</v>
      </c>
      <c r="B10" s="92" t="str">
        <f aca="false">IF(TRIM(Flights!$X$19)="","__________________",Flights!$X$19)</f>
        <v>__________________</v>
      </c>
      <c r="C10" s="92"/>
      <c r="D10" s="92"/>
      <c r="E10" s="91" t="s">
        <v>1620</v>
      </c>
      <c r="F10" s="98" t="n">
        <f aca="false">Flights!$AO$19</f>
        <v>24</v>
      </c>
      <c r="G10" s="98" t="n">
        <f aca="false">Flights!$AS$19</f>
        <v>2</v>
      </c>
      <c r="H10" s="98" t="n">
        <f aca="false">Flights!$AR$19</f>
        <v>2</v>
      </c>
    </row>
    <row r="11" customFormat="false" ht="21" hidden="false" customHeight="true" outlineLevel="0" collapsed="false">
      <c r="A11" s="91" t="s">
        <v>1621</v>
      </c>
      <c r="B11" s="92" t="str">
        <f aca="false">IF(TRIM(Flights!$Y$19)="","__________________",Flights!$Y$19)</f>
        <v>__________________</v>
      </c>
      <c r="C11" s="92"/>
      <c r="D11" s="92"/>
      <c r="E11" s="91" t="s">
        <v>1622</v>
      </c>
      <c r="F11" s="98" t="str">
        <f aca="false">Flights!$AV$19&amp;" / "&amp;Flights!$AW$19</f>
        <v>0 / 24</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IF(Documents!$F$19="","",Documents!$F$19)</f>
        <v/>
      </c>
      <c r="C14" s="97" t="str">
        <f aca="false">IF(Documents!$G$19="","",Documents!$G$19)&amp;IF(ISNUMBER(Documents!$H$19),"  "&amp;TEXT(Documents!$H$19,"DD-MMM-YY"),"")</f>
        <v/>
      </c>
      <c r="D14" s="97"/>
      <c r="E14" s="105" t="str">
        <f aca="false">IF(Documents!$J$19="OUTSTANDING","OUTSTANDING – attach before T-7D (due "&amp;IF(ISNUMBER(Flights!$AG$19),TEXT(Flights!$AG$19,"DD-MMM-YY HH:MM"),"")&amp;" "&amp;Flights!$V$19&amp;")",IF(Documents!$J$19="","Status not recorded",Documents!$J$19))</f>
        <v>OUTSTANDING – attach before T-7D (due 18-Oct-26 12:00 LHR)</v>
      </c>
      <c r="F14" s="106" t="str">
        <f aca="false">"Staple behind this sheet as page A1."&amp;IF(Documents!$I$19="",""," Location: "&amp;Documents!$I$19)</f>
        <v>Staple behind this sheet as page A1.</v>
      </c>
      <c r="G14" s="106"/>
      <c r="H14" s="106"/>
    </row>
    <row r="15" customFormat="false" ht="36" hidden="false" customHeight="true" outlineLevel="0" collapsed="false">
      <c r="A15" s="91" t="s">
        <v>1633</v>
      </c>
      <c r="B15" s="92" t="str">
        <f aca="false">IF(Documents!$K$19="","",Documents!$K$19)</f>
        <v/>
      </c>
      <c r="C15" s="97" t="str">
        <f aca="false">IF(Documents!$L$19="","",Documents!$L$19)&amp;IF(ISNUMBER(Documents!$M$19),"  "&amp;TEXT(Documents!$M$19,"DD-MMM-YY"),"")</f>
        <v/>
      </c>
      <c r="D15" s="97"/>
      <c r="E15" s="105" t="str">
        <f aca="false">IF(Documents!$O$19="OUTSTANDING","OUTSTANDING – attach before T-7D (due "&amp;IF(ISNUMBER(Flights!$AG$19),TEXT(Flights!$AG$19,"DD-MMM-YY HH:MM"),"")&amp;" "&amp;Flights!$V$19&amp;")",IF(Documents!$O$19="","Status not recorded",Documents!$O$19))</f>
        <v>OUTSTANDING – attach before T-7D (due 18-Oct-26 12:00 LHR)</v>
      </c>
      <c r="F15" s="106" t="str">
        <f aca="false">"Staple behind this sheet as page A2."&amp;IF(Documents!$N$19="",""," Location: "&amp;Documents!$N$19)</f>
        <v>Staple behind this sheet as page A2.</v>
      </c>
      <c r="G15" s="106"/>
      <c r="H15" s="106"/>
    </row>
    <row r="16" customFormat="false" ht="22.5" hidden="false" customHeight="true" outlineLevel="0" collapsed="false">
      <c r="A16" s="91" t="s">
        <v>1634</v>
      </c>
      <c r="B16" s="107" t="str">
        <f aca="false">IF(Documents!$Q$19="","",Documents!$Q$19)</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"&amp;IF(TRIM(Flights!$Y$19)="","__________________",Flights!$Y$19)</f>
        <v>Name: __________________</v>
      </c>
      <c r="B18" s="92"/>
      <c r="C18" s="92" t="str">
        <f aca="false">"Name: __________________"</f>
        <v>Name: __________________</v>
      </c>
      <c r="D18" s="92"/>
      <c r="E18" s="92"/>
      <c r="F18" s="92" t="str">
        <f aca="false">"Name: __________________"&amp;"   Station: "&amp;Flights!$V$19</f>
        <v>Name: __________________   Station: LHR</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Checks!$A$481&amp;CHAR(10)&amp;IF(Checks!$I$481="","",Checks!$I$481&amp;": ")&amp;Checks!$J$481</f>
        <v>F15-T7-01
Meal: Meal sensory testing completed for this flight's menu cycle (assessed class)</v>
      </c>
      <c r="B23" s="112" t="str">
        <f aca="false">Checks!$K$481&amp;IF(Checks!$O$481="","",IF(Checks!$K$481="","",CHAR(10))&amp;"Note: "&amp;Checks!$O$481)</f>
        <v>Record panel result / score in Result</v>
      </c>
      <c r="C23" s="112" t="str">
        <f aca="false">Checks!$N$481&amp;CHAR(10)&amp;IF(ISNUMBER(Checks!$R$481),TEXT(Checks!$R$481,"DD-MMM-YY HH:MM"),"")&amp;" "&amp;Checks!$P$481</f>
        <v>Required
18-Oct-26 12:00 LHR</v>
      </c>
      <c r="D23" s="112" t="str">
        <f aca="false">IF(Checks!$U$481="","",Checks!$U$481)&amp;IF(Checks!$AB$481="","",CHAR(10)&amp;"CA: "&amp;Checks!$AB$481)</f>
        <v/>
      </c>
      <c r="E23" s="112" t="str">
        <f aca="false">IF(Checks!$V$481="","",Checks!$V$481)&amp;IF(Checks!$AC$481="","",IF(Checks!$V$481="","",CHAR(10))&amp;"N/A just.: "&amp;Checks!$AC$481)&amp;IF(Checks!$W$481="","",CHAR(10)&amp;"Batch: "&amp;Checks!$W$481)&amp;IF(AND(Checks!$X$481="",Checks!$Y$481=""),"",CHAR(10)&amp;"Exp: "&amp;Checks!$X$481&amp;"  /  Act: "&amp;Checks!$Y$481)</f>
        <v/>
      </c>
      <c r="F23" s="112" t="str">
        <f aca="false">IF(Checks!$Z$481="","","Evidence: "&amp;Checks!$Z$481)&amp;IF(Checks!$AA$481="","",IF(Checks!$Z$481="","",CHAR(10))&amp;"CA: "&amp;Checks!$AA$481)</f>
        <v/>
      </c>
      <c r="G23" s="112" t="str">
        <f aca="false">IF(ISNUMBER(Checks!$AD$481),TEXT(Checks!$AD$481,"DD-MMM-YY HH:MM")&amp;" "&amp;Checks!$P$481,"")&amp;IF(Checks!$AE$481="","",CHAR(10)&amp;"Verifier: "&amp;Checks!$AE$481)&amp;IF(Checks!$T$481="","",CHAR(10)&amp;"PIC: "&amp;Checks!$T$481)</f>
        <v/>
      </c>
      <c r="H23" s="113" t="str">
        <f aca="false">IF(Checks!$AH$481="","",Checks!$AH$481)</f>
        <v>OPEN</v>
      </c>
    </row>
    <row r="24" customFormat="false" ht="114" hidden="false" customHeight="true" outlineLevel="0" collapsed="false">
      <c r="A24" s="112" t="str">
        <f aca="false">Checks!$A$482&amp;CHAR(10)&amp;IF(Checks!$I$482="","",Checks!$I$482&amp;": ")&amp;Checks!$J$482</f>
        <v>F15-T7-02
Menu: Printed menu cards confirmed (content, cycle, language, quantity)</v>
      </c>
      <c r="B24" s="112" t="str">
        <f aca="false">Checks!$K$482&amp;IF(Checks!$O$482="","",IF(Checks!$K$482="","",CHAR(10))&amp;"Note: "&amp;Checks!$O$482)</f>
        <v>Menu card matches approved menu for this flight</v>
      </c>
      <c r="C24" s="112" t="str">
        <f aca="false">Checks!$N$482&amp;CHAR(10)&amp;IF(ISNUMBER(Checks!$R$482),TEXT(Checks!$R$482,"DD-MMM-YY HH:MM"),"")&amp;" "&amp;Checks!$P$482</f>
        <v>Required
18-Oct-26 12:00 LHR</v>
      </c>
      <c r="D24" s="112" t="str">
        <f aca="false">IF(Checks!$U$482="","",Checks!$U$482)&amp;IF(Checks!$AB$482="","",CHAR(10)&amp;"CA: "&amp;Checks!$AB$482)</f>
        <v/>
      </c>
      <c r="E24" s="112" t="str">
        <f aca="false">IF(Checks!$V$482="","",Checks!$V$482)&amp;IF(Checks!$AC$482="","",IF(Checks!$V$482="","",CHAR(10))&amp;"N/A just.: "&amp;Checks!$AC$482)&amp;IF(Checks!$W$482="","",CHAR(10)&amp;"Batch: "&amp;Checks!$W$482)&amp;IF(AND(Checks!$X$482="",Checks!$Y$482=""),"",CHAR(10)&amp;"Exp: "&amp;Checks!$X$482&amp;"  /  Act: "&amp;Checks!$Y$482)</f>
        <v/>
      </c>
      <c r="F24" s="112" t="str">
        <f aca="false">IF(Checks!$Z$482="","","Evidence: "&amp;Checks!$Z$482)&amp;IF(Checks!$AA$482="","",IF(Checks!$Z$482="","",CHAR(10))&amp;"CA: "&amp;Checks!$AA$482)</f>
        <v/>
      </c>
      <c r="G24" s="112" t="str">
        <f aca="false">IF(ISNUMBER(Checks!$AD$482),TEXT(Checks!$AD$482,"DD-MMM-YY HH:MM")&amp;" "&amp;Checks!$P$482,"")&amp;IF(Checks!$AE$482="","",CHAR(10)&amp;"Verifier: "&amp;Checks!$AE$482)&amp;IF(Checks!$T$482="","",CHAR(10)&amp;"PIC: "&amp;Checks!$T$482)</f>
        <v/>
      </c>
      <c r="H24" s="113" t="str">
        <f aca="false">IF(Checks!$AH$482="","",Checks!$AH$482)</f>
        <v>OPEN</v>
      </c>
    </row>
    <row r="25" customFormat="false" ht="114" hidden="false" customHeight="true" outlineLevel="0" collapsed="false">
      <c r="A25" s="112" t="str">
        <f aca="false">Checks!$A$483&amp;CHAR(10)&amp;IF(Checks!$I$483="","",Checks!$I$483&amp;": ")&amp;Checks!$J$483</f>
        <v>F15-T7-03
IFE: Digital menu in IFE confirmed (A339 only)</v>
      </c>
      <c r="B25" s="112" t="str">
        <f aca="false">Checks!$K$483&amp;IF(Checks!$O$483="","",IF(Checks!$K$483="","",CHAR(10))&amp;"Note: "&amp;Checks!$O$483)</f>
        <v>Applies when fleet = A339
Note: Digital IFE menu applies to A339 only (user brief). Applicability follows the Fleet cell on Flights.</v>
      </c>
      <c r="C25" s="112" t="str">
        <f aca="false">Checks!$N$483&amp;CHAR(10)&amp;IF(ISNUMBER(Checks!$R$483),TEXT(Checks!$R$483,"DD-MMM-YY HH:MM"),"")&amp;" "&amp;Checks!$P$483</f>
        <v>N/A – rule
18-Oct-26 12:00 LHR</v>
      </c>
      <c r="D25" s="112" t="str">
        <f aca="false">IF(Checks!$U$483="","",Checks!$U$483)&amp;IF(Checks!$AB$483="","",CHAR(10)&amp;"CA: "&amp;Checks!$AB$483)</f>
        <v/>
      </c>
      <c r="E25" s="112" t="str">
        <f aca="false">IF(Checks!$V$483="","",Checks!$V$483)&amp;IF(Checks!$AC$483="","",IF(Checks!$V$483="","",CHAR(10))&amp;"N/A just.: "&amp;Checks!$AC$483)&amp;IF(Checks!$W$483="","",CHAR(10)&amp;"Batch: "&amp;Checks!$W$483)&amp;IF(AND(Checks!$X$483="",Checks!$Y$483=""),"",CHAR(10)&amp;"Exp: "&amp;Checks!$X$483&amp;"  /  Act: "&amp;Checks!$Y$483)</f>
        <v/>
      </c>
      <c r="F25" s="112" t="str">
        <f aca="false">IF(Checks!$Z$483="","","Evidence: "&amp;Checks!$Z$483)&amp;IF(Checks!$AA$483="","",IF(Checks!$Z$483="","",CHAR(10))&amp;"CA: "&amp;Checks!$AA$483)</f>
        <v/>
      </c>
      <c r="G25" s="112" t="str">
        <f aca="false">IF(ISNUMBER(Checks!$AD$483),TEXT(Checks!$AD$483,"DD-MMM-YY HH:MM")&amp;" "&amp;Checks!$P$483,"")&amp;IF(Checks!$AE$483="","",CHAR(10)&amp;"Verifier: "&amp;Checks!$AE$483)&amp;IF(Checks!$T$483="","",CHAR(10)&amp;"PIC: "&amp;Checks!$T$483)</f>
        <v/>
      </c>
      <c r="H25" s="113" t="str">
        <f aca="false">IF(Checks!$AH$483="","",Checks!$AH$483)</f>
        <v>N/A – RULE</v>
      </c>
    </row>
    <row r="26" customFormat="false" ht="114" hidden="false" customHeight="true" outlineLevel="0" collapsed="false">
      <c r="A26" s="112" t="str">
        <f aca="false">Checks!$A$484&amp;CHAR(10)&amp;IF(Checks!$I$484="","",Checks!$I$484&amp;": ")&amp;Checks!$J$484</f>
        <v>F15-T7-04
Staffing: Experienced catering officer assigned to this flight</v>
      </c>
      <c r="B26" s="112" t="str">
        <f aca="false">Checks!$K$484&amp;IF(Checks!$O$484="","",IF(Checks!$K$484="","",CHAR(10))&amp;"Note: "&amp;Checks!$O$484)</f>
        <v>Record officer name in Result</v>
      </c>
      <c r="C26" s="112" t="str">
        <f aca="false">Checks!$N$484&amp;CHAR(10)&amp;IF(ISNUMBER(Checks!$R$484),TEXT(Checks!$R$484,"DD-MMM-YY HH:MM"),"")&amp;" "&amp;Checks!$P$484</f>
        <v>Required
18-Oct-26 12:00 LHR</v>
      </c>
      <c r="D26" s="112" t="str">
        <f aca="false">IF(Checks!$U$484="","",Checks!$U$484)&amp;IF(Checks!$AB$484="","",CHAR(10)&amp;"CA: "&amp;Checks!$AB$484)</f>
        <v/>
      </c>
      <c r="E26" s="112" t="str">
        <f aca="false">IF(Checks!$V$484="","",Checks!$V$484)&amp;IF(Checks!$AC$484="","",IF(Checks!$V$484="","",CHAR(10))&amp;"N/A just.: "&amp;Checks!$AC$484)&amp;IF(Checks!$W$484="","",CHAR(10)&amp;"Batch: "&amp;Checks!$W$484)&amp;IF(AND(Checks!$X$484="",Checks!$Y$484=""),"",CHAR(10)&amp;"Exp: "&amp;Checks!$X$484&amp;"  /  Act: "&amp;Checks!$Y$484)</f>
        <v/>
      </c>
      <c r="F26" s="112" t="str">
        <f aca="false">IF(Checks!$Z$484="","","Evidence: "&amp;Checks!$Z$484)&amp;IF(Checks!$AA$484="","",IF(Checks!$Z$484="","",CHAR(10))&amp;"CA: "&amp;Checks!$AA$484)</f>
        <v/>
      </c>
      <c r="G26" s="112" t="str">
        <f aca="false">IF(ISNUMBER(Checks!$AD$484),TEXT(Checks!$AD$484,"DD-MMM-YY HH:MM")&amp;" "&amp;Checks!$P$484,"")&amp;IF(Checks!$AE$484="","",CHAR(10)&amp;"Verifier: "&amp;Checks!$AE$484)&amp;IF(Checks!$T$484="","",CHAR(10)&amp;"PIC: "&amp;Checks!$T$484)</f>
        <v/>
      </c>
      <c r="H26" s="113" t="str">
        <f aca="false">IF(Checks!$AH$484="","",Checks!$AH$484)</f>
        <v>OPEN</v>
      </c>
    </row>
    <row r="27" customFormat="false" ht="114" hidden="false" customHeight="true" outlineLevel="0" collapsed="false">
      <c r="A27" s="112" t="str">
        <f aca="false">Checks!$A$485&amp;CHAR(10)&amp;IF(Checks!$I$485="","",Checks!$I$485&amp;": ")&amp;Checks!$J$485</f>
        <v>F15-T7-05
ISOP: All latest applicable ISOP revisions communicated to caterer</v>
      </c>
      <c r="B27" s="112" t="str">
        <f aca="false">Checks!$K$485&amp;IF(Checks!$O$485="","",IF(Checks!$K$485="","",CHAR(10))&amp;"Note: "&amp;Checks!$O$485)</f>
        <v>List revision numbers in Result (see ISOP register)</v>
      </c>
      <c r="C27" s="112" t="str">
        <f aca="false">Checks!$N$485&amp;CHAR(10)&amp;IF(ISNUMBER(Checks!$R$485),TEXT(Checks!$R$485,"DD-MMM-YY HH:MM"),"")&amp;" "&amp;Checks!$P$485</f>
        <v>Required
18-Oct-26 12:00 LHR</v>
      </c>
      <c r="D27" s="112" t="str">
        <f aca="false">IF(Checks!$U$485="","",Checks!$U$485)&amp;IF(Checks!$AB$485="","",CHAR(10)&amp;"CA: "&amp;Checks!$AB$485)</f>
        <v/>
      </c>
      <c r="E27" s="112" t="str">
        <f aca="false">IF(Checks!$V$485="","",Checks!$V$485)&amp;IF(Checks!$AC$485="","",IF(Checks!$V$485="","",CHAR(10))&amp;"N/A just.: "&amp;Checks!$AC$485)&amp;IF(Checks!$W$485="","",CHAR(10)&amp;"Batch: "&amp;Checks!$W$485)&amp;IF(AND(Checks!$X$485="",Checks!$Y$485=""),"",CHAR(10)&amp;"Exp: "&amp;Checks!$X$485&amp;"  /  Act: "&amp;Checks!$Y$485)</f>
        <v/>
      </c>
      <c r="F27" s="112" t="str">
        <f aca="false">IF(Checks!$Z$485="","","Evidence: "&amp;Checks!$Z$485)&amp;IF(Checks!$AA$485="","",IF(Checks!$Z$485="","",CHAR(10))&amp;"CA: "&amp;Checks!$AA$485)</f>
        <v/>
      </c>
      <c r="G27" s="112" t="str">
        <f aca="false">IF(ISNUMBER(Checks!$AD$485),TEXT(Checks!$AD$485,"DD-MMM-YY HH:MM")&amp;" "&amp;Checks!$P$485,"")&amp;IF(Checks!$AE$485="","",CHAR(10)&amp;"Verifier: "&amp;Checks!$AE$485)&amp;IF(Checks!$T$485="","",CHAR(10)&amp;"PIC: "&amp;Checks!$T$485)</f>
        <v/>
      </c>
      <c r="H27" s="113" t="str">
        <f aca="false">IF(Checks!$AH$485="","",Checks!$AH$485)</f>
        <v>OPEN</v>
      </c>
    </row>
    <row r="28" customFormat="false" ht="114" hidden="false" customHeight="true" outlineLevel="0" collapsed="false">
      <c r="A28" s="112" t="str">
        <f aca="false">Checks!$A$486&amp;CHAR(10)&amp;IF(Checks!$I$486="","",Checks!$I$486&amp;": ")&amp;Checks!$J$486</f>
        <v>F15-T7-06
ISOP: Caterer acknowledgement of ISOP revisions recorded</v>
      </c>
      <c r="B28" s="112" t="str">
        <f aca="false">Checks!$K$486&amp;IF(Checks!$O$486="","",IF(Checks!$K$486="","",CHAR(10))&amp;"Note: "&amp;Checks!$O$486)</f>
        <v>Record acknowledgement ref in Evidence</v>
      </c>
      <c r="C28" s="112" t="str">
        <f aca="false">Checks!$N$486&amp;CHAR(10)&amp;IF(ISNUMBER(Checks!$R$486),TEXT(Checks!$R$486,"DD-MMM-YY HH:MM"),"")&amp;" "&amp;Checks!$P$486</f>
        <v>Required
18-Oct-26 12:00 LHR</v>
      </c>
      <c r="D28" s="112" t="str">
        <f aca="false">IF(Checks!$U$486="","",Checks!$U$486)&amp;IF(Checks!$AB$486="","",CHAR(10)&amp;"CA: "&amp;Checks!$AB$486)</f>
        <v/>
      </c>
      <c r="E28" s="112" t="str">
        <f aca="false">IF(Checks!$V$486="","",Checks!$V$486)&amp;IF(Checks!$AC$486="","",IF(Checks!$V$486="","",CHAR(10))&amp;"N/A just.: "&amp;Checks!$AC$486)&amp;IF(Checks!$W$486="","",CHAR(10)&amp;"Batch: "&amp;Checks!$W$486)&amp;IF(AND(Checks!$X$486="",Checks!$Y$486=""),"",CHAR(10)&amp;"Exp: "&amp;Checks!$X$486&amp;"  /  Act: "&amp;Checks!$Y$486)</f>
        <v/>
      </c>
      <c r="F28" s="112" t="str">
        <f aca="false">IF(Checks!$Z$486="","","Evidence: "&amp;Checks!$Z$486)&amp;IF(Checks!$AA$486="","",IF(Checks!$Z$486="","",CHAR(10))&amp;"CA: "&amp;Checks!$AA$486)</f>
        <v/>
      </c>
      <c r="G28" s="112" t="str">
        <f aca="false">IF(ISNUMBER(Checks!$AD$486),TEXT(Checks!$AD$486,"DD-MMM-YY HH:MM")&amp;" "&amp;Checks!$P$486,"")&amp;IF(Checks!$AE$486="","",CHAR(10)&amp;"Verifier: "&amp;Checks!$AE$486)&amp;IF(Checks!$T$486="","",CHAR(10)&amp;"PIC: "&amp;Checks!$T$486)</f>
        <v/>
      </c>
      <c r="H28" s="113" t="str">
        <f aca="false">IF(Checks!$AH$486="","",Checks!$AH$486)</f>
        <v>OPEN</v>
      </c>
    </row>
    <row r="29" customFormat="false" ht="114" hidden="false" customHeight="true" outlineLevel="0" collapsed="false">
      <c r="A29" s="112" t="str">
        <f aca="false">Checks!$A$487&amp;CHAR(10)&amp;IF(Checks!$I$487="","",Checks!$I$487&amp;": ")&amp;Checks!$J$487</f>
        <v>F15-T7-07
Documents: Galley loading diagram (GLD) received, revision recorded &amp; attached</v>
      </c>
      <c r="B29" s="112" t="str">
        <f aca="false">Checks!$K$487&amp;IF(Checks!$O$487="","",IF(Checks!$K$487="","",CHAR(10))&amp;"Note: "&amp;Checks!$O$487)</f>
        <v>Documents sheet row complete</v>
      </c>
      <c r="C29" s="112" t="str">
        <f aca="false">Checks!$N$487&amp;CHAR(10)&amp;IF(ISNUMBER(Checks!$R$487),TEXT(Checks!$R$487,"DD-MMM-YY HH:MM"),"")&amp;" "&amp;Checks!$P$487</f>
        <v>Required
18-Oct-26 12:00 LHR</v>
      </c>
      <c r="D29" s="112" t="str">
        <f aca="false">IF(Checks!$U$487="","",Checks!$U$487)&amp;IF(Checks!$AB$487="","",CHAR(10)&amp;"CA: "&amp;Checks!$AB$487)</f>
        <v/>
      </c>
      <c r="E29" s="112" t="str">
        <f aca="false">IF(Checks!$V$487="","",Checks!$V$487)&amp;IF(Checks!$AC$487="","",IF(Checks!$V$487="","",CHAR(10))&amp;"N/A just.: "&amp;Checks!$AC$487)&amp;IF(Checks!$W$487="","",CHAR(10)&amp;"Batch: "&amp;Checks!$W$487)&amp;IF(AND(Checks!$X$487="",Checks!$Y$487=""),"",CHAR(10)&amp;"Exp: "&amp;Checks!$X$487&amp;"  /  Act: "&amp;Checks!$Y$487)</f>
        <v/>
      </c>
      <c r="F29" s="112" t="str">
        <f aca="false">IF(Checks!$Z$487="","","Evidence: "&amp;Checks!$Z$487)&amp;IF(Checks!$AA$487="","",IF(Checks!$Z$487="","",CHAR(10))&amp;"CA: "&amp;Checks!$AA$487)</f>
        <v/>
      </c>
      <c r="G29" s="112" t="str">
        <f aca="false">IF(ISNUMBER(Checks!$AD$487),TEXT(Checks!$AD$487,"DD-MMM-YY HH:MM")&amp;" "&amp;Checks!$P$487,"")&amp;IF(Checks!$AE$487="","",CHAR(10)&amp;"Verifier: "&amp;Checks!$AE$487)&amp;IF(Checks!$T$487="","",CHAR(10)&amp;"PIC: "&amp;Checks!$T$487)</f>
        <v/>
      </c>
      <c r="H29" s="113" t="str">
        <f aca="false">IF(Checks!$AH$487="","",Checks!$AH$487)</f>
        <v>OPEN</v>
      </c>
    </row>
    <row r="30" customFormat="false" ht="114" hidden="false" customHeight="true" outlineLevel="0" collapsed="false">
      <c r="A30" s="112" t="str">
        <f aca="false">Checks!$A$488&amp;CHAR(10)&amp;IF(Checks!$I$488="","",Checks!$I$488&amp;": ")&amp;Checks!$J$488</f>
        <v>F15-T7-08
Documents: Menu checklist received, revision recorded &amp; attached</v>
      </c>
      <c r="B30" s="112" t="str">
        <f aca="false">Checks!$K$488&amp;IF(Checks!$O$488="","",IF(Checks!$K$488="","",CHAR(10))&amp;"Note: "&amp;Checks!$O$488)</f>
        <v>Documents sheet row complete</v>
      </c>
      <c r="C30" s="112" t="str">
        <f aca="false">Checks!$N$488&amp;CHAR(10)&amp;IF(ISNUMBER(Checks!$R$488),TEXT(Checks!$R$488,"DD-MMM-YY HH:MM"),"")&amp;" "&amp;Checks!$P$488</f>
        <v>Required
18-Oct-26 12:00 LHR</v>
      </c>
      <c r="D30" s="112" t="str">
        <f aca="false">IF(Checks!$U$488="","",Checks!$U$488)&amp;IF(Checks!$AB$488="","",CHAR(10)&amp;"CA: "&amp;Checks!$AB$488)</f>
        <v/>
      </c>
      <c r="E30" s="112" t="str">
        <f aca="false">IF(Checks!$V$488="","",Checks!$V$488)&amp;IF(Checks!$AC$488="","",IF(Checks!$V$488="","",CHAR(10))&amp;"N/A just.: "&amp;Checks!$AC$488)&amp;IF(Checks!$W$488="","",CHAR(10)&amp;"Batch: "&amp;Checks!$W$488)&amp;IF(AND(Checks!$X$488="",Checks!$Y$488=""),"",CHAR(10)&amp;"Exp: "&amp;Checks!$X$488&amp;"  /  Act: "&amp;Checks!$Y$488)</f>
        <v/>
      </c>
      <c r="F30" s="112" t="str">
        <f aca="false">IF(Checks!$Z$488="","","Evidence: "&amp;Checks!$Z$488)&amp;IF(Checks!$AA$488="","",IF(Checks!$Z$488="","",CHAR(10))&amp;"CA: "&amp;Checks!$AA$488)</f>
        <v/>
      </c>
      <c r="G30" s="112" t="str">
        <f aca="false">IF(ISNUMBER(Checks!$AD$488),TEXT(Checks!$AD$488,"DD-MMM-YY HH:MM")&amp;" "&amp;Checks!$P$488,"")&amp;IF(Checks!$AE$488="","",CHAR(10)&amp;"Verifier: "&amp;Checks!$AE$488)&amp;IF(Checks!$T$488="","",CHAR(10)&amp;"PIC: "&amp;Checks!$T$488)</f>
        <v/>
      </c>
      <c r="H30" s="113" t="str">
        <f aca="false">IF(Checks!$AH$488="","",Checks!$AH$488)</f>
        <v>OPEN</v>
      </c>
    </row>
    <row r="31" customFormat="false" ht="114" hidden="false" customHeight="true" outlineLevel="0" collapsed="false">
      <c r="A31" s="112" t="str">
        <f aca="false">Checks!$A$489&amp;CHAR(10)&amp;IF(Checks!$I$489="","",Checks!$I$489&amp;": ")&amp;Checks!$J$489</f>
        <v>F15-T7-09
Uplift plan: Uplift plan confirmed with caterer vs STD Uplift Information</v>
      </c>
      <c r="B31" s="112" t="str">
        <f aca="false">Checks!$K$489&amp;IF(Checks!$O$489="","",IF(Checks!$K$489="","",CHAR(10))&amp;"Note: "&amp;Checks!$O$489)</f>
        <v>Service: 2.5 Meal (Meal); meal uplift stn LHR (ref lists KUL/LHR)</v>
      </c>
      <c r="C31" s="112" t="str">
        <f aca="false">Checks!$N$489&amp;CHAR(10)&amp;IF(ISNUMBER(Checks!$R$489),TEXT(Checks!$R$489,"DD-MMM-YY HH:MM"),"")&amp;" "&amp;Checks!$P$489</f>
        <v>Required
18-Oct-26 12:00 LHR</v>
      </c>
      <c r="D31" s="112" t="str">
        <f aca="false">IF(Checks!$U$489="","",Checks!$U$489)&amp;IF(Checks!$AB$489="","",CHAR(10)&amp;"CA: "&amp;Checks!$AB$489)</f>
        <v/>
      </c>
      <c r="E31" s="112" t="str">
        <f aca="false">IF(Checks!$V$489="","",Checks!$V$489)&amp;IF(Checks!$AC$489="","",IF(Checks!$V$489="","",CHAR(10))&amp;"N/A just.: "&amp;Checks!$AC$489)&amp;IF(Checks!$W$489="","",CHAR(10)&amp;"Batch: "&amp;Checks!$W$489)&amp;IF(AND(Checks!$X$489="",Checks!$Y$489=""),"",CHAR(10)&amp;"Exp: "&amp;Checks!$X$489&amp;"  /  Act: "&amp;Checks!$Y$489)</f>
        <v/>
      </c>
      <c r="F31" s="112" t="str">
        <f aca="false">IF(Checks!$Z$489="","","Evidence: "&amp;Checks!$Z$489)&amp;IF(Checks!$AA$489="","",IF(Checks!$Z$489="","",CHAR(10))&amp;"CA: "&amp;Checks!$AA$489)</f>
        <v/>
      </c>
      <c r="G31" s="112" t="str">
        <f aca="false">IF(ISNUMBER(Checks!$AD$489),TEXT(Checks!$AD$489,"DD-MMM-YY HH:MM")&amp;" "&amp;Checks!$P$489,"")&amp;IF(Checks!$AE$489="","",CHAR(10)&amp;"Verifier: "&amp;Checks!$AE$489)&amp;IF(Checks!$T$489="","",CHAR(10)&amp;"PIC: "&amp;Checks!$T$489)</f>
        <v/>
      </c>
      <c r="H31" s="113" t="str">
        <f aca="false">IF(Checks!$AH$489="","",Checks!$AH$489)</f>
        <v>OPEN</v>
      </c>
    </row>
    <row r="32" customFormat="false" ht="25.5" hidden="false" customHeight="true" outlineLevel="0" collapsed="false">
      <c r="A32" s="111"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Checks!$A$490&amp;CHAR(10)&amp;IF(Checks!$I$490="","",Checks!$I$490&amp;": ")&amp;Checks!$J$490</f>
        <v>F15-T24-01
Meal: Sensory test repeated on ACTUAL production batch for this flight</v>
      </c>
      <c r="B33" s="112" t="str">
        <f aca="false">Checks!$K$490&amp;IF(Checks!$O$490="","",IF(Checks!$K$490="","",CHAR(10))&amp;"Note: "&amp;Checks!$O$490)</f>
        <v>Batch ID, result, CA and acceptance mandatory</v>
      </c>
      <c r="C33" s="112" t="str">
        <f aca="false">Checks!$N$490&amp;CHAR(10)&amp;IF(ISNUMBER(Checks!$R$490),TEXT(Checks!$R$490,"DD-MMM-YY HH:MM"),"")&amp;" "&amp;Checks!$P$490</f>
        <v>Required
24-Oct-26 12:00 LHR</v>
      </c>
      <c r="D33" s="112" t="str">
        <f aca="false">IF(Checks!$U$490="","",Checks!$U$490)&amp;IF(Checks!$AB$490="","",CHAR(10)&amp;"CA: "&amp;Checks!$AB$490)</f>
        <v/>
      </c>
      <c r="E33" s="112" t="str">
        <f aca="false">IF(Checks!$V$490="","",Checks!$V$490)&amp;IF(Checks!$AC$490="","",IF(Checks!$V$490="","",CHAR(10))&amp;"N/A just.: "&amp;Checks!$AC$490)&amp;IF(Checks!$W$490="","",CHAR(10)&amp;"Batch: "&amp;Checks!$W$490)&amp;IF(AND(Checks!$X$490="",Checks!$Y$490=""),"",CHAR(10)&amp;"Exp: "&amp;Checks!$X$490&amp;"  /  Act: "&amp;Checks!$Y$490)</f>
        <v/>
      </c>
      <c r="F33" s="112" t="str">
        <f aca="false">IF(Checks!$Z$490="","","Evidence: "&amp;Checks!$Z$490)&amp;IF(Checks!$AA$490="","",IF(Checks!$Z$490="","",CHAR(10))&amp;"CA: "&amp;Checks!$AA$490)</f>
        <v/>
      </c>
      <c r="G33" s="112" t="str">
        <f aca="false">IF(ISNUMBER(Checks!$AD$490),TEXT(Checks!$AD$490,"DD-MMM-YY HH:MM")&amp;" "&amp;Checks!$P$490,"")&amp;IF(Checks!$AE$490="","",CHAR(10)&amp;"Verifier: "&amp;Checks!$AE$490)&amp;IF(Checks!$T$490="","",CHAR(10)&amp;"PIC: "&amp;Checks!$T$490)</f>
        <v/>
      </c>
      <c r="H33" s="113" t="str">
        <f aca="false">IF(Checks!$AH$490="","",Checks!$AH$490)</f>
        <v>OPEN</v>
      </c>
    </row>
    <row r="34" customFormat="false" ht="25.5" hidden="false" customHeight="true" outlineLevel="0" collapsed="false">
      <c r="A34" s="111"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1"/>
      <c r="C34" s="111"/>
      <c r="D34" s="111"/>
      <c r="E34" s="111"/>
      <c r="F34" s="111"/>
      <c r="G34" s="111"/>
      <c r="H34" s="111"/>
    </row>
    <row r="35" customFormat="false" ht="114" hidden="false" customHeight="true" outlineLevel="0" collapsed="false">
      <c r="A35" s="112" t="str">
        <f aca="false">Checks!$A$491&amp;CHAR(10)&amp;IF(Checks!$I$491="","",Checks!$I$491&amp;": ")&amp;Checks!$J$491</f>
        <v>F15-T12-01
Meal: Meal quality vs menu checklist</v>
      </c>
      <c r="B35" s="112" t="str">
        <f aca="false">Checks!$K$491&amp;IF(Checks!$O$491="","",IF(Checks!$K$491="","",CHAR(10))&amp;"Note: "&amp;Checks!$O$491)</f>
        <v>Note: Preparation check at caterer - does NOT confirm loading.</v>
      </c>
      <c r="C35" s="112" t="str">
        <f aca="false">Checks!$N$491&amp;CHAR(10)&amp;IF(ISNUMBER(Checks!$R$491),TEXT(Checks!$R$491,"DD-MMM-YY HH:MM"),"")&amp;" "&amp;Checks!$P$491</f>
        <v>Required
25-Oct-26 00:00 LHR</v>
      </c>
      <c r="D35" s="112" t="str">
        <f aca="false">IF(Checks!$U$491="","",Checks!$U$491)&amp;IF(Checks!$AB$491="","",CHAR(10)&amp;"CA: "&amp;Checks!$AB$491)</f>
        <v/>
      </c>
      <c r="E35" s="112" t="str">
        <f aca="false">IF(Checks!$V$491="","",Checks!$V$491)&amp;IF(Checks!$AC$491="","",IF(Checks!$V$491="","",CHAR(10))&amp;"N/A just.: "&amp;Checks!$AC$491)&amp;IF(Checks!$W$491="","",CHAR(10)&amp;"Batch: "&amp;Checks!$W$491)&amp;IF(AND(Checks!$X$491="",Checks!$Y$491=""),"",CHAR(10)&amp;"Exp: "&amp;Checks!$X$491&amp;"  /  Act: "&amp;Checks!$Y$491)</f>
        <v/>
      </c>
      <c r="F35" s="112" t="str">
        <f aca="false">IF(Checks!$Z$491="","","Evidence: "&amp;Checks!$Z$491)&amp;IF(Checks!$AA$491="","",IF(Checks!$Z$491="","",CHAR(10))&amp;"CA: "&amp;Checks!$AA$491)</f>
        <v/>
      </c>
      <c r="G35" s="112" t="str">
        <f aca="false">IF(ISNUMBER(Checks!$AD$491),TEXT(Checks!$AD$491,"DD-MMM-YY HH:MM")&amp;" "&amp;Checks!$P$491,"")&amp;IF(Checks!$AE$491="","",CHAR(10)&amp;"Verifier: "&amp;Checks!$AE$491)&amp;IF(Checks!$T$491="","",CHAR(10)&amp;"PIC: "&amp;Checks!$T$491)</f>
        <v/>
      </c>
      <c r="H35" s="113" t="str">
        <f aca="false">IF(Checks!$AH$491="","",Checks!$AH$491)</f>
        <v>OPEN</v>
      </c>
    </row>
    <row r="36" customFormat="false" ht="114" hidden="false" customHeight="true" outlineLevel="0" collapsed="false">
      <c r="A36" s="112" t="str">
        <f aca="false">Checks!$A$492&amp;CHAR(10)&amp;IF(Checks!$I$492="","",Checks!$I$492&amp;": ")&amp;Checks!$J$492</f>
        <v>F15-T12-02
Meal: Meal quantities vs menu checklist</v>
      </c>
      <c r="B36" s="112" t="str">
        <f aca="false">Checks!$K$492&amp;IF(Checks!$O$492="","",IF(Checks!$K$492="","",CHAR(10))&amp;"Note: "&amp;Checks!$O$492)</f>
        <v>Enter expected &amp; actual
Note: Preparation check at caterer - does NOT confirm loading.</v>
      </c>
      <c r="C36" s="112" t="str">
        <f aca="false">Checks!$N$492&amp;CHAR(10)&amp;IF(ISNUMBER(Checks!$R$492),TEXT(Checks!$R$492,"DD-MMM-YY HH:MM"),"")&amp;" "&amp;Checks!$P$492</f>
        <v>Required
25-Oct-26 00:00 LHR</v>
      </c>
      <c r="D36" s="112" t="str">
        <f aca="false">IF(Checks!$U$492="","",Checks!$U$492)&amp;IF(Checks!$AB$492="","",CHAR(10)&amp;"CA: "&amp;Checks!$AB$492)</f>
        <v/>
      </c>
      <c r="E36" s="112" t="str">
        <f aca="false">IF(Checks!$V$492="","",Checks!$V$492)&amp;IF(Checks!$AC$492="","",IF(Checks!$V$492="","",CHAR(10))&amp;"N/A just.: "&amp;Checks!$AC$492)&amp;IF(Checks!$W$492="","",CHAR(10)&amp;"Batch: "&amp;Checks!$W$492)&amp;IF(AND(Checks!$X$492="",Checks!$Y$492=""),"",CHAR(10)&amp;"Exp: "&amp;Checks!$X$492&amp;"  /  Act: "&amp;Checks!$Y$492)</f>
        <v/>
      </c>
      <c r="F36" s="112" t="str">
        <f aca="false">IF(Checks!$Z$492="","","Evidence: "&amp;Checks!$Z$492)&amp;IF(Checks!$AA$492="","",IF(Checks!$Z$492="","",CHAR(10))&amp;"CA: "&amp;Checks!$AA$492)</f>
        <v/>
      </c>
      <c r="G36" s="112" t="str">
        <f aca="false">IF(ISNUMBER(Checks!$AD$492),TEXT(Checks!$AD$492,"DD-MMM-YY HH:MM")&amp;" "&amp;Checks!$P$492,"")&amp;IF(Checks!$AE$492="","",CHAR(10)&amp;"Verifier: "&amp;Checks!$AE$492)&amp;IF(Checks!$T$492="","",CHAR(10)&amp;"PIC: "&amp;Checks!$T$492)</f>
        <v/>
      </c>
      <c r="H36" s="113" t="str">
        <f aca="false">IF(Checks!$AH$492="","",Checks!$AH$492)</f>
        <v>OPEN</v>
      </c>
    </row>
    <row r="37" customFormat="false" ht="114" hidden="false" customHeight="true" outlineLevel="0" collapsed="false">
      <c r="A37" s="112" t="str">
        <f aca="false">Checks!$A$493&amp;CHAR(10)&amp;IF(Checks!$I$493="","",Checks!$I$493&amp;": ")&amp;Checks!$J$493</f>
        <v>F15-T12-03
Equipment: Equipment cleanliness vs GLD</v>
      </c>
      <c r="B37" s="112" t="str">
        <f aca="false">Checks!$K$493&amp;IF(Checks!$O$493="","",IF(Checks!$K$493="","",CHAR(10))&amp;"Note: "&amp;Checks!$O$493)</f>
        <v>Note: Preparation check at caterer - does NOT confirm loading.</v>
      </c>
      <c r="C37" s="112" t="str">
        <f aca="false">Checks!$N$493&amp;CHAR(10)&amp;IF(ISNUMBER(Checks!$R$493),TEXT(Checks!$R$493,"DD-MMM-YY HH:MM"),"")&amp;" "&amp;Checks!$P$493</f>
        <v>Required
25-Oct-26 00:00 LHR</v>
      </c>
      <c r="D37" s="112" t="str">
        <f aca="false">IF(Checks!$U$493="","",Checks!$U$493)&amp;IF(Checks!$AB$493="","",CHAR(10)&amp;"CA: "&amp;Checks!$AB$493)</f>
        <v/>
      </c>
      <c r="E37" s="112" t="str">
        <f aca="false">IF(Checks!$V$493="","",Checks!$V$493)&amp;IF(Checks!$AC$493="","",IF(Checks!$V$493="","",CHAR(10))&amp;"N/A just.: "&amp;Checks!$AC$493)&amp;IF(Checks!$W$493="","",CHAR(10)&amp;"Batch: "&amp;Checks!$W$493)&amp;IF(AND(Checks!$X$493="",Checks!$Y$493=""),"",CHAR(10)&amp;"Exp: "&amp;Checks!$X$493&amp;"  /  Act: "&amp;Checks!$Y$493)</f>
        <v/>
      </c>
      <c r="F37" s="112" t="str">
        <f aca="false">IF(Checks!$Z$493="","","Evidence: "&amp;Checks!$Z$493)&amp;IF(Checks!$AA$493="","",IF(Checks!$Z$493="","",CHAR(10))&amp;"CA: "&amp;Checks!$AA$493)</f>
        <v/>
      </c>
      <c r="G37" s="112" t="str">
        <f aca="false">IF(ISNUMBER(Checks!$AD$493),TEXT(Checks!$AD$493,"DD-MMM-YY HH:MM")&amp;" "&amp;Checks!$P$493,"")&amp;IF(Checks!$AE$493="","",CHAR(10)&amp;"Verifier: "&amp;Checks!$AE$493)&amp;IF(Checks!$T$493="","",CHAR(10)&amp;"PIC: "&amp;Checks!$T$493)</f>
        <v/>
      </c>
      <c r="H37" s="113" t="str">
        <f aca="false">IF(Checks!$AH$493="","",Checks!$AH$493)</f>
        <v>OPEN</v>
      </c>
    </row>
    <row r="38" customFormat="false" ht="114" hidden="false" customHeight="true" outlineLevel="0" collapsed="false">
      <c r="A38" s="112" t="str">
        <f aca="false">Checks!$A$494&amp;CHAR(10)&amp;IF(Checks!$I$494="","",Checks!$I$494&amp;": ")&amp;Checks!$J$494</f>
        <v>F15-T12-04
Equipment: Equipment presentation vs GLD</v>
      </c>
      <c r="B38" s="112" t="str">
        <f aca="false">Checks!$K$494&amp;IF(Checks!$O$494="","",IF(Checks!$K$494="","",CHAR(10))&amp;"Note: "&amp;Checks!$O$494)</f>
        <v>Note: Preparation check at caterer - does NOT confirm loading.</v>
      </c>
      <c r="C38" s="112" t="str">
        <f aca="false">Checks!$N$494&amp;CHAR(10)&amp;IF(ISNUMBER(Checks!$R$494),TEXT(Checks!$R$494,"DD-MMM-YY HH:MM"),"")&amp;" "&amp;Checks!$P$494</f>
        <v>Required
25-Oct-26 00:00 LHR</v>
      </c>
      <c r="D38" s="112" t="str">
        <f aca="false">IF(Checks!$U$494="","",Checks!$U$494)&amp;IF(Checks!$AB$494="","",CHAR(10)&amp;"CA: "&amp;Checks!$AB$494)</f>
        <v/>
      </c>
      <c r="E38" s="112" t="str">
        <f aca="false">IF(Checks!$V$494="","",Checks!$V$494)&amp;IF(Checks!$AC$494="","",IF(Checks!$V$494="","",CHAR(10))&amp;"N/A just.: "&amp;Checks!$AC$494)&amp;IF(Checks!$W$494="","",CHAR(10)&amp;"Batch: "&amp;Checks!$W$494)&amp;IF(AND(Checks!$X$494="",Checks!$Y$494=""),"",CHAR(10)&amp;"Exp: "&amp;Checks!$X$494&amp;"  /  Act: "&amp;Checks!$Y$494)</f>
        <v/>
      </c>
      <c r="F38" s="112" t="str">
        <f aca="false">IF(Checks!$Z$494="","","Evidence: "&amp;Checks!$Z$494)&amp;IF(Checks!$AA$494="","",IF(Checks!$Z$494="","",CHAR(10))&amp;"CA: "&amp;Checks!$AA$494)</f>
        <v/>
      </c>
      <c r="G38" s="112" t="str">
        <f aca="false">IF(ISNUMBER(Checks!$AD$494),TEXT(Checks!$AD$494,"DD-MMM-YY HH:MM")&amp;" "&amp;Checks!$P$494,"")&amp;IF(Checks!$AE$494="","",CHAR(10)&amp;"Verifier: "&amp;Checks!$AE$494)&amp;IF(Checks!$T$494="","",CHAR(10)&amp;"PIC: "&amp;Checks!$T$494)</f>
        <v/>
      </c>
      <c r="H38" s="113" t="str">
        <f aca="false">IF(Checks!$AH$494="","",Checks!$AH$494)</f>
        <v>OPEN</v>
      </c>
    </row>
    <row r="39" customFormat="false" ht="114" hidden="false" customHeight="true" outlineLevel="0" collapsed="false">
      <c r="A39" s="112" t="str">
        <f aca="false">Checks!$A$495&amp;CHAR(10)&amp;IF(Checks!$I$495="","",Checks!$I$495&amp;": ")&amp;Checks!$J$495</f>
        <v>F15-T12-05
Equipment: Equipment serviceability vs GLD</v>
      </c>
      <c r="B39" s="112" t="str">
        <f aca="false">Checks!$K$495&amp;IF(Checks!$O$495="","",IF(Checks!$K$495="","",CHAR(10))&amp;"Note: "&amp;Checks!$O$495)</f>
        <v>Note: Preparation check at caterer - does NOT confirm loading.</v>
      </c>
      <c r="C39" s="112" t="str">
        <f aca="false">Checks!$N$495&amp;CHAR(10)&amp;IF(ISNUMBER(Checks!$R$495),TEXT(Checks!$R$495,"DD-MMM-YY HH:MM"),"")&amp;" "&amp;Checks!$P$495</f>
        <v>Required
25-Oct-26 00:00 LHR</v>
      </c>
      <c r="D39" s="112" t="str">
        <f aca="false">IF(Checks!$U$495="","",Checks!$U$495)&amp;IF(Checks!$AB$495="","",CHAR(10)&amp;"CA: "&amp;Checks!$AB$495)</f>
        <v/>
      </c>
      <c r="E39" s="112" t="str">
        <f aca="false">IF(Checks!$V$495="","",Checks!$V$495)&amp;IF(Checks!$AC$495="","",IF(Checks!$V$495="","",CHAR(10))&amp;"N/A just.: "&amp;Checks!$AC$495)&amp;IF(Checks!$W$495="","",CHAR(10)&amp;"Batch: "&amp;Checks!$W$495)&amp;IF(AND(Checks!$X$495="",Checks!$Y$495=""),"",CHAR(10)&amp;"Exp: "&amp;Checks!$X$495&amp;"  /  Act: "&amp;Checks!$Y$495)</f>
        <v/>
      </c>
      <c r="F39" s="112" t="str">
        <f aca="false">IF(Checks!$Z$495="","","Evidence: "&amp;Checks!$Z$495)&amp;IF(Checks!$AA$495="","",IF(Checks!$Z$495="","",CHAR(10))&amp;"CA: "&amp;Checks!$AA$495)</f>
        <v/>
      </c>
      <c r="G39" s="112" t="str">
        <f aca="false">IF(ISNUMBER(Checks!$AD$495),TEXT(Checks!$AD$495,"DD-MMM-YY HH:MM")&amp;" "&amp;Checks!$P$495,"")&amp;IF(Checks!$AE$495="","",CHAR(10)&amp;"Verifier: "&amp;Checks!$AE$495)&amp;IF(Checks!$T$495="","",CHAR(10)&amp;"PIC: "&amp;Checks!$T$495)</f>
        <v/>
      </c>
      <c r="H39" s="113" t="str">
        <f aca="false">IF(Checks!$AH$495="","",Checks!$AH$495)</f>
        <v>OPEN</v>
      </c>
    </row>
    <row r="40" customFormat="false" ht="322.5" hidden="false" customHeight="true" outlineLevel="0" collapsed="false">
      <c r="A40" s="112" t="str">
        <f aca="false">Checks!$A$496&amp;CHAR(10)&amp;IF(Checks!$I$496="","",Checks!$I$496&amp;": ")&amp;Checks!$J$496</f>
        <v>F15-T12-06
Equipment: Equipment quantities vs GLD</v>
      </c>
      <c r="B40" s="112"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2" t="str">
        <f aca="false">Checks!$N$496&amp;CHAR(10)&amp;IF(ISNUMBER(Checks!$R$496),TEXT(Checks!$R$496,"DD-MMM-YY HH:MM"),"")&amp;" "&amp;Checks!$P$496</f>
        <v>Required
25-Oct-26 00:00 LHR</v>
      </c>
      <c r="D40" s="112" t="str">
        <f aca="false">IF(Checks!$U$496="","",Checks!$U$496)&amp;IF(Checks!$AB$496="","",CHAR(10)&amp;"CA: "&amp;Checks!$AB$496)</f>
        <v/>
      </c>
      <c r="E40" s="112" t="str">
        <f aca="false">IF(Checks!$V$496="","",Checks!$V$496)&amp;IF(Checks!$AC$496="","",IF(Checks!$V$496="","",CHAR(10))&amp;"N/A just.: "&amp;Checks!$AC$496)&amp;IF(Checks!$W$496="","",CHAR(10)&amp;"Batch: "&amp;Checks!$W$496)&amp;IF(AND(Checks!$X$496="",Checks!$Y$496=""),"",CHAR(10)&amp;"Exp: "&amp;Checks!$X$496&amp;"  /  Act: "&amp;Checks!$Y$496)</f>
        <v/>
      </c>
      <c r="F40" s="112" t="str">
        <f aca="false">IF(Checks!$Z$496="","","Evidence: "&amp;Checks!$Z$496)&amp;IF(Checks!$AA$496="","",IF(Checks!$Z$496="","",CHAR(10))&amp;"CA: "&amp;Checks!$AA$496)</f>
        <v/>
      </c>
      <c r="G40" s="112" t="str">
        <f aca="false">IF(ISNUMBER(Checks!$AD$496),TEXT(Checks!$AD$496,"DD-MMM-YY HH:MM")&amp;" "&amp;Checks!$P$496,"")&amp;IF(Checks!$AE$496="","",CHAR(10)&amp;"Verifier: "&amp;Checks!$AE$496)&amp;IF(Checks!$T$496="","",CHAR(10)&amp;"PIC: "&amp;Checks!$T$496)</f>
        <v/>
      </c>
      <c r="H40" s="113" t="str">
        <f aca="false">IF(Checks!$AH$496="","",Checks!$AH$496)</f>
        <v>OPEN</v>
      </c>
    </row>
    <row r="41" customFormat="false" ht="114" hidden="false" customHeight="true" outlineLevel="0" collapsed="false">
      <c r="A41" s="112" t="str">
        <f aca="false">Checks!$A$497&amp;CHAR(10)&amp;IF(Checks!$I$497="","",Checks!$I$497&amp;": ")&amp;Checks!$J$497</f>
        <v>F15-T12-07
Equipment: Loading positions planned vs GLD</v>
      </c>
      <c r="B41" s="112" t="str">
        <f aca="false">Checks!$K$497&amp;IF(Checks!$O$497="","",IF(Checks!$K$497="","",CHAR(10))&amp;"Note: "&amp;Checks!$O$497)</f>
        <v>Note: Preparation check at caterer - does NOT confirm loading.</v>
      </c>
      <c r="C41" s="112" t="str">
        <f aca="false">Checks!$N$497&amp;CHAR(10)&amp;IF(ISNUMBER(Checks!$R$497),TEXT(Checks!$R$497,"DD-MMM-YY HH:MM"),"")&amp;" "&amp;Checks!$P$497</f>
        <v>Required
25-Oct-26 00:00 LHR</v>
      </c>
      <c r="D41" s="112" t="str">
        <f aca="false">IF(Checks!$U$497="","",Checks!$U$497)&amp;IF(Checks!$AB$497="","",CHAR(10)&amp;"CA: "&amp;Checks!$AB$497)</f>
        <v/>
      </c>
      <c r="E41" s="112" t="str">
        <f aca="false">IF(Checks!$V$497="","",Checks!$V$497)&amp;IF(Checks!$AC$497="","",IF(Checks!$V$497="","",CHAR(10))&amp;"N/A just.: "&amp;Checks!$AC$497)&amp;IF(Checks!$W$497="","",CHAR(10)&amp;"Batch: "&amp;Checks!$W$497)&amp;IF(AND(Checks!$X$497="",Checks!$Y$497=""),"",CHAR(10)&amp;"Exp: "&amp;Checks!$X$497&amp;"  /  Act: "&amp;Checks!$Y$497)</f>
        <v/>
      </c>
      <c r="F41" s="112" t="str">
        <f aca="false">IF(Checks!$Z$497="","","Evidence: "&amp;Checks!$Z$497)&amp;IF(Checks!$AA$497="","",IF(Checks!$Z$497="","",CHAR(10))&amp;"CA: "&amp;Checks!$AA$497)</f>
        <v/>
      </c>
      <c r="G41" s="112" t="str">
        <f aca="false">IF(ISNUMBER(Checks!$AD$497),TEXT(Checks!$AD$497,"DD-MMM-YY HH:MM")&amp;" "&amp;Checks!$P$497,"")&amp;IF(Checks!$AE$497="","",CHAR(10)&amp;"Verifier: "&amp;Checks!$AE$497)&amp;IF(Checks!$T$497="","",CHAR(10)&amp;"PIC: "&amp;Checks!$T$497)</f>
        <v/>
      </c>
      <c r="H41" s="113" t="str">
        <f aca="false">IF(Checks!$AH$497="","",Checks!$AH$497)</f>
        <v>OPEN</v>
      </c>
    </row>
    <row r="42" customFormat="false" ht="135.75" hidden="false" customHeight="true" outlineLevel="0" collapsed="false">
      <c r="A42" s="112" t="str">
        <f aca="false">Checks!$A$498&amp;CHAR(10)&amp;IF(Checks!$I$498="","",Checks!$I$498&amp;": ")&amp;Checks!$J$498</f>
        <v>F15-T12-08
Amenities: Toiletry kits - prepared</v>
      </c>
      <c r="B42" s="112"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2" t="str">
        <f aca="false">Checks!$N$498&amp;CHAR(10)&amp;IF(ISNUMBER(Checks!$R$498),TEXT(Checks!$R$498,"DD-MMM-YY HH:MM"),"")&amp;" "&amp;Checks!$P$498</f>
        <v>Clarification required
25-Oct-26 00:00 LHR</v>
      </c>
      <c r="D42" s="112" t="str">
        <f aca="false">IF(Checks!$U$498="","",Checks!$U$498)&amp;IF(Checks!$AB$498="","",CHAR(10)&amp;"CA: "&amp;Checks!$AB$498)</f>
        <v/>
      </c>
      <c r="E42" s="112" t="str">
        <f aca="false">IF(Checks!$V$498="","",Checks!$V$498)&amp;IF(Checks!$AC$498="","",IF(Checks!$V$498="","",CHAR(10))&amp;"N/A just.: "&amp;Checks!$AC$498)&amp;IF(Checks!$W$498="","",CHAR(10)&amp;"Batch: "&amp;Checks!$W$498)&amp;IF(AND(Checks!$X$498="",Checks!$Y$498=""),"",CHAR(10)&amp;"Exp: "&amp;Checks!$X$498&amp;"  /  Act: "&amp;Checks!$Y$498)</f>
        <v/>
      </c>
      <c r="F42" s="112" t="str">
        <f aca="false">IF(Checks!$Z$498="","","Evidence: "&amp;Checks!$Z$498)&amp;IF(Checks!$AA$498="","",IF(Checks!$Z$498="","",CHAR(10))&amp;"CA: "&amp;Checks!$AA$498)</f>
        <v/>
      </c>
      <c r="G42" s="112" t="str">
        <f aca="false">IF(ISNUMBER(Checks!$AD$498),TEXT(Checks!$AD$498,"DD-MMM-YY HH:MM")&amp;" "&amp;Checks!$P$498,"")&amp;IF(Checks!$AE$498="","",CHAR(10)&amp;"Verifier: "&amp;Checks!$AE$498)&amp;IF(Checks!$T$498="","",CHAR(10)&amp;"PIC: "&amp;Checks!$T$498)</f>
        <v/>
      </c>
      <c r="H42" s="113" t="str">
        <f aca="false">IF(Checks!$AH$498="","",Checks!$AH$498)</f>
        <v>OPEN – CLARIFICATION</v>
      </c>
    </row>
    <row r="43" customFormat="false" ht="114" hidden="false" customHeight="true" outlineLevel="0" collapsed="false">
      <c r="A43" s="112" t="str">
        <f aca="false">Checks!$A$499&amp;CHAR(10)&amp;IF(Checks!$I$499="","",Checks!$I$499&amp;": ")&amp;Checks!$J$499</f>
        <v>F15-T12-09
Seat Linen: Seat pillow (EY) - prepared</v>
      </c>
      <c r="B43" s="112" t="str">
        <f aca="false">Checks!$K$499&amp;IF(Checks!$O$499="","",IF(Checks!$K$499="","",CHAR(10))&amp;"Note: "&amp;Checks!$O$499)</f>
        <v>Available 100% (ticked in reference)
Note: Reference gives no uplift stn for this item: preparation checked at the meal uplift stn (LHR) - confirm with caterer.</v>
      </c>
      <c r="C43" s="112" t="str">
        <f aca="false">Checks!$N$499&amp;CHAR(10)&amp;IF(ISNUMBER(Checks!$R$499),TEXT(Checks!$R$499,"DD-MMM-YY HH:MM"),"")&amp;" "&amp;Checks!$P$499</f>
        <v>Required
25-Oct-26 00:00 LHR</v>
      </c>
      <c r="D43" s="112" t="str">
        <f aca="false">IF(Checks!$U$499="","",Checks!$U$499)&amp;IF(Checks!$AB$499="","",CHAR(10)&amp;"CA: "&amp;Checks!$AB$499)</f>
        <v/>
      </c>
      <c r="E43" s="112" t="str">
        <f aca="false">IF(Checks!$V$499="","",Checks!$V$499)&amp;IF(Checks!$AC$499="","",IF(Checks!$V$499="","",CHAR(10))&amp;"N/A just.: "&amp;Checks!$AC$499)&amp;IF(Checks!$W$499="","",CHAR(10)&amp;"Batch: "&amp;Checks!$W$499)&amp;IF(AND(Checks!$X$499="",Checks!$Y$499=""),"",CHAR(10)&amp;"Exp: "&amp;Checks!$X$499&amp;"  /  Act: "&amp;Checks!$Y$499)</f>
        <v/>
      </c>
      <c r="F43" s="112" t="str">
        <f aca="false">IF(Checks!$Z$499="","","Evidence: "&amp;Checks!$Z$499)&amp;IF(Checks!$AA$499="","",IF(Checks!$Z$499="","",CHAR(10))&amp;"CA: "&amp;Checks!$AA$499)</f>
        <v/>
      </c>
      <c r="G43" s="112" t="str">
        <f aca="false">IF(ISNUMBER(Checks!$AD$499),TEXT(Checks!$AD$499,"DD-MMM-YY HH:MM")&amp;" "&amp;Checks!$P$499,"")&amp;IF(Checks!$AE$499="","",CHAR(10)&amp;"Verifier: "&amp;Checks!$AE$499)&amp;IF(Checks!$T$499="","",CHAR(10)&amp;"PIC: "&amp;Checks!$T$499)</f>
        <v/>
      </c>
      <c r="H43" s="113" t="str">
        <f aca="false">IF(Checks!$AH$499="","",Checks!$AH$499)</f>
        <v>OPEN</v>
      </c>
    </row>
    <row r="44" customFormat="false" ht="246" hidden="false" customHeight="true" outlineLevel="0" collapsed="false">
      <c r="A44" s="112" t="str">
        <f aca="false">Checks!$A$500&amp;CHAR(10)&amp;IF(Checks!$I$500="","",Checks!$I$500&amp;": ")&amp;Checks!$J$500</f>
        <v>F15-T12-10
Seat Linen: Blanket (EY) - prepared</v>
      </c>
      <c r="B44" s="112"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2" t="str">
        <f aca="false">Checks!$N$500&amp;CHAR(10)&amp;IF(ISNUMBER(Checks!$R$500),TEXT(Checks!$R$500,"DD-MMM-YY HH:MM"),"")&amp;" "&amp;Checks!$P$500</f>
        <v>Required
25-Oct-26 00:00 LHR</v>
      </c>
      <c r="D44" s="112" t="str">
        <f aca="false">IF(Checks!$U$500="","",Checks!$U$500)&amp;IF(Checks!$AB$500="","",CHAR(10)&amp;"CA: "&amp;Checks!$AB$500)</f>
        <v/>
      </c>
      <c r="E44" s="112" t="str">
        <f aca="false">IF(Checks!$V$500="","",Checks!$V$500)&amp;IF(Checks!$AC$500="","",IF(Checks!$V$500="","",CHAR(10))&amp;"N/A just.: "&amp;Checks!$AC$500)&amp;IF(Checks!$W$500="","",CHAR(10)&amp;"Batch: "&amp;Checks!$W$500)&amp;IF(AND(Checks!$X$500="",Checks!$Y$500=""),"",CHAR(10)&amp;"Exp: "&amp;Checks!$X$500&amp;"  /  Act: "&amp;Checks!$Y$500)</f>
        <v/>
      </c>
      <c r="F44" s="112" t="str">
        <f aca="false">IF(Checks!$Z$500="","","Evidence: "&amp;Checks!$Z$500)&amp;IF(Checks!$AA$500="","",IF(Checks!$Z$500="","",CHAR(10))&amp;"CA: "&amp;Checks!$AA$500)</f>
        <v/>
      </c>
      <c r="G44" s="112" t="str">
        <f aca="false">IF(ISNUMBER(Checks!$AD$500),TEXT(Checks!$AD$500,"DD-MMM-YY HH:MM")&amp;" "&amp;Checks!$P$500,"")&amp;IF(Checks!$AE$500="","",CHAR(10)&amp;"Verifier: "&amp;Checks!$AE$500)&amp;IF(Checks!$T$500="","",CHAR(10)&amp;"PIC: "&amp;Checks!$T$500)</f>
        <v/>
      </c>
      <c r="H44" s="113" t="str">
        <f aca="false">IF(Checks!$AH$500="","",Checks!$AH$500)</f>
        <v>OPEN</v>
      </c>
    </row>
    <row r="45" customFormat="false" ht="25.5" hidden="false" customHeight="true" outlineLevel="0" collapsed="false">
      <c r="A45" s="111"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1"/>
      <c r="C45" s="111"/>
      <c r="D45" s="111"/>
      <c r="E45" s="111"/>
      <c r="F45" s="111"/>
      <c r="G45" s="111"/>
      <c r="H45" s="111"/>
    </row>
    <row r="46" customFormat="false" ht="114" hidden="false" customHeight="true" outlineLevel="0" collapsed="false">
      <c r="A46" s="112" t="str">
        <f aca="false">Checks!$A$501&amp;CHAR(10)&amp;IF(Checks!$I$501="","",Checks!$I$501&amp;": ")&amp;Checks!$J$501</f>
        <v>F15-UPL-01
Meal: Meals physically uplifted on board - quantity vs menu checklist</v>
      </c>
      <c r="B46" s="112" t="str">
        <f aca="false">Checks!$K$501&amp;IF(Checks!$O$501="","",IF(Checks!$K$501="","",CHAR(10))&amp;"Note: "&amp;Checks!$O$501)</f>
        <v>Enter expected &amp; actual
Note: Confirm on board before departure; completion time must fall inside the uplift window.</v>
      </c>
      <c r="C46" s="112" t="str">
        <f aca="false">Checks!$N$501&amp;CHAR(10)&amp;IF(ISNUMBER(Checks!$R$501),TEXT(Checks!$R$501,"DD-MMM-YY HH:MM"),"")&amp;" "&amp;Checks!$P$501</f>
        <v>Required
25-Oct-26 11:00 LHR</v>
      </c>
      <c r="D46" s="112" t="str">
        <f aca="false">IF(Checks!$U$501="","",Checks!$U$501)&amp;IF(Checks!$AB$501="","",CHAR(10)&amp;"CA: "&amp;Checks!$AB$501)</f>
        <v/>
      </c>
      <c r="E46" s="112" t="str">
        <f aca="false">IF(Checks!$V$501="","",Checks!$V$501)&amp;IF(Checks!$AC$501="","",IF(Checks!$V$501="","",CHAR(10))&amp;"N/A just.: "&amp;Checks!$AC$501)&amp;IF(Checks!$W$501="","",CHAR(10)&amp;"Batch: "&amp;Checks!$W$501)&amp;IF(AND(Checks!$X$501="",Checks!$Y$501=""),"",CHAR(10)&amp;"Exp: "&amp;Checks!$X$501&amp;"  /  Act: "&amp;Checks!$Y$501)</f>
        <v/>
      </c>
      <c r="F46" s="112" t="str">
        <f aca="false">IF(Checks!$Z$501="","","Evidence: "&amp;Checks!$Z$501)&amp;IF(Checks!$AA$501="","",IF(Checks!$Z$501="","",CHAR(10))&amp;"CA: "&amp;Checks!$AA$501)</f>
        <v/>
      </c>
      <c r="G46" s="112" t="str">
        <f aca="false">IF(ISNUMBER(Checks!$AD$501),TEXT(Checks!$AD$501,"DD-MMM-YY HH:MM")&amp;" "&amp;Checks!$P$501,"")&amp;IF(Checks!$AE$501="","",CHAR(10)&amp;"Verifier: "&amp;Checks!$AE$501)&amp;IF(Checks!$T$501="","",CHAR(10)&amp;"PIC: "&amp;Checks!$T$501)</f>
        <v/>
      </c>
      <c r="H46" s="113" t="str">
        <f aca="false">IF(Checks!$AH$501="","",Checks!$AH$501)</f>
        <v>OPEN</v>
      </c>
    </row>
    <row r="47" customFormat="false" ht="114" hidden="false" customHeight="true" outlineLevel="0" collapsed="false">
      <c r="A47" s="112" t="str">
        <f aca="false">Checks!$A$502&amp;CHAR(10)&amp;IF(Checks!$I$502="","",Checks!$I$502&amp;": ")&amp;Checks!$J$502</f>
        <v>F15-UPL-02
Equipment: Equipment physically loaded at GLD positions - quantity &amp; positions</v>
      </c>
      <c r="B47" s="112" t="str">
        <f aca="false">Checks!$K$502&amp;IF(Checks!$O$502="","",IF(Checks!$K$502="","",CHAR(10))&amp;"Note: "&amp;Checks!$O$502)</f>
        <v>Enter expected &amp; actual
Note: Confirm on board before departure; completion time must fall inside the uplift window.</v>
      </c>
      <c r="C47" s="112" t="str">
        <f aca="false">Checks!$N$502&amp;CHAR(10)&amp;IF(ISNUMBER(Checks!$R$502),TEXT(Checks!$R$502,"DD-MMM-YY HH:MM"),"")&amp;" "&amp;Checks!$P$502</f>
        <v>Required
25-Oct-26 11:00 LHR</v>
      </c>
      <c r="D47" s="112" t="str">
        <f aca="false">IF(Checks!$U$502="","",Checks!$U$502)&amp;IF(Checks!$AB$502="","",CHAR(10)&amp;"CA: "&amp;Checks!$AB$502)</f>
        <v/>
      </c>
      <c r="E47" s="112" t="str">
        <f aca="false">IF(Checks!$V$502="","",Checks!$V$502)&amp;IF(Checks!$AC$502="","",IF(Checks!$V$502="","",CHAR(10))&amp;"N/A just.: "&amp;Checks!$AC$502)&amp;IF(Checks!$W$502="","",CHAR(10)&amp;"Batch: "&amp;Checks!$W$502)&amp;IF(AND(Checks!$X$502="",Checks!$Y$502=""),"",CHAR(10)&amp;"Exp: "&amp;Checks!$X$502&amp;"  /  Act: "&amp;Checks!$Y$502)</f>
        <v/>
      </c>
      <c r="F47" s="112" t="str">
        <f aca="false">IF(Checks!$Z$502="","","Evidence: "&amp;Checks!$Z$502)&amp;IF(Checks!$AA$502="","",IF(Checks!$Z$502="","",CHAR(10))&amp;"CA: "&amp;Checks!$AA$502)</f>
        <v/>
      </c>
      <c r="G47" s="112" t="str">
        <f aca="false">IF(ISNUMBER(Checks!$AD$502),TEXT(Checks!$AD$502,"DD-MMM-YY HH:MM")&amp;" "&amp;Checks!$P$502,"")&amp;IF(Checks!$AE$502="","",CHAR(10)&amp;"Verifier: "&amp;Checks!$AE$502)&amp;IF(Checks!$T$502="","",CHAR(10)&amp;"PIC: "&amp;Checks!$T$502)</f>
        <v/>
      </c>
      <c r="H47" s="113" t="str">
        <f aca="false">IF(Checks!$AH$502="","",Checks!$AH$502)</f>
        <v>OPEN</v>
      </c>
    </row>
    <row r="48" customFormat="false" ht="135.75" hidden="false" customHeight="true" outlineLevel="0" collapsed="false">
      <c r="A48" s="112" t="str">
        <f aca="false">Checks!$A$503&amp;CHAR(10)&amp;IF(Checks!$I$503="","",Checks!$I$503&amp;": ")&amp;Checks!$J$503</f>
        <v>F15-UPL-03
Amenities: Toiletry kits - on board</v>
      </c>
      <c r="B48" s="112"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2" t="str">
        <f aca="false">Checks!$N$503&amp;CHAR(10)&amp;IF(ISNUMBER(Checks!$R$503),TEXT(Checks!$R$503,"DD-MMM-YY HH:MM"),"")&amp;" "&amp;Checks!$P$503</f>
        <v>Clarification required
25-Oct-26 11:00 LHR</v>
      </c>
      <c r="D48" s="112" t="str">
        <f aca="false">IF(Checks!$U$503="","",Checks!$U$503)&amp;IF(Checks!$AB$503="","",CHAR(10)&amp;"CA: "&amp;Checks!$AB$503)</f>
        <v/>
      </c>
      <c r="E48" s="112" t="str">
        <f aca="false">IF(Checks!$V$503="","",Checks!$V$503)&amp;IF(Checks!$AC$503="","",IF(Checks!$V$503="","",CHAR(10))&amp;"N/A just.: "&amp;Checks!$AC$503)&amp;IF(Checks!$W$503="","",CHAR(10)&amp;"Batch: "&amp;Checks!$W$503)&amp;IF(AND(Checks!$X$503="",Checks!$Y$503=""),"",CHAR(10)&amp;"Exp: "&amp;Checks!$X$503&amp;"  /  Act: "&amp;Checks!$Y$503)</f>
        <v/>
      </c>
      <c r="F48" s="112" t="str">
        <f aca="false">IF(Checks!$Z$503="","","Evidence: "&amp;Checks!$Z$503)&amp;IF(Checks!$AA$503="","",IF(Checks!$Z$503="","",CHAR(10))&amp;"CA: "&amp;Checks!$AA$503)</f>
        <v/>
      </c>
      <c r="G48" s="112" t="str">
        <f aca="false">IF(ISNUMBER(Checks!$AD$503),TEXT(Checks!$AD$503,"DD-MMM-YY HH:MM")&amp;" "&amp;Checks!$P$503,"")&amp;IF(Checks!$AE$503="","",CHAR(10)&amp;"Verifier: "&amp;Checks!$AE$503)&amp;IF(Checks!$T$503="","",CHAR(10)&amp;"PIC: "&amp;Checks!$T$503)</f>
        <v/>
      </c>
      <c r="H48" s="113" t="str">
        <f aca="false">IF(Checks!$AH$503="","",Checks!$AH$503)</f>
        <v>OPEN – CLARIFICATION</v>
      </c>
    </row>
    <row r="49" customFormat="false" ht="114" hidden="false" customHeight="true" outlineLevel="0" collapsed="false">
      <c r="A49" s="112" t="str">
        <f aca="false">Checks!$A$504&amp;CHAR(10)&amp;IF(Checks!$I$504="","",Checks!$I$504&amp;": ")&amp;Checks!$J$504</f>
        <v>F15-UPL-04
Seat Linen: Seat pillow (EY) - on board</v>
      </c>
      <c r="B49" s="112" t="str">
        <f aca="false">Checks!$K$504&amp;IF(Checks!$O$504="","",IF(Checks!$K$504="","",CHAR(10))&amp;"Note: "&amp;Checks!$O$504)</f>
        <v>Available 100% (ticked in reference)</v>
      </c>
      <c r="C49" s="112" t="str">
        <f aca="false">Checks!$N$504&amp;CHAR(10)&amp;IF(ISNUMBER(Checks!$R$504),TEXT(Checks!$R$504,"DD-MMM-YY HH:MM"),"")&amp;" "&amp;Checks!$P$504</f>
        <v>Required
25-Oct-26 11:00 LHR</v>
      </c>
      <c r="D49" s="112" t="str">
        <f aca="false">IF(Checks!$U$504="","",Checks!$U$504)&amp;IF(Checks!$AB$504="","",CHAR(10)&amp;"CA: "&amp;Checks!$AB$504)</f>
        <v/>
      </c>
      <c r="E49" s="112" t="str">
        <f aca="false">IF(Checks!$V$504="","",Checks!$V$504)&amp;IF(Checks!$AC$504="","",IF(Checks!$V$504="","",CHAR(10))&amp;"N/A just.: "&amp;Checks!$AC$504)&amp;IF(Checks!$W$504="","",CHAR(10)&amp;"Batch: "&amp;Checks!$W$504)&amp;IF(AND(Checks!$X$504="",Checks!$Y$504=""),"",CHAR(10)&amp;"Exp: "&amp;Checks!$X$504&amp;"  /  Act: "&amp;Checks!$Y$504)</f>
        <v/>
      </c>
      <c r="F49" s="112" t="str">
        <f aca="false">IF(Checks!$Z$504="","","Evidence: "&amp;Checks!$Z$504)&amp;IF(Checks!$AA$504="","",IF(Checks!$Z$504="","",CHAR(10))&amp;"CA: "&amp;Checks!$AA$504)</f>
        <v/>
      </c>
      <c r="G49" s="112" t="str">
        <f aca="false">IF(ISNUMBER(Checks!$AD$504),TEXT(Checks!$AD$504,"DD-MMM-YY HH:MM")&amp;" "&amp;Checks!$P$504,"")&amp;IF(Checks!$AE$504="","",CHAR(10)&amp;"Verifier: "&amp;Checks!$AE$504)&amp;IF(Checks!$T$504="","",CHAR(10)&amp;"PIC: "&amp;Checks!$T$504)</f>
        <v/>
      </c>
      <c r="H49" s="113" t="str">
        <f aca="false">IF(Checks!$AH$504="","",Checks!$AH$504)</f>
        <v>OPEN</v>
      </c>
    </row>
    <row r="50" customFormat="false" ht="168.75" hidden="false" customHeight="true" outlineLevel="0" collapsed="false">
      <c r="A50" s="112" t="str">
        <f aca="false">Checks!$A$505&amp;CHAR(10)&amp;IF(Checks!$I$505="","",Checks!$I$505&amp;": ")&amp;Checks!$J$505</f>
        <v>F15-UPL-05
Seat Linen: Blanket (EY) - on board</v>
      </c>
      <c r="B50" s="112"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2" t="str">
        <f aca="false">Checks!$N$505&amp;CHAR(10)&amp;IF(ISNUMBER(Checks!$R$505),TEXT(Checks!$R$505,"DD-MMM-YY HH:MM"),"")&amp;" "&amp;Checks!$P$505</f>
        <v>Required
25-Oct-26 11:00 LHR</v>
      </c>
      <c r="D50" s="112" t="str">
        <f aca="false">IF(Checks!$U$505="","",Checks!$U$505)&amp;IF(Checks!$AB$505="","",CHAR(10)&amp;"CA: "&amp;Checks!$AB$505)</f>
        <v/>
      </c>
      <c r="E50" s="112" t="str">
        <f aca="false">IF(Checks!$V$505="","",Checks!$V$505)&amp;IF(Checks!$AC$505="","",IF(Checks!$V$505="","",CHAR(10))&amp;"N/A just.: "&amp;Checks!$AC$505)&amp;IF(Checks!$W$505="","",CHAR(10)&amp;"Batch: "&amp;Checks!$W$505)&amp;IF(AND(Checks!$X$505="",Checks!$Y$505=""),"",CHAR(10)&amp;"Exp: "&amp;Checks!$X$505&amp;"  /  Act: "&amp;Checks!$Y$505)</f>
        <v/>
      </c>
      <c r="F50" s="112" t="str">
        <f aca="false">IF(Checks!$Z$505="","","Evidence: "&amp;Checks!$Z$505)&amp;IF(Checks!$AA$505="","",IF(Checks!$Z$505="","",CHAR(10))&amp;"CA: "&amp;Checks!$AA$505)</f>
        <v/>
      </c>
      <c r="G50" s="112" t="str">
        <f aca="false">IF(ISNUMBER(Checks!$AD$505),TEXT(Checks!$AD$505,"DD-MMM-YY HH:MM")&amp;" "&amp;Checks!$P$505,"")&amp;IF(Checks!$AE$505="","",CHAR(10)&amp;"Verifier: "&amp;Checks!$AE$505)&amp;IF(Checks!$T$505="","",CHAR(10)&amp;"PIC: "&amp;Checks!$T$505)</f>
        <v/>
      </c>
      <c r="H50" s="113" t="str">
        <f aca="false">IF(Checks!$AH$505="","",Checks!$AH$505)</f>
        <v>OPEN</v>
      </c>
    </row>
    <row r="52" customFormat="false" ht="24" hidden="false" customHeight="true" outlineLevel="0" collapsed="false">
      <c r="A52" s="114" t="s">
        <v>1647</v>
      </c>
      <c r="B52" s="114"/>
      <c r="C52" s="114"/>
      <c r="D52" s="114"/>
      <c r="E52" s="114" t="s">
        <v>1648</v>
      </c>
      <c r="F52" s="114"/>
      <c r="G52" s="114"/>
      <c r="H52" s="114"/>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F16  "&amp;Flights!$F$20&amp;"  "&amp;TEXT(Flights!$D$20,"DD-MMM-YY")&amp;" ("&amp;Flights!$E$20&amp;")  "&amp;Flights!$G$20&amp;" → "&amp;Flights!$H$20&amp;"  |  Class "&amp;Flights!$K$20</f>
        <v>SKYTRAX 2026 CATERING READINESS CHECKLIST  |  F16  MH0072  26-Oct-26 (MON)  KUL → HKG  |  Class EY</v>
      </c>
      <c r="B1" s="90"/>
      <c r="C1" s="90"/>
      <c r="D1" s="90"/>
      <c r="E1" s="90"/>
      <c r="F1" s="90"/>
      <c r="G1" s="90"/>
      <c r="H1" s="90"/>
    </row>
    <row r="2" customFormat="false" ht="12.75" hidden="false" customHeight="true" outlineLevel="0" collapsed="false">
      <c r="A2" s="91" t="s">
        <v>1602</v>
      </c>
      <c r="B2" s="92" t="str">
        <f aca="false">Flights!$F$20&amp;"   "&amp;TEXT(Flights!$D$20,"DD-MMM-YY")&amp;" ("&amp;Flights!$E$20&amp;")"</f>
        <v>MH0072   26-Oct-26 (MON)</v>
      </c>
      <c r="C2" s="92"/>
      <c r="D2" s="92"/>
      <c r="E2" s="93" t="s">
        <v>1603</v>
      </c>
      <c r="F2" s="94" t="str">
        <f aca="false">Flights!$AT$20</f>
        <v>NOT READY – DOCUMENTS</v>
      </c>
      <c r="G2" s="94"/>
      <c r="H2" s="94"/>
    </row>
    <row r="3" customFormat="false" ht="24" hidden="false" customHeight="true" outlineLevel="0" collapsed="false">
      <c r="A3" s="91" t="s">
        <v>1604</v>
      </c>
      <c r="B3" s="92" t="str">
        <f aca="false">Flights!$G$20&amp;" → "&amp;Flights!$H$20&amp;"   Class "&amp;Flights!$K$20&amp;"   Seat "&amp;Flights!$O$20</f>
        <v>KUL → HKG   Class EY   Seat 4C</v>
      </c>
      <c r="C3" s="92"/>
      <c r="D3" s="92"/>
      <c r="E3" s="93" t="s">
        <v>66</v>
      </c>
      <c r="F3" s="93" t="s">
        <v>1605</v>
      </c>
      <c r="G3" s="93" t="s">
        <v>1606</v>
      </c>
      <c r="H3" s="93"/>
    </row>
    <row r="4" customFormat="false" ht="24" hidden="false" customHeight="true" outlineLevel="0" collapsed="false">
      <c r="A4" s="91" t="s">
        <v>1607</v>
      </c>
      <c r="B4" s="92" t="str">
        <f aca="false">IF(ISNUMBER(Flights!$I$20),TEXT(Flights!$I$20,"DD-MMM-YY HH:MM"),"")&amp;" "&amp;Flights!$G$20&amp;"  →  "&amp;IF(ISNUMBER(Flights!$J$20),TEXT(Flights!$J$20,"DD-MMM-YY HH:MM"),"")&amp;" "&amp;Flights!$H$20</f>
        <v>26-Oct-26 09:10 KUL  →  26-Oct-26 13:15 HKG</v>
      </c>
      <c r="C4" s="92"/>
      <c r="D4" s="92"/>
      <c r="E4" s="91" t="s">
        <v>1608</v>
      </c>
      <c r="F4" s="95" t="str">
        <f aca="false">IF(ISNUMBER(Flights!$AG$20),TEXT(Flights!$AG$20,"DD-MMM-YY HH:MM"),"")&amp;" "&amp;Flights!$V$20</f>
        <v>19-Oct-26 09:10 KUL</v>
      </c>
      <c r="G4" s="96" t="n">
        <f aca="false">Flights!$AJ$20</f>
        <v>0</v>
      </c>
      <c r="H4" s="96"/>
    </row>
    <row r="5" customFormat="false" ht="24" hidden="false" customHeight="true" outlineLevel="0" collapsed="false">
      <c r="A5" s="91" t="s">
        <v>1609</v>
      </c>
      <c r="B5" s="92" t="str">
        <f aca="false">Flights!$L$20&amp;" – "&amp;Flights!$M$20</f>
        <v>B738MAX – B737-8 (B7M8)</v>
      </c>
      <c r="C5" s="92"/>
      <c r="D5" s="92"/>
      <c r="E5" s="91" t="s">
        <v>1610</v>
      </c>
      <c r="F5" s="95" t="str">
        <f aca="false">IF(ISNUMBER(Flights!$AH$20),TEXT(Flights!$AH$20,"DD-MMM-YY HH:MM"),"")&amp;" "&amp;Flights!$V$20</f>
        <v>25-Oct-26 09:10 KUL</v>
      </c>
      <c r="G5" s="96" t="n">
        <f aca="false">Flights!$AK$20</f>
        <v>0</v>
      </c>
      <c r="H5" s="96"/>
    </row>
    <row r="6" customFormat="false" ht="24" hidden="false" customHeight="true" outlineLevel="0" collapsed="false">
      <c r="A6" s="91" t="s">
        <v>1611</v>
      </c>
      <c r="B6" s="92" t="str">
        <f aca="false">IF(TRIM(Flights!$N$20)="","__________________",Flights!$N$20)</f>
        <v>__________________</v>
      </c>
      <c r="C6" s="92"/>
      <c r="D6" s="92"/>
      <c r="E6" s="91" t="s">
        <v>1612</v>
      </c>
      <c r="F6" s="95" t="str">
        <f aca="false">IF(ISNUMBER(Flights!$AI$20),TEXT(Flights!$AI$20,"DD-MMM-YY HH:MM"),"")&amp;" "&amp;Flights!$V$20&amp;IF(Flights!$AI$20=Flights!$AH$20,"  (= T-24H due)","")</f>
        <v>25-Oct-26 21:10 KUL</v>
      </c>
      <c r="G6" s="96" t="n">
        <f aca="false">Flights!$AL$20</f>
        <v>0</v>
      </c>
      <c r="H6" s="96"/>
    </row>
    <row r="7" customFormat="false" ht="24" hidden="false" customHeight="true" outlineLevel="0" collapsed="false">
      <c r="A7" s="91" t="s">
        <v>1613</v>
      </c>
      <c r="B7" s="92" t="str">
        <f aca="false">Flights!$T$20</f>
        <v>1 Meal + DAT(Noodles Svc) (Meal)</v>
      </c>
      <c r="C7" s="92"/>
      <c r="D7" s="92"/>
      <c r="E7" s="91" t="s">
        <v>1614</v>
      </c>
      <c r="F7" s="95" t="str">
        <f aca="false">"STD "&amp;IF(ISNUMBER(Flights!$I$20),TEXT(Flights!$I$20,"DD-MMM-YY HH:MM"),"")&amp;" "&amp;Flights!$G$20&amp;" (dep stn)"</f>
        <v>STD 26-Oct-26 09:10 KUL (dep stn)</v>
      </c>
      <c r="G7" s="96" t="n">
        <f aca="false">Flights!$AM$20</f>
        <v>0</v>
      </c>
      <c r="H7" s="96"/>
    </row>
    <row r="8" customFormat="false" ht="12.75" hidden="false" customHeight="true" outlineLevel="0" collapsed="false">
      <c r="A8" s="91" t="s">
        <v>148</v>
      </c>
      <c r="B8" s="92" t="str">
        <f aca="false">Flights!$V$20&amp;"   (reference uplift stns: "&amp;Flights!$U$20&amp;")"</f>
        <v>KUL   (reference uplift stns: KUL/HKG)</v>
      </c>
      <c r="C8" s="92"/>
      <c r="D8" s="92"/>
      <c r="E8" s="91" t="s">
        <v>1615</v>
      </c>
      <c r="F8" s="97" t="s">
        <v>1616</v>
      </c>
      <c r="G8" s="96" t="n">
        <f aca="false">Flights!$AN$20</f>
        <v>0</v>
      </c>
      <c r="H8" s="96"/>
    </row>
    <row r="9" customFormat="false" ht="12.75" hidden="false" customHeight="true" outlineLevel="0" collapsed="false">
      <c r="A9" s="91" t="s">
        <v>1617</v>
      </c>
      <c r="B9" s="92" t="str">
        <f aca="false">TRIM(Flights!$P$20&amp;"  "&amp;Flights!$Q$20)</f>
        <v>2H 25M Overnight HKG</v>
      </c>
      <c r="C9" s="92"/>
      <c r="D9" s="92"/>
      <c r="E9" s="91" t="s">
        <v>1618</v>
      </c>
      <c r="F9" s="98" t="n">
        <f aca="false">Flights!$AP$20</f>
        <v>0</v>
      </c>
      <c r="G9" s="98" t="n">
        <f aca="false">Flights!$AQ$20</f>
        <v>0</v>
      </c>
      <c r="H9" s="98" t="n">
        <f aca="false">Flights!$AU$20</f>
        <v>0</v>
      </c>
    </row>
    <row r="10" customFormat="false" ht="24" hidden="false" customHeight="true" outlineLevel="0" collapsed="false">
      <c r="A10" s="91" t="s">
        <v>1619</v>
      </c>
      <c r="B10" s="92" t="str">
        <f aca="false">IF(TRIM(Flights!$X$20)="","__________________",Flights!$X$20)</f>
        <v>__________________</v>
      </c>
      <c r="C10" s="92"/>
      <c r="D10" s="92"/>
      <c r="E10" s="91" t="s">
        <v>1620</v>
      </c>
      <c r="F10" s="98" t="n">
        <f aca="false">Flights!$AO$20</f>
        <v>24</v>
      </c>
      <c r="G10" s="98" t="n">
        <f aca="false">Flights!$AS$20</f>
        <v>2</v>
      </c>
      <c r="H10" s="98" t="n">
        <f aca="false">Flights!$AR$20</f>
        <v>2</v>
      </c>
    </row>
    <row r="11" customFormat="false" ht="21" hidden="false" customHeight="true" outlineLevel="0" collapsed="false">
      <c r="A11" s="91" t="s">
        <v>1621</v>
      </c>
      <c r="B11" s="92" t="str">
        <f aca="false">IF(TRIM(Flights!$Y$20)="","__________________",Flights!$Y$20)</f>
        <v>__________________</v>
      </c>
      <c r="C11" s="92"/>
      <c r="D11" s="92"/>
      <c r="E11" s="91" t="s">
        <v>1622</v>
      </c>
      <c r="F11" s="98" t="str">
        <f aca="false">Flights!$AV$20&amp;" / "&amp;Flights!$AW$20</f>
        <v>0 / 24</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IF(Documents!$F$20="","",Documents!$F$20)</f>
        <v/>
      </c>
      <c r="C14" s="97" t="str">
        <f aca="false">IF(Documents!$G$20="","",Documents!$G$20)&amp;IF(ISNUMBER(Documents!$H$20),"  "&amp;TEXT(Documents!$H$20,"DD-MMM-YY"),"")</f>
        <v/>
      </c>
      <c r="D14" s="97"/>
      <c r="E14" s="105" t="str">
        <f aca="false">IF(Documents!$J$20="OUTSTANDING","OUTSTANDING – attach before T-7D (due "&amp;IF(ISNUMBER(Flights!$AG$20),TEXT(Flights!$AG$20,"DD-MMM-YY HH:MM"),"")&amp;" "&amp;Flights!$V$20&amp;")",IF(Documents!$J$20="","Status not recorded",Documents!$J$20))</f>
        <v>OUTSTANDING – attach before T-7D (due 19-Oct-26 09:10 KUL)</v>
      </c>
      <c r="F14" s="106" t="str">
        <f aca="false">"Staple behind this sheet as page A1."&amp;IF(Documents!$I$20="",""," Location: "&amp;Documents!$I$20)</f>
        <v>Staple behind this sheet as page A1.</v>
      </c>
      <c r="G14" s="106"/>
      <c r="H14" s="106"/>
    </row>
    <row r="15" customFormat="false" ht="36" hidden="false" customHeight="true" outlineLevel="0" collapsed="false">
      <c r="A15" s="91" t="s">
        <v>1633</v>
      </c>
      <c r="B15" s="92" t="str">
        <f aca="false">IF(Documents!$K$20="","",Documents!$K$20)</f>
        <v/>
      </c>
      <c r="C15" s="97" t="str">
        <f aca="false">IF(Documents!$L$20="","",Documents!$L$20)&amp;IF(ISNUMBER(Documents!$M$20),"  "&amp;TEXT(Documents!$M$20,"DD-MMM-YY"),"")</f>
        <v/>
      </c>
      <c r="D15" s="97"/>
      <c r="E15" s="105" t="str">
        <f aca="false">IF(Documents!$O$20="OUTSTANDING","OUTSTANDING – attach before T-7D (due "&amp;IF(ISNUMBER(Flights!$AG$20),TEXT(Flights!$AG$20,"DD-MMM-YY HH:MM"),"")&amp;" "&amp;Flights!$V$20&amp;")",IF(Documents!$O$20="","Status not recorded",Documents!$O$20))</f>
        <v>OUTSTANDING – attach before T-7D (due 19-Oct-26 09:10 KUL)</v>
      </c>
      <c r="F15" s="106" t="str">
        <f aca="false">"Staple behind this sheet as page A2."&amp;IF(Documents!$N$20="",""," Location: "&amp;Documents!$N$20)</f>
        <v>Staple behind this sheet as page A2.</v>
      </c>
      <c r="G15" s="106"/>
      <c r="H15" s="106"/>
    </row>
    <row r="16" customFormat="false" ht="22.5" hidden="false" customHeight="true" outlineLevel="0" collapsed="false">
      <c r="A16" s="91" t="s">
        <v>1634</v>
      </c>
      <c r="B16" s="107" t="str">
        <f aca="false">IF(Documents!$Q$20="","",Documents!$Q$20)</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"&amp;IF(TRIM(Flights!$Y$20)="","__________________",Flights!$Y$20)</f>
        <v>Name: __________________</v>
      </c>
      <c r="B18" s="92"/>
      <c r="C18" s="92" t="str">
        <f aca="false">"Name: __________________"</f>
        <v>Name: __________________</v>
      </c>
      <c r="D18" s="92"/>
      <c r="E18" s="92"/>
      <c r="F18" s="92" t="str">
        <f aca="false">"Name: __________________"&amp;"   Station: "&amp;Flights!$V$20</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Checks!$A$506&amp;CHAR(10)&amp;IF(Checks!$I$506="","",Checks!$I$506&amp;": ")&amp;Checks!$J$506</f>
        <v>F16-T7-01
Meal: Meal sensory testing completed for this flight's menu cycle (assessed class)</v>
      </c>
      <c r="B23" s="112" t="str">
        <f aca="false">Checks!$K$506&amp;IF(Checks!$O$506="","",IF(Checks!$K$506="","",CHAR(10))&amp;"Note: "&amp;Checks!$O$506)</f>
        <v>Record panel result / score in Result</v>
      </c>
      <c r="C23" s="112" t="str">
        <f aca="false">Checks!$N$506&amp;CHAR(10)&amp;IF(ISNUMBER(Checks!$R$506),TEXT(Checks!$R$506,"DD-MMM-YY HH:MM"),"")&amp;" "&amp;Checks!$P$506</f>
        <v>Required
19-Oct-26 09:10 KUL</v>
      </c>
      <c r="D23" s="112" t="str">
        <f aca="false">IF(Checks!$U$506="","",Checks!$U$506)&amp;IF(Checks!$AB$506="","",CHAR(10)&amp;"CA: "&amp;Checks!$AB$506)</f>
        <v/>
      </c>
      <c r="E23" s="112" t="str">
        <f aca="false">IF(Checks!$V$506="","",Checks!$V$506)&amp;IF(Checks!$AC$506="","",IF(Checks!$V$506="","",CHAR(10))&amp;"N/A just.: "&amp;Checks!$AC$506)&amp;IF(Checks!$W$506="","",CHAR(10)&amp;"Batch: "&amp;Checks!$W$506)&amp;IF(AND(Checks!$X$506="",Checks!$Y$506=""),"",CHAR(10)&amp;"Exp: "&amp;Checks!$X$506&amp;"  /  Act: "&amp;Checks!$Y$506)</f>
        <v/>
      </c>
      <c r="F23" s="112" t="str">
        <f aca="false">IF(Checks!$Z$506="","","Evidence: "&amp;Checks!$Z$506)&amp;IF(Checks!$AA$506="","",IF(Checks!$Z$506="","",CHAR(10))&amp;"CA: "&amp;Checks!$AA$506)</f>
        <v/>
      </c>
      <c r="G23" s="112" t="str">
        <f aca="false">IF(ISNUMBER(Checks!$AD$506),TEXT(Checks!$AD$506,"DD-MMM-YY HH:MM")&amp;" "&amp;Checks!$P$506,"")&amp;IF(Checks!$AE$506="","",CHAR(10)&amp;"Verifier: "&amp;Checks!$AE$506)&amp;IF(Checks!$T$506="","",CHAR(10)&amp;"PIC: "&amp;Checks!$T$506)</f>
        <v/>
      </c>
      <c r="H23" s="113" t="str">
        <f aca="false">IF(Checks!$AH$506="","",Checks!$AH$506)</f>
        <v>OPEN</v>
      </c>
    </row>
    <row r="24" customFormat="false" ht="114" hidden="false" customHeight="true" outlineLevel="0" collapsed="false">
      <c r="A24" s="112" t="str">
        <f aca="false">Checks!$A$507&amp;CHAR(10)&amp;IF(Checks!$I$507="","",Checks!$I$507&amp;": ")&amp;Checks!$J$507</f>
        <v>F16-T7-02
Menu: Printed menu cards confirmed (content, cycle, language, quantity)</v>
      </c>
      <c r="B24" s="112" t="str">
        <f aca="false">Checks!$K$507&amp;IF(Checks!$O$507="","",IF(Checks!$K$507="","",CHAR(10))&amp;"Note: "&amp;Checks!$O$507)</f>
        <v>Menu card matches approved menu for this flight</v>
      </c>
      <c r="C24" s="112" t="str">
        <f aca="false">Checks!$N$507&amp;CHAR(10)&amp;IF(ISNUMBER(Checks!$R$507),TEXT(Checks!$R$507,"DD-MMM-YY HH:MM"),"")&amp;" "&amp;Checks!$P$507</f>
        <v>Required
19-Oct-26 09:10 KUL</v>
      </c>
      <c r="D24" s="112" t="str">
        <f aca="false">IF(Checks!$U$507="","",Checks!$U$507)&amp;IF(Checks!$AB$507="","",CHAR(10)&amp;"CA: "&amp;Checks!$AB$507)</f>
        <v/>
      </c>
      <c r="E24" s="112" t="str">
        <f aca="false">IF(Checks!$V$507="","",Checks!$V$507)&amp;IF(Checks!$AC$507="","",IF(Checks!$V$507="","",CHAR(10))&amp;"N/A just.: "&amp;Checks!$AC$507)&amp;IF(Checks!$W$507="","",CHAR(10)&amp;"Batch: "&amp;Checks!$W$507)&amp;IF(AND(Checks!$X$507="",Checks!$Y$507=""),"",CHAR(10)&amp;"Exp: "&amp;Checks!$X$507&amp;"  /  Act: "&amp;Checks!$Y$507)</f>
        <v/>
      </c>
      <c r="F24" s="112" t="str">
        <f aca="false">IF(Checks!$Z$507="","","Evidence: "&amp;Checks!$Z$507)&amp;IF(Checks!$AA$507="","",IF(Checks!$Z$507="","",CHAR(10))&amp;"CA: "&amp;Checks!$AA$507)</f>
        <v/>
      </c>
      <c r="G24" s="112" t="str">
        <f aca="false">IF(ISNUMBER(Checks!$AD$507),TEXT(Checks!$AD$507,"DD-MMM-YY HH:MM")&amp;" "&amp;Checks!$P$507,"")&amp;IF(Checks!$AE$507="","",CHAR(10)&amp;"Verifier: "&amp;Checks!$AE$507)&amp;IF(Checks!$T$507="","",CHAR(10)&amp;"PIC: "&amp;Checks!$T$507)</f>
        <v/>
      </c>
      <c r="H24" s="113" t="str">
        <f aca="false">IF(Checks!$AH$507="","",Checks!$AH$507)</f>
        <v>OPEN</v>
      </c>
    </row>
    <row r="25" customFormat="false" ht="114" hidden="false" customHeight="true" outlineLevel="0" collapsed="false">
      <c r="A25" s="112" t="str">
        <f aca="false">Checks!$A$508&amp;CHAR(10)&amp;IF(Checks!$I$508="","",Checks!$I$508&amp;": ")&amp;Checks!$J$508</f>
        <v>F16-T7-03
IFE: Digital menu in IFE confirmed (A339 only)</v>
      </c>
      <c r="B25" s="112" t="str">
        <f aca="false">Checks!$K$508&amp;IF(Checks!$O$508="","",IF(Checks!$K$508="","",CHAR(10))&amp;"Note: "&amp;Checks!$O$508)</f>
        <v>Applies when fleet = A339
Note: Digital IFE menu applies to A339 only (user brief). Applicability follows the Fleet cell on Flights.</v>
      </c>
      <c r="C25" s="112" t="str">
        <f aca="false">Checks!$N$508&amp;CHAR(10)&amp;IF(ISNUMBER(Checks!$R$508),TEXT(Checks!$R$508,"DD-MMM-YY HH:MM"),"")&amp;" "&amp;Checks!$P$508</f>
        <v>N/A – rule
19-Oct-26 09:10 KUL</v>
      </c>
      <c r="D25" s="112" t="str">
        <f aca="false">IF(Checks!$U$508="","",Checks!$U$508)&amp;IF(Checks!$AB$508="","",CHAR(10)&amp;"CA: "&amp;Checks!$AB$508)</f>
        <v/>
      </c>
      <c r="E25" s="112" t="str">
        <f aca="false">IF(Checks!$V$508="","",Checks!$V$508)&amp;IF(Checks!$AC$508="","",IF(Checks!$V$508="","",CHAR(10))&amp;"N/A just.: "&amp;Checks!$AC$508)&amp;IF(Checks!$W$508="","",CHAR(10)&amp;"Batch: "&amp;Checks!$W$508)&amp;IF(AND(Checks!$X$508="",Checks!$Y$508=""),"",CHAR(10)&amp;"Exp: "&amp;Checks!$X$508&amp;"  /  Act: "&amp;Checks!$Y$508)</f>
        <v/>
      </c>
      <c r="F25" s="112" t="str">
        <f aca="false">IF(Checks!$Z$508="","","Evidence: "&amp;Checks!$Z$508)&amp;IF(Checks!$AA$508="","",IF(Checks!$Z$508="","",CHAR(10))&amp;"CA: "&amp;Checks!$AA$508)</f>
        <v/>
      </c>
      <c r="G25" s="112" t="str">
        <f aca="false">IF(ISNUMBER(Checks!$AD$508),TEXT(Checks!$AD$508,"DD-MMM-YY HH:MM")&amp;" "&amp;Checks!$P$508,"")&amp;IF(Checks!$AE$508="","",CHAR(10)&amp;"Verifier: "&amp;Checks!$AE$508)&amp;IF(Checks!$T$508="","",CHAR(10)&amp;"PIC: "&amp;Checks!$T$508)</f>
        <v/>
      </c>
      <c r="H25" s="113" t="str">
        <f aca="false">IF(Checks!$AH$508="","",Checks!$AH$508)</f>
        <v>N/A – RULE</v>
      </c>
    </row>
    <row r="26" customFormat="false" ht="114" hidden="false" customHeight="true" outlineLevel="0" collapsed="false">
      <c r="A26" s="112" t="str">
        <f aca="false">Checks!$A$509&amp;CHAR(10)&amp;IF(Checks!$I$509="","",Checks!$I$509&amp;": ")&amp;Checks!$J$509</f>
        <v>F16-T7-04
Staffing: Experienced catering officer assigned to this flight</v>
      </c>
      <c r="B26" s="112" t="str">
        <f aca="false">Checks!$K$509&amp;IF(Checks!$O$509="","",IF(Checks!$K$509="","",CHAR(10))&amp;"Note: "&amp;Checks!$O$509)</f>
        <v>Record officer name in Result</v>
      </c>
      <c r="C26" s="112" t="str">
        <f aca="false">Checks!$N$509&amp;CHAR(10)&amp;IF(ISNUMBER(Checks!$R$509),TEXT(Checks!$R$509,"DD-MMM-YY HH:MM"),"")&amp;" "&amp;Checks!$P$509</f>
        <v>Required
19-Oct-26 09:10 KUL</v>
      </c>
      <c r="D26" s="112" t="str">
        <f aca="false">IF(Checks!$U$509="","",Checks!$U$509)&amp;IF(Checks!$AB$509="","",CHAR(10)&amp;"CA: "&amp;Checks!$AB$509)</f>
        <v/>
      </c>
      <c r="E26" s="112" t="str">
        <f aca="false">IF(Checks!$V$509="","",Checks!$V$509)&amp;IF(Checks!$AC$509="","",IF(Checks!$V$509="","",CHAR(10))&amp;"N/A just.: "&amp;Checks!$AC$509)&amp;IF(Checks!$W$509="","",CHAR(10)&amp;"Batch: "&amp;Checks!$W$509)&amp;IF(AND(Checks!$X$509="",Checks!$Y$509=""),"",CHAR(10)&amp;"Exp: "&amp;Checks!$X$509&amp;"  /  Act: "&amp;Checks!$Y$509)</f>
        <v/>
      </c>
      <c r="F26" s="112" t="str">
        <f aca="false">IF(Checks!$Z$509="","","Evidence: "&amp;Checks!$Z$509)&amp;IF(Checks!$AA$509="","",IF(Checks!$Z$509="","",CHAR(10))&amp;"CA: "&amp;Checks!$AA$509)</f>
        <v/>
      </c>
      <c r="G26" s="112" t="str">
        <f aca="false">IF(ISNUMBER(Checks!$AD$509),TEXT(Checks!$AD$509,"DD-MMM-YY HH:MM")&amp;" "&amp;Checks!$P$509,"")&amp;IF(Checks!$AE$509="","",CHAR(10)&amp;"Verifier: "&amp;Checks!$AE$509)&amp;IF(Checks!$T$509="","",CHAR(10)&amp;"PIC: "&amp;Checks!$T$509)</f>
        <v/>
      </c>
      <c r="H26" s="113" t="str">
        <f aca="false">IF(Checks!$AH$509="","",Checks!$AH$509)</f>
        <v>OPEN</v>
      </c>
    </row>
    <row r="27" customFormat="false" ht="114" hidden="false" customHeight="true" outlineLevel="0" collapsed="false">
      <c r="A27" s="112" t="str">
        <f aca="false">Checks!$A$510&amp;CHAR(10)&amp;IF(Checks!$I$510="","",Checks!$I$510&amp;": ")&amp;Checks!$J$510</f>
        <v>F16-T7-05
ISOP: All latest applicable ISOP revisions communicated to caterer</v>
      </c>
      <c r="B27" s="112" t="str">
        <f aca="false">Checks!$K$510&amp;IF(Checks!$O$510="","",IF(Checks!$K$510="","",CHAR(10))&amp;"Note: "&amp;Checks!$O$510)</f>
        <v>List revision numbers in Result (see ISOP register)</v>
      </c>
      <c r="C27" s="112" t="str">
        <f aca="false">Checks!$N$510&amp;CHAR(10)&amp;IF(ISNUMBER(Checks!$R$510),TEXT(Checks!$R$510,"DD-MMM-YY HH:MM"),"")&amp;" "&amp;Checks!$P$510</f>
        <v>Required
19-Oct-26 09:10 KUL</v>
      </c>
      <c r="D27" s="112" t="str">
        <f aca="false">IF(Checks!$U$510="","",Checks!$U$510)&amp;IF(Checks!$AB$510="","",CHAR(10)&amp;"CA: "&amp;Checks!$AB$510)</f>
        <v/>
      </c>
      <c r="E27" s="112" t="str">
        <f aca="false">IF(Checks!$V$510="","",Checks!$V$510)&amp;IF(Checks!$AC$510="","",IF(Checks!$V$510="","",CHAR(10))&amp;"N/A just.: "&amp;Checks!$AC$510)&amp;IF(Checks!$W$510="","",CHAR(10)&amp;"Batch: "&amp;Checks!$W$510)&amp;IF(AND(Checks!$X$510="",Checks!$Y$510=""),"",CHAR(10)&amp;"Exp: "&amp;Checks!$X$510&amp;"  /  Act: "&amp;Checks!$Y$510)</f>
        <v/>
      </c>
      <c r="F27" s="112" t="str">
        <f aca="false">IF(Checks!$Z$510="","","Evidence: "&amp;Checks!$Z$510)&amp;IF(Checks!$AA$510="","",IF(Checks!$Z$510="","",CHAR(10))&amp;"CA: "&amp;Checks!$AA$510)</f>
        <v/>
      </c>
      <c r="G27" s="112" t="str">
        <f aca="false">IF(ISNUMBER(Checks!$AD$510),TEXT(Checks!$AD$510,"DD-MMM-YY HH:MM")&amp;" "&amp;Checks!$P$510,"")&amp;IF(Checks!$AE$510="","",CHAR(10)&amp;"Verifier: "&amp;Checks!$AE$510)&amp;IF(Checks!$T$510="","",CHAR(10)&amp;"PIC: "&amp;Checks!$T$510)</f>
        <v/>
      </c>
      <c r="H27" s="113" t="str">
        <f aca="false">IF(Checks!$AH$510="","",Checks!$AH$510)</f>
        <v>OPEN</v>
      </c>
    </row>
    <row r="28" customFormat="false" ht="114" hidden="false" customHeight="true" outlineLevel="0" collapsed="false">
      <c r="A28" s="112" t="str">
        <f aca="false">Checks!$A$511&amp;CHAR(10)&amp;IF(Checks!$I$511="","",Checks!$I$511&amp;": ")&amp;Checks!$J$511</f>
        <v>F16-T7-06
ISOP: Caterer acknowledgement of ISOP revisions recorded</v>
      </c>
      <c r="B28" s="112" t="str">
        <f aca="false">Checks!$K$511&amp;IF(Checks!$O$511="","",IF(Checks!$K$511="","",CHAR(10))&amp;"Note: "&amp;Checks!$O$511)</f>
        <v>Record acknowledgement ref in Evidence</v>
      </c>
      <c r="C28" s="112" t="str">
        <f aca="false">Checks!$N$511&amp;CHAR(10)&amp;IF(ISNUMBER(Checks!$R$511),TEXT(Checks!$R$511,"DD-MMM-YY HH:MM"),"")&amp;" "&amp;Checks!$P$511</f>
        <v>Required
19-Oct-26 09:10 KUL</v>
      </c>
      <c r="D28" s="112" t="str">
        <f aca="false">IF(Checks!$U$511="","",Checks!$U$511)&amp;IF(Checks!$AB$511="","",CHAR(10)&amp;"CA: "&amp;Checks!$AB$511)</f>
        <v/>
      </c>
      <c r="E28" s="112" t="str">
        <f aca="false">IF(Checks!$V$511="","",Checks!$V$511)&amp;IF(Checks!$AC$511="","",IF(Checks!$V$511="","",CHAR(10))&amp;"N/A just.: "&amp;Checks!$AC$511)&amp;IF(Checks!$W$511="","",CHAR(10)&amp;"Batch: "&amp;Checks!$W$511)&amp;IF(AND(Checks!$X$511="",Checks!$Y$511=""),"",CHAR(10)&amp;"Exp: "&amp;Checks!$X$511&amp;"  /  Act: "&amp;Checks!$Y$511)</f>
        <v/>
      </c>
      <c r="F28" s="112" t="str">
        <f aca="false">IF(Checks!$Z$511="","","Evidence: "&amp;Checks!$Z$511)&amp;IF(Checks!$AA$511="","",IF(Checks!$Z$511="","",CHAR(10))&amp;"CA: "&amp;Checks!$AA$511)</f>
        <v/>
      </c>
      <c r="G28" s="112" t="str">
        <f aca="false">IF(ISNUMBER(Checks!$AD$511),TEXT(Checks!$AD$511,"DD-MMM-YY HH:MM")&amp;" "&amp;Checks!$P$511,"")&amp;IF(Checks!$AE$511="","",CHAR(10)&amp;"Verifier: "&amp;Checks!$AE$511)&amp;IF(Checks!$T$511="","",CHAR(10)&amp;"PIC: "&amp;Checks!$T$511)</f>
        <v/>
      </c>
      <c r="H28" s="113" t="str">
        <f aca="false">IF(Checks!$AH$511="","",Checks!$AH$511)</f>
        <v>OPEN</v>
      </c>
    </row>
    <row r="29" customFormat="false" ht="114" hidden="false" customHeight="true" outlineLevel="0" collapsed="false">
      <c r="A29" s="112" t="str">
        <f aca="false">Checks!$A$512&amp;CHAR(10)&amp;IF(Checks!$I$512="","",Checks!$I$512&amp;": ")&amp;Checks!$J$512</f>
        <v>F16-T7-07
Documents: Galley loading diagram (GLD) received, revision recorded &amp; attached</v>
      </c>
      <c r="B29" s="112" t="str">
        <f aca="false">Checks!$K$512&amp;IF(Checks!$O$512="","",IF(Checks!$K$512="","",CHAR(10))&amp;"Note: "&amp;Checks!$O$512)</f>
        <v>Documents sheet row complete</v>
      </c>
      <c r="C29" s="112" t="str">
        <f aca="false">Checks!$N$512&amp;CHAR(10)&amp;IF(ISNUMBER(Checks!$R$512),TEXT(Checks!$R$512,"DD-MMM-YY HH:MM"),"")&amp;" "&amp;Checks!$P$512</f>
        <v>Required
19-Oct-26 09:10 KUL</v>
      </c>
      <c r="D29" s="112" t="str">
        <f aca="false">IF(Checks!$U$512="","",Checks!$U$512)&amp;IF(Checks!$AB$512="","",CHAR(10)&amp;"CA: "&amp;Checks!$AB$512)</f>
        <v/>
      </c>
      <c r="E29" s="112" t="str">
        <f aca="false">IF(Checks!$V$512="","",Checks!$V$512)&amp;IF(Checks!$AC$512="","",IF(Checks!$V$512="","",CHAR(10))&amp;"N/A just.: "&amp;Checks!$AC$512)&amp;IF(Checks!$W$512="","",CHAR(10)&amp;"Batch: "&amp;Checks!$W$512)&amp;IF(AND(Checks!$X$512="",Checks!$Y$512=""),"",CHAR(10)&amp;"Exp: "&amp;Checks!$X$512&amp;"  /  Act: "&amp;Checks!$Y$512)</f>
        <v/>
      </c>
      <c r="F29" s="112" t="str">
        <f aca="false">IF(Checks!$Z$512="","","Evidence: "&amp;Checks!$Z$512)&amp;IF(Checks!$AA$512="","",IF(Checks!$Z$512="","",CHAR(10))&amp;"CA: "&amp;Checks!$AA$512)</f>
        <v/>
      </c>
      <c r="G29" s="112" t="str">
        <f aca="false">IF(ISNUMBER(Checks!$AD$512),TEXT(Checks!$AD$512,"DD-MMM-YY HH:MM")&amp;" "&amp;Checks!$P$512,"")&amp;IF(Checks!$AE$512="","",CHAR(10)&amp;"Verifier: "&amp;Checks!$AE$512)&amp;IF(Checks!$T$512="","",CHAR(10)&amp;"PIC: "&amp;Checks!$T$512)</f>
        <v/>
      </c>
      <c r="H29" s="113" t="str">
        <f aca="false">IF(Checks!$AH$512="","",Checks!$AH$512)</f>
        <v>OPEN</v>
      </c>
    </row>
    <row r="30" customFormat="false" ht="114" hidden="false" customHeight="true" outlineLevel="0" collapsed="false">
      <c r="A30" s="112" t="str">
        <f aca="false">Checks!$A$513&amp;CHAR(10)&amp;IF(Checks!$I$513="","",Checks!$I$513&amp;": ")&amp;Checks!$J$513</f>
        <v>F16-T7-08
Documents: Menu checklist received, revision recorded &amp; attached</v>
      </c>
      <c r="B30" s="112" t="str">
        <f aca="false">Checks!$K$513&amp;IF(Checks!$O$513="","",IF(Checks!$K$513="","",CHAR(10))&amp;"Note: "&amp;Checks!$O$513)</f>
        <v>Documents sheet row complete</v>
      </c>
      <c r="C30" s="112" t="str">
        <f aca="false">Checks!$N$513&amp;CHAR(10)&amp;IF(ISNUMBER(Checks!$R$513),TEXT(Checks!$R$513,"DD-MMM-YY HH:MM"),"")&amp;" "&amp;Checks!$P$513</f>
        <v>Required
19-Oct-26 09:10 KUL</v>
      </c>
      <c r="D30" s="112" t="str">
        <f aca="false">IF(Checks!$U$513="","",Checks!$U$513)&amp;IF(Checks!$AB$513="","",CHAR(10)&amp;"CA: "&amp;Checks!$AB$513)</f>
        <v/>
      </c>
      <c r="E30" s="112" t="str">
        <f aca="false">IF(Checks!$V$513="","",Checks!$V$513)&amp;IF(Checks!$AC$513="","",IF(Checks!$V$513="","",CHAR(10))&amp;"N/A just.: "&amp;Checks!$AC$513)&amp;IF(Checks!$W$513="","",CHAR(10)&amp;"Batch: "&amp;Checks!$W$513)&amp;IF(AND(Checks!$X$513="",Checks!$Y$513=""),"",CHAR(10)&amp;"Exp: "&amp;Checks!$X$513&amp;"  /  Act: "&amp;Checks!$Y$513)</f>
        <v/>
      </c>
      <c r="F30" s="112" t="str">
        <f aca="false">IF(Checks!$Z$513="","","Evidence: "&amp;Checks!$Z$513)&amp;IF(Checks!$AA$513="","",IF(Checks!$Z$513="","",CHAR(10))&amp;"CA: "&amp;Checks!$AA$513)</f>
        <v/>
      </c>
      <c r="G30" s="112" t="str">
        <f aca="false">IF(ISNUMBER(Checks!$AD$513),TEXT(Checks!$AD$513,"DD-MMM-YY HH:MM")&amp;" "&amp;Checks!$P$513,"")&amp;IF(Checks!$AE$513="","",CHAR(10)&amp;"Verifier: "&amp;Checks!$AE$513)&amp;IF(Checks!$T$513="","",CHAR(10)&amp;"PIC: "&amp;Checks!$T$513)</f>
        <v/>
      </c>
      <c r="H30" s="113" t="str">
        <f aca="false">IF(Checks!$AH$513="","",Checks!$AH$513)</f>
        <v>OPEN</v>
      </c>
    </row>
    <row r="31" customFormat="false" ht="114" hidden="false" customHeight="true" outlineLevel="0" collapsed="false">
      <c r="A31" s="112" t="str">
        <f aca="false">Checks!$A$514&amp;CHAR(10)&amp;IF(Checks!$I$514="","",Checks!$I$514&amp;": ")&amp;Checks!$J$514</f>
        <v>F16-T7-09
Uplift plan: Uplift plan confirmed with caterer vs STD Uplift Information</v>
      </c>
      <c r="B31" s="112" t="str">
        <f aca="false">Checks!$K$514&amp;IF(Checks!$O$514="","",IF(Checks!$K$514="","",CHAR(10))&amp;"Note: "&amp;Checks!$O$514)</f>
        <v>Service: 1 Meal + DAT(Noodles Svc) (Meal); meal uplift stn KUL (ref lists KUL/HKG)</v>
      </c>
      <c r="C31" s="112" t="str">
        <f aca="false">Checks!$N$514&amp;CHAR(10)&amp;IF(ISNUMBER(Checks!$R$514),TEXT(Checks!$R$514,"DD-MMM-YY HH:MM"),"")&amp;" "&amp;Checks!$P$514</f>
        <v>Required
19-Oct-26 09:10 KUL</v>
      </c>
      <c r="D31" s="112" t="str">
        <f aca="false">IF(Checks!$U$514="","",Checks!$U$514)&amp;IF(Checks!$AB$514="","",CHAR(10)&amp;"CA: "&amp;Checks!$AB$514)</f>
        <v/>
      </c>
      <c r="E31" s="112" t="str">
        <f aca="false">IF(Checks!$V$514="","",Checks!$V$514)&amp;IF(Checks!$AC$514="","",IF(Checks!$V$514="","",CHAR(10))&amp;"N/A just.: "&amp;Checks!$AC$514)&amp;IF(Checks!$W$514="","",CHAR(10)&amp;"Batch: "&amp;Checks!$W$514)&amp;IF(AND(Checks!$X$514="",Checks!$Y$514=""),"",CHAR(10)&amp;"Exp: "&amp;Checks!$X$514&amp;"  /  Act: "&amp;Checks!$Y$514)</f>
        <v/>
      </c>
      <c r="F31" s="112" t="str">
        <f aca="false">IF(Checks!$Z$514="","","Evidence: "&amp;Checks!$Z$514)&amp;IF(Checks!$AA$514="","",IF(Checks!$Z$514="","",CHAR(10))&amp;"CA: "&amp;Checks!$AA$514)</f>
        <v/>
      </c>
      <c r="G31" s="112" t="str">
        <f aca="false">IF(ISNUMBER(Checks!$AD$514),TEXT(Checks!$AD$514,"DD-MMM-YY HH:MM")&amp;" "&amp;Checks!$P$514,"")&amp;IF(Checks!$AE$514="","",CHAR(10)&amp;"Verifier: "&amp;Checks!$AE$514)&amp;IF(Checks!$T$514="","",CHAR(10)&amp;"PIC: "&amp;Checks!$T$514)</f>
        <v/>
      </c>
      <c r="H31" s="113" t="str">
        <f aca="false">IF(Checks!$AH$514="","",Checks!$AH$514)</f>
        <v>OPEN</v>
      </c>
    </row>
    <row r="32" customFormat="false" ht="25.5" hidden="false" customHeight="true" outlineLevel="0" collapsed="false">
      <c r="A32" s="111"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Checks!$A$515&amp;CHAR(10)&amp;IF(Checks!$I$515="","",Checks!$I$515&amp;": ")&amp;Checks!$J$515</f>
        <v>F16-T24-01
Meal: Sensory test repeated on ACTUAL production batch for this flight</v>
      </c>
      <c r="B33" s="112" t="str">
        <f aca="false">Checks!$K$515&amp;IF(Checks!$O$515="","",IF(Checks!$K$515="","",CHAR(10))&amp;"Note: "&amp;Checks!$O$515)</f>
        <v>Batch ID, result, CA and acceptance mandatory</v>
      </c>
      <c r="C33" s="112" t="str">
        <f aca="false">Checks!$N$515&amp;CHAR(10)&amp;IF(ISNUMBER(Checks!$R$515),TEXT(Checks!$R$515,"DD-MMM-YY HH:MM"),"")&amp;" "&amp;Checks!$P$515</f>
        <v>Required
25-Oct-26 09:10 KUL</v>
      </c>
      <c r="D33" s="112" t="str">
        <f aca="false">IF(Checks!$U$515="","",Checks!$U$515)&amp;IF(Checks!$AB$515="","",CHAR(10)&amp;"CA: "&amp;Checks!$AB$515)</f>
        <v/>
      </c>
      <c r="E33" s="112" t="str">
        <f aca="false">IF(Checks!$V$515="","",Checks!$V$515)&amp;IF(Checks!$AC$515="","",IF(Checks!$V$515="","",CHAR(10))&amp;"N/A just.: "&amp;Checks!$AC$515)&amp;IF(Checks!$W$515="","",CHAR(10)&amp;"Batch: "&amp;Checks!$W$515)&amp;IF(AND(Checks!$X$515="",Checks!$Y$515=""),"",CHAR(10)&amp;"Exp: "&amp;Checks!$X$515&amp;"  /  Act: "&amp;Checks!$Y$515)</f>
        <v/>
      </c>
      <c r="F33" s="112" t="str">
        <f aca="false">IF(Checks!$Z$515="","","Evidence: "&amp;Checks!$Z$515)&amp;IF(Checks!$AA$515="","",IF(Checks!$Z$515="","",CHAR(10))&amp;"CA: "&amp;Checks!$AA$515)</f>
        <v/>
      </c>
      <c r="G33" s="112" t="str">
        <f aca="false">IF(ISNUMBER(Checks!$AD$515),TEXT(Checks!$AD$515,"DD-MMM-YY HH:MM")&amp;" "&amp;Checks!$P$515,"")&amp;IF(Checks!$AE$515="","",CHAR(10)&amp;"Verifier: "&amp;Checks!$AE$515)&amp;IF(Checks!$T$515="","",CHAR(10)&amp;"PIC: "&amp;Checks!$T$515)</f>
        <v/>
      </c>
      <c r="H33" s="113" t="str">
        <f aca="false">IF(Checks!$AH$515="","",Checks!$AH$515)</f>
        <v>OPEN</v>
      </c>
    </row>
    <row r="34" customFormat="false" ht="25.5" hidden="false" customHeight="true" outlineLevel="0" collapsed="false">
      <c r="A34" s="111"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1"/>
      <c r="C34" s="111"/>
      <c r="D34" s="111"/>
      <c r="E34" s="111"/>
      <c r="F34" s="111"/>
      <c r="G34" s="111"/>
      <c r="H34" s="111"/>
    </row>
    <row r="35" customFormat="false" ht="114" hidden="false" customHeight="true" outlineLevel="0" collapsed="false">
      <c r="A35" s="112" t="str">
        <f aca="false">Checks!$A$516&amp;CHAR(10)&amp;IF(Checks!$I$516="","",Checks!$I$516&amp;": ")&amp;Checks!$J$516</f>
        <v>F16-T12-01
Meal: Meal quality vs menu checklist</v>
      </c>
      <c r="B35" s="112" t="str">
        <f aca="false">Checks!$K$516&amp;IF(Checks!$O$516="","",IF(Checks!$K$516="","",CHAR(10))&amp;"Note: "&amp;Checks!$O$516)</f>
        <v>Note: Preparation check at caterer - does NOT confirm loading.</v>
      </c>
      <c r="C35" s="112" t="str">
        <f aca="false">Checks!$N$516&amp;CHAR(10)&amp;IF(ISNUMBER(Checks!$R$516),TEXT(Checks!$R$516,"DD-MMM-YY HH:MM"),"")&amp;" "&amp;Checks!$P$516</f>
        <v>Required
25-Oct-26 21:10 KUL</v>
      </c>
      <c r="D35" s="112" t="str">
        <f aca="false">IF(Checks!$U$516="","",Checks!$U$516)&amp;IF(Checks!$AB$516="","",CHAR(10)&amp;"CA: "&amp;Checks!$AB$516)</f>
        <v/>
      </c>
      <c r="E35" s="112" t="str">
        <f aca="false">IF(Checks!$V$516="","",Checks!$V$516)&amp;IF(Checks!$AC$516="","",IF(Checks!$V$516="","",CHAR(10))&amp;"N/A just.: "&amp;Checks!$AC$516)&amp;IF(Checks!$W$516="","",CHAR(10)&amp;"Batch: "&amp;Checks!$W$516)&amp;IF(AND(Checks!$X$516="",Checks!$Y$516=""),"",CHAR(10)&amp;"Exp: "&amp;Checks!$X$516&amp;"  /  Act: "&amp;Checks!$Y$516)</f>
        <v/>
      </c>
      <c r="F35" s="112" t="str">
        <f aca="false">IF(Checks!$Z$516="","","Evidence: "&amp;Checks!$Z$516)&amp;IF(Checks!$AA$516="","",IF(Checks!$Z$516="","",CHAR(10))&amp;"CA: "&amp;Checks!$AA$516)</f>
        <v/>
      </c>
      <c r="G35" s="112" t="str">
        <f aca="false">IF(ISNUMBER(Checks!$AD$516),TEXT(Checks!$AD$516,"DD-MMM-YY HH:MM")&amp;" "&amp;Checks!$P$516,"")&amp;IF(Checks!$AE$516="","",CHAR(10)&amp;"Verifier: "&amp;Checks!$AE$516)&amp;IF(Checks!$T$516="","",CHAR(10)&amp;"PIC: "&amp;Checks!$T$516)</f>
        <v/>
      </c>
      <c r="H35" s="113" t="str">
        <f aca="false">IF(Checks!$AH$516="","",Checks!$AH$516)</f>
        <v>OPEN</v>
      </c>
    </row>
    <row r="36" customFormat="false" ht="114" hidden="false" customHeight="true" outlineLevel="0" collapsed="false">
      <c r="A36" s="112" t="str">
        <f aca="false">Checks!$A$517&amp;CHAR(10)&amp;IF(Checks!$I$517="","",Checks!$I$517&amp;": ")&amp;Checks!$J$517</f>
        <v>F16-T12-02
Meal: Meal quantities vs menu checklist</v>
      </c>
      <c r="B36" s="112" t="str">
        <f aca="false">Checks!$K$517&amp;IF(Checks!$O$517="","",IF(Checks!$K$517="","",CHAR(10))&amp;"Note: "&amp;Checks!$O$517)</f>
        <v>Enter expected &amp; actual
Note: Preparation check at caterer - does NOT confirm loading.</v>
      </c>
      <c r="C36" s="112" t="str">
        <f aca="false">Checks!$N$517&amp;CHAR(10)&amp;IF(ISNUMBER(Checks!$R$517),TEXT(Checks!$R$517,"DD-MMM-YY HH:MM"),"")&amp;" "&amp;Checks!$P$517</f>
        <v>Required
25-Oct-26 21:10 KUL</v>
      </c>
      <c r="D36" s="112" t="str">
        <f aca="false">IF(Checks!$U$517="","",Checks!$U$517)&amp;IF(Checks!$AB$517="","",CHAR(10)&amp;"CA: "&amp;Checks!$AB$517)</f>
        <v/>
      </c>
      <c r="E36" s="112" t="str">
        <f aca="false">IF(Checks!$V$517="","",Checks!$V$517)&amp;IF(Checks!$AC$517="","",IF(Checks!$V$517="","",CHAR(10))&amp;"N/A just.: "&amp;Checks!$AC$517)&amp;IF(Checks!$W$517="","",CHAR(10)&amp;"Batch: "&amp;Checks!$W$517)&amp;IF(AND(Checks!$X$517="",Checks!$Y$517=""),"",CHAR(10)&amp;"Exp: "&amp;Checks!$X$517&amp;"  /  Act: "&amp;Checks!$Y$517)</f>
        <v/>
      </c>
      <c r="F36" s="112" t="str">
        <f aca="false">IF(Checks!$Z$517="","","Evidence: "&amp;Checks!$Z$517)&amp;IF(Checks!$AA$517="","",IF(Checks!$Z$517="","",CHAR(10))&amp;"CA: "&amp;Checks!$AA$517)</f>
        <v/>
      </c>
      <c r="G36" s="112" t="str">
        <f aca="false">IF(ISNUMBER(Checks!$AD$517),TEXT(Checks!$AD$517,"DD-MMM-YY HH:MM")&amp;" "&amp;Checks!$P$517,"")&amp;IF(Checks!$AE$517="","",CHAR(10)&amp;"Verifier: "&amp;Checks!$AE$517)&amp;IF(Checks!$T$517="","",CHAR(10)&amp;"PIC: "&amp;Checks!$T$517)</f>
        <v/>
      </c>
      <c r="H36" s="113" t="str">
        <f aca="false">IF(Checks!$AH$517="","",Checks!$AH$517)</f>
        <v>OPEN</v>
      </c>
    </row>
    <row r="37" customFormat="false" ht="114" hidden="false" customHeight="true" outlineLevel="0" collapsed="false">
      <c r="A37" s="112" t="str">
        <f aca="false">Checks!$A$518&amp;CHAR(10)&amp;IF(Checks!$I$518="","",Checks!$I$518&amp;": ")&amp;Checks!$J$518</f>
        <v>F16-T12-03
Equipment: Equipment cleanliness vs GLD</v>
      </c>
      <c r="B37" s="112" t="str">
        <f aca="false">Checks!$K$518&amp;IF(Checks!$O$518="","",IF(Checks!$K$518="","",CHAR(10))&amp;"Note: "&amp;Checks!$O$518)</f>
        <v>Note: Preparation check at caterer - does NOT confirm loading.</v>
      </c>
      <c r="C37" s="112" t="str">
        <f aca="false">Checks!$N$518&amp;CHAR(10)&amp;IF(ISNUMBER(Checks!$R$518),TEXT(Checks!$R$518,"DD-MMM-YY HH:MM"),"")&amp;" "&amp;Checks!$P$518</f>
        <v>Required
25-Oct-26 21:10 KUL</v>
      </c>
      <c r="D37" s="112" t="str">
        <f aca="false">IF(Checks!$U$518="","",Checks!$U$518)&amp;IF(Checks!$AB$518="","",CHAR(10)&amp;"CA: "&amp;Checks!$AB$518)</f>
        <v/>
      </c>
      <c r="E37" s="112" t="str">
        <f aca="false">IF(Checks!$V$518="","",Checks!$V$518)&amp;IF(Checks!$AC$518="","",IF(Checks!$V$518="","",CHAR(10))&amp;"N/A just.: "&amp;Checks!$AC$518)&amp;IF(Checks!$W$518="","",CHAR(10)&amp;"Batch: "&amp;Checks!$W$518)&amp;IF(AND(Checks!$X$518="",Checks!$Y$518=""),"",CHAR(10)&amp;"Exp: "&amp;Checks!$X$518&amp;"  /  Act: "&amp;Checks!$Y$518)</f>
        <v/>
      </c>
      <c r="F37" s="112" t="str">
        <f aca="false">IF(Checks!$Z$518="","","Evidence: "&amp;Checks!$Z$518)&amp;IF(Checks!$AA$518="","",IF(Checks!$Z$518="","",CHAR(10))&amp;"CA: "&amp;Checks!$AA$518)</f>
        <v/>
      </c>
      <c r="G37" s="112" t="str">
        <f aca="false">IF(ISNUMBER(Checks!$AD$518),TEXT(Checks!$AD$518,"DD-MMM-YY HH:MM")&amp;" "&amp;Checks!$P$518,"")&amp;IF(Checks!$AE$518="","",CHAR(10)&amp;"Verifier: "&amp;Checks!$AE$518)&amp;IF(Checks!$T$518="","",CHAR(10)&amp;"PIC: "&amp;Checks!$T$518)</f>
        <v/>
      </c>
      <c r="H37" s="113" t="str">
        <f aca="false">IF(Checks!$AH$518="","",Checks!$AH$518)</f>
        <v>OPEN</v>
      </c>
    </row>
    <row r="38" customFormat="false" ht="114" hidden="false" customHeight="true" outlineLevel="0" collapsed="false">
      <c r="A38" s="112" t="str">
        <f aca="false">Checks!$A$519&amp;CHAR(10)&amp;IF(Checks!$I$519="","",Checks!$I$519&amp;": ")&amp;Checks!$J$519</f>
        <v>F16-T12-04
Equipment: Equipment presentation vs GLD</v>
      </c>
      <c r="B38" s="112" t="str">
        <f aca="false">Checks!$K$519&amp;IF(Checks!$O$519="","",IF(Checks!$K$519="","",CHAR(10))&amp;"Note: "&amp;Checks!$O$519)</f>
        <v>Note: Preparation check at caterer - does NOT confirm loading.</v>
      </c>
      <c r="C38" s="112" t="str">
        <f aca="false">Checks!$N$519&amp;CHAR(10)&amp;IF(ISNUMBER(Checks!$R$519),TEXT(Checks!$R$519,"DD-MMM-YY HH:MM"),"")&amp;" "&amp;Checks!$P$519</f>
        <v>Required
25-Oct-26 21:10 KUL</v>
      </c>
      <c r="D38" s="112" t="str">
        <f aca="false">IF(Checks!$U$519="","",Checks!$U$519)&amp;IF(Checks!$AB$519="","",CHAR(10)&amp;"CA: "&amp;Checks!$AB$519)</f>
        <v/>
      </c>
      <c r="E38" s="112" t="str">
        <f aca="false">IF(Checks!$V$519="","",Checks!$V$519)&amp;IF(Checks!$AC$519="","",IF(Checks!$V$519="","",CHAR(10))&amp;"N/A just.: "&amp;Checks!$AC$519)&amp;IF(Checks!$W$519="","",CHAR(10)&amp;"Batch: "&amp;Checks!$W$519)&amp;IF(AND(Checks!$X$519="",Checks!$Y$519=""),"",CHAR(10)&amp;"Exp: "&amp;Checks!$X$519&amp;"  /  Act: "&amp;Checks!$Y$519)</f>
        <v/>
      </c>
      <c r="F38" s="112" t="str">
        <f aca="false">IF(Checks!$Z$519="","","Evidence: "&amp;Checks!$Z$519)&amp;IF(Checks!$AA$519="","",IF(Checks!$Z$519="","",CHAR(10))&amp;"CA: "&amp;Checks!$AA$519)</f>
        <v/>
      </c>
      <c r="G38" s="112" t="str">
        <f aca="false">IF(ISNUMBER(Checks!$AD$519),TEXT(Checks!$AD$519,"DD-MMM-YY HH:MM")&amp;" "&amp;Checks!$P$519,"")&amp;IF(Checks!$AE$519="","",CHAR(10)&amp;"Verifier: "&amp;Checks!$AE$519)&amp;IF(Checks!$T$519="","",CHAR(10)&amp;"PIC: "&amp;Checks!$T$519)</f>
        <v/>
      </c>
      <c r="H38" s="113" t="str">
        <f aca="false">IF(Checks!$AH$519="","",Checks!$AH$519)</f>
        <v>OPEN</v>
      </c>
    </row>
    <row r="39" customFormat="false" ht="114" hidden="false" customHeight="true" outlineLevel="0" collapsed="false">
      <c r="A39" s="112" t="str">
        <f aca="false">Checks!$A$520&amp;CHAR(10)&amp;IF(Checks!$I$520="","",Checks!$I$520&amp;": ")&amp;Checks!$J$520</f>
        <v>F16-T12-05
Equipment: Equipment serviceability vs GLD</v>
      </c>
      <c r="B39" s="112" t="str">
        <f aca="false">Checks!$K$520&amp;IF(Checks!$O$520="","",IF(Checks!$K$520="","",CHAR(10))&amp;"Note: "&amp;Checks!$O$520)</f>
        <v>Note: Preparation check at caterer - does NOT confirm loading.</v>
      </c>
      <c r="C39" s="112" t="str">
        <f aca="false">Checks!$N$520&amp;CHAR(10)&amp;IF(ISNUMBER(Checks!$R$520),TEXT(Checks!$R$520,"DD-MMM-YY HH:MM"),"")&amp;" "&amp;Checks!$P$520</f>
        <v>Required
25-Oct-26 21:10 KUL</v>
      </c>
      <c r="D39" s="112" t="str">
        <f aca="false">IF(Checks!$U$520="","",Checks!$U$520)&amp;IF(Checks!$AB$520="","",CHAR(10)&amp;"CA: "&amp;Checks!$AB$520)</f>
        <v/>
      </c>
      <c r="E39" s="112" t="str">
        <f aca="false">IF(Checks!$V$520="","",Checks!$V$520)&amp;IF(Checks!$AC$520="","",IF(Checks!$V$520="","",CHAR(10))&amp;"N/A just.: "&amp;Checks!$AC$520)&amp;IF(Checks!$W$520="","",CHAR(10)&amp;"Batch: "&amp;Checks!$W$520)&amp;IF(AND(Checks!$X$520="",Checks!$Y$520=""),"",CHAR(10)&amp;"Exp: "&amp;Checks!$X$520&amp;"  /  Act: "&amp;Checks!$Y$520)</f>
        <v/>
      </c>
      <c r="F39" s="112" t="str">
        <f aca="false">IF(Checks!$Z$520="","","Evidence: "&amp;Checks!$Z$520)&amp;IF(Checks!$AA$520="","",IF(Checks!$Z$520="","",CHAR(10))&amp;"CA: "&amp;Checks!$AA$520)</f>
        <v/>
      </c>
      <c r="G39" s="112" t="str">
        <f aca="false">IF(ISNUMBER(Checks!$AD$520),TEXT(Checks!$AD$520,"DD-MMM-YY HH:MM")&amp;" "&amp;Checks!$P$520,"")&amp;IF(Checks!$AE$520="","",CHAR(10)&amp;"Verifier: "&amp;Checks!$AE$520)&amp;IF(Checks!$T$520="","",CHAR(10)&amp;"PIC: "&amp;Checks!$T$520)</f>
        <v/>
      </c>
      <c r="H39" s="113" t="str">
        <f aca="false">IF(Checks!$AH$520="","",Checks!$AH$520)</f>
        <v>OPEN</v>
      </c>
    </row>
    <row r="40" customFormat="false" ht="190.5" hidden="false" customHeight="true" outlineLevel="0" collapsed="false">
      <c r="A40" s="112" t="str">
        <f aca="false">Checks!$A$521&amp;CHAR(10)&amp;IF(Checks!$I$521="","",Checks!$I$521&amp;": ")&amp;Checks!$J$521</f>
        <v>F16-T12-06
Equipment: Equipment quantities vs GLD</v>
      </c>
      <c r="B40" s="112"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2" t="str">
        <f aca="false">Checks!$N$521&amp;CHAR(10)&amp;IF(ISNUMBER(Checks!$R$521),TEXT(Checks!$R$521,"DD-MMM-YY HH:MM"),"")&amp;" "&amp;Checks!$P$521</f>
        <v>Required
25-Oct-26 21:10 KUL</v>
      </c>
      <c r="D40" s="112" t="str">
        <f aca="false">IF(Checks!$U$521="","",Checks!$U$521)&amp;IF(Checks!$AB$521="","",CHAR(10)&amp;"CA: "&amp;Checks!$AB$521)</f>
        <v/>
      </c>
      <c r="E40" s="112" t="str">
        <f aca="false">IF(Checks!$V$521="","",Checks!$V$521)&amp;IF(Checks!$AC$521="","",IF(Checks!$V$521="","",CHAR(10))&amp;"N/A just.: "&amp;Checks!$AC$521)&amp;IF(Checks!$W$521="","",CHAR(10)&amp;"Batch: "&amp;Checks!$W$521)&amp;IF(AND(Checks!$X$521="",Checks!$Y$521=""),"",CHAR(10)&amp;"Exp: "&amp;Checks!$X$521&amp;"  /  Act: "&amp;Checks!$Y$521)</f>
        <v/>
      </c>
      <c r="F40" s="112" t="str">
        <f aca="false">IF(Checks!$Z$521="","","Evidence: "&amp;Checks!$Z$521)&amp;IF(Checks!$AA$521="","",IF(Checks!$Z$521="","",CHAR(10))&amp;"CA: "&amp;Checks!$AA$521)</f>
        <v/>
      </c>
      <c r="G40" s="112" t="str">
        <f aca="false">IF(ISNUMBER(Checks!$AD$521),TEXT(Checks!$AD$521,"DD-MMM-YY HH:MM")&amp;" "&amp;Checks!$P$521,"")&amp;IF(Checks!$AE$521="","",CHAR(10)&amp;"Verifier: "&amp;Checks!$AE$521)&amp;IF(Checks!$T$521="","",CHAR(10)&amp;"PIC: "&amp;Checks!$T$521)</f>
        <v/>
      </c>
      <c r="H40" s="113" t="str">
        <f aca="false">IF(Checks!$AH$521="","",Checks!$AH$521)</f>
        <v>OPEN</v>
      </c>
    </row>
    <row r="41" customFormat="false" ht="114" hidden="false" customHeight="true" outlineLevel="0" collapsed="false">
      <c r="A41" s="112" t="str">
        <f aca="false">Checks!$A$522&amp;CHAR(10)&amp;IF(Checks!$I$522="","",Checks!$I$522&amp;": ")&amp;Checks!$J$522</f>
        <v>F16-T12-07
Equipment: Loading positions planned vs GLD</v>
      </c>
      <c r="B41" s="112" t="str">
        <f aca="false">Checks!$K$522&amp;IF(Checks!$O$522="","",IF(Checks!$K$522="","",CHAR(10))&amp;"Note: "&amp;Checks!$O$522)</f>
        <v>Note: Preparation check at caterer - does NOT confirm loading.</v>
      </c>
      <c r="C41" s="112" t="str">
        <f aca="false">Checks!$N$522&amp;CHAR(10)&amp;IF(ISNUMBER(Checks!$R$522),TEXT(Checks!$R$522,"DD-MMM-YY HH:MM"),"")&amp;" "&amp;Checks!$P$522</f>
        <v>Required
25-Oct-26 21:10 KUL</v>
      </c>
      <c r="D41" s="112" t="str">
        <f aca="false">IF(Checks!$U$522="","",Checks!$U$522)&amp;IF(Checks!$AB$522="","",CHAR(10)&amp;"CA: "&amp;Checks!$AB$522)</f>
        <v/>
      </c>
      <c r="E41" s="112" t="str">
        <f aca="false">IF(Checks!$V$522="","",Checks!$V$522)&amp;IF(Checks!$AC$522="","",IF(Checks!$V$522="","",CHAR(10))&amp;"N/A just.: "&amp;Checks!$AC$522)&amp;IF(Checks!$W$522="","",CHAR(10)&amp;"Batch: "&amp;Checks!$W$522)&amp;IF(AND(Checks!$X$522="",Checks!$Y$522=""),"",CHAR(10)&amp;"Exp: "&amp;Checks!$X$522&amp;"  /  Act: "&amp;Checks!$Y$522)</f>
        <v/>
      </c>
      <c r="F41" s="112" t="str">
        <f aca="false">IF(Checks!$Z$522="","","Evidence: "&amp;Checks!$Z$522)&amp;IF(Checks!$AA$522="","",IF(Checks!$Z$522="","",CHAR(10))&amp;"CA: "&amp;Checks!$AA$522)</f>
        <v/>
      </c>
      <c r="G41" s="112" t="str">
        <f aca="false">IF(ISNUMBER(Checks!$AD$522),TEXT(Checks!$AD$522,"DD-MMM-YY HH:MM")&amp;" "&amp;Checks!$P$522,"")&amp;IF(Checks!$AE$522="","",CHAR(10)&amp;"Verifier: "&amp;Checks!$AE$522)&amp;IF(Checks!$T$522="","",CHAR(10)&amp;"PIC: "&amp;Checks!$T$522)</f>
        <v/>
      </c>
      <c r="H41" s="113" t="str">
        <f aca="false">IF(Checks!$AH$522="","",Checks!$AH$522)</f>
        <v>OPEN</v>
      </c>
    </row>
    <row r="42" customFormat="false" ht="114" hidden="false" customHeight="true" outlineLevel="0" collapsed="false">
      <c r="A42" s="112" t="str">
        <f aca="false">Checks!$A$523&amp;CHAR(10)&amp;IF(Checks!$I$523="","",Checks!$I$523&amp;": ")&amp;Checks!$J$523</f>
        <v>F16-T12-08
Seat Linen: Seat pillow (EY) - prepared</v>
      </c>
      <c r="B42" s="112" t="str">
        <f aca="false">Checks!$K$523&amp;IF(Checks!$O$523="","",IF(Checks!$K$523="","",CHAR(10))&amp;"Note: "&amp;Checks!$O$523)</f>
        <v>Available 100% (ticked in reference)
Note: Reference gives no uplift stn for this item: preparation checked at the meal uplift stn (KUL) - confirm with caterer.</v>
      </c>
      <c r="C42" s="112" t="str">
        <f aca="false">Checks!$N$523&amp;CHAR(10)&amp;IF(ISNUMBER(Checks!$R$523),TEXT(Checks!$R$523,"DD-MMM-YY HH:MM"),"")&amp;" "&amp;Checks!$P$523</f>
        <v>Required
25-Oct-26 21:10 KUL</v>
      </c>
      <c r="D42" s="112" t="str">
        <f aca="false">IF(Checks!$U$523="","",Checks!$U$523)&amp;IF(Checks!$AB$523="","",CHAR(10)&amp;"CA: "&amp;Checks!$AB$523)</f>
        <v/>
      </c>
      <c r="E42" s="112" t="str">
        <f aca="false">IF(Checks!$V$523="","",Checks!$V$523)&amp;IF(Checks!$AC$523="","",IF(Checks!$V$523="","",CHAR(10))&amp;"N/A just.: "&amp;Checks!$AC$523)&amp;IF(Checks!$W$523="","",CHAR(10)&amp;"Batch: "&amp;Checks!$W$523)&amp;IF(AND(Checks!$X$523="",Checks!$Y$523=""),"",CHAR(10)&amp;"Exp: "&amp;Checks!$X$523&amp;"  /  Act: "&amp;Checks!$Y$523)</f>
        <v/>
      </c>
      <c r="F42" s="112" t="str">
        <f aca="false">IF(Checks!$Z$523="","","Evidence: "&amp;Checks!$Z$523)&amp;IF(Checks!$AA$523="","",IF(Checks!$Z$523="","",CHAR(10))&amp;"CA: "&amp;Checks!$AA$523)</f>
        <v/>
      </c>
      <c r="G42" s="112" t="str">
        <f aca="false">IF(ISNUMBER(Checks!$AD$523),TEXT(Checks!$AD$523,"DD-MMM-YY HH:MM")&amp;" "&amp;Checks!$P$523,"")&amp;IF(Checks!$AE$523="","",CHAR(10)&amp;"Verifier: "&amp;Checks!$AE$523)&amp;IF(Checks!$T$523="","",CHAR(10)&amp;"PIC: "&amp;Checks!$T$523)</f>
        <v/>
      </c>
      <c r="H42" s="113" t="str">
        <f aca="false">IF(Checks!$AH$523="","",Checks!$AH$523)</f>
        <v>OPEN</v>
      </c>
    </row>
    <row r="43" customFormat="false" ht="289.5" hidden="false" customHeight="true" outlineLevel="0" collapsed="false">
      <c r="A43" s="112" t="str">
        <f aca="false">Checks!$A$524&amp;CHAR(10)&amp;IF(Checks!$I$524="","",Checks!$I$524&amp;": ")&amp;Checks!$J$524</f>
        <v>F16-T12-09
Seat Linen: Blanket (EY) - prepared</v>
      </c>
      <c r="B43" s="112" t="str">
        <f aca="false">SUBSTITUTE(Checks!$K$524&amp;IF(Checks!$O$524="","",IF(Checks!$K$524="","",CHAR(10))&amp;"Note: "&amp;Checks!$O$524),"SEAT LINEN!","Ref: SEAT LINEN!")</f>
        <v>Available 100% (ticked in reference)
Note: EY blanket: flight above 3 hours excl. Regional (Ref: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2" t="str">
        <f aca="false">Checks!$N$524&amp;CHAR(10)&amp;IF(ISNUMBER(Checks!$R$524),TEXT(Checks!$R$524,"DD-MMM-YY HH:MM"),"")&amp;" "&amp;Checks!$P$524</f>
        <v>Clarification required
25-Oct-26 21:10 KUL</v>
      </c>
      <c r="D43" s="112" t="str">
        <f aca="false">IF(Checks!$U$524="","",Checks!$U$524)&amp;IF(Checks!$AB$524="","",CHAR(10)&amp;"CA: "&amp;Checks!$AB$524)</f>
        <v/>
      </c>
      <c r="E43" s="112" t="str">
        <f aca="false">IF(Checks!$V$524="","",Checks!$V$524)&amp;IF(Checks!$AC$524="","",IF(Checks!$V$524="","",CHAR(10))&amp;"N/A just.: "&amp;Checks!$AC$524)&amp;IF(Checks!$W$524="","",CHAR(10)&amp;"Batch: "&amp;Checks!$W$524)&amp;IF(AND(Checks!$X$524="",Checks!$Y$524=""),"",CHAR(10)&amp;"Exp: "&amp;Checks!$X$524&amp;"  /  Act: "&amp;Checks!$Y$524)</f>
        <v/>
      </c>
      <c r="F43" s="112" t="str">
        <f aca="false">IF(Checks!$Z$524="","","Evidence: "&amp;Checks!$Z$524)&amp;IF(Checks!$AA$524="","",IF(Checks!$Z$524="","",CHAR(10))&amp;"CA: "&amp;Checks!$AA$524)</f>
        <v/>
      </c>
      <c r="G43" s="112" t="str">
        <f aca="false">IF(ISNUMBER(Checks!$AD$524),TEXT(Checks!$AD$524,"DD-MMM-YY HH:MM")&amp;" "&amp;Checks!$P$524,"")&amp;IF(Checks!$AE$524="","",CHAR(10)&amp;"Verifier: "&amp;Checks!$AE$524)&amp;IF(Checks!$T$524="","",CHAR(10)&amp;"PIC: "&amp;Checks!$T$524)</f>
        <v/>
      </c>
      <c r="H43" s="113" t="str">
        <f aca="false">IF(Checks!$AH$524="","",Checks!$AH$524)</f>
        <v>OPEN – CLARIFICATION</v>
      </c>
    </row>
    <row r="44" customFormat="false" ht="124.5" hidden="false" customHeight="true" outlineLevel="0" collapsed="false">
      <c r="A44" s="112" t="str">
        <f aca="false">Checks!$A$525&amp;CHAR(10)&amp;IF(Checks!$I$525="","",Checks!$I$525&amp;": ")&amp;Checks!$J$525</f>
        <v>F16-T12-10
Sales Cart: Sales cart (caterer MCAT) - prepared</v>
      </c>
      <c r="B44" s="112"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2" t="str">
        <f aca="false">Checks!$N$525&amp;CHAR(10)&amp;IF(ISNUMBER(Checks!$R$525),TEXT(Checks!$R$525,"DD-MMM-YY HH:MM"),"")&amp;" "&amp;Checks!$P$525</f>
        <v>Required
25-Oct-26 21:10 KUL</v>
      </c>
      <c r="D44" s="112" t="str">
        <f aca="false">IF(Checks!$U$525="","",Checks!$U$525)&amp;IF(Checks!$AB$525="","",CHAR(10)&amp;"CA: "&amp;Checks!$AB$525)</f>
        <v/>
      </c>
      <c r="E44" s="112" t="str">
        <f aca="false">IF(Checks!$V$525="","",Checks!$V$525)&amp;IF(Checks!$AC$525="","",IF(Checks!$V$525="","",CHAR(10))&amp;"N/A just.: "&amp;Checks!$AC$525)&amp;IF(Checks!$W$525="","",CHAR(10)&amp;"Batch: "&amp;Checks!$W$525)&amp;IF(AND(Checks!$X$525="",Checks!$Y$525=""),"",CHAR(10)&amp;"Exp: "&amp;Checks!$X$525&amp;"  /  Act: "&amp;Checks!$Y$525)</f>
        <v/>
      </c>
      <c r="F44" s="112" t="str">
        <f aca="false">IF(Checks!$Z$525="","","Evidence: "&amp;Checks!$Z$525)&amp;IF(Checks!$AA$525="","",IF(Checks!$Z$525="","",CHAR(10))&amp;"CA: "&amp;Checks!$AA$525)</f>
        <v/>
      </c>
      <c r="G44" s="112" t="str">
        <f aca="false">IF(ISNUMBER(Checks!$AD$525),TEXT(Checks!$AD$525,"DD-MMM-YY HH:MM")&amp;" "&amp;Checks!$P$525,"")&amp;IF(Checks!$AE$525="","",CHAR(10)&amp;"Verifier: "&amp;Checks!$AE$525)&amp;IF(Checks!$T$525="","",CHAR(10)&amp;"PIC: "&amp;Checks!$T$525)</f>
        <v/>
      </c>
      <c r="H44" s="113" t="str">
        <f aca="false">IF(Checks!$AH$525="","",Checks!$AH$525)</f>
        <v>OPEN</v>
      </c>
    </row>
    <row r="45" customFormat="false" ht="25.5" hidden="false" customHeight="true" outlineLevel="0" collapsed="false">
      <c r="A45" s="111"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1"/>
      <c r="C45" s="111"/>
      <c r="D45" s="111"/>
      <c r="E45" s="111"/>
      <c r="F45" s="111"/>
      <c r="G45" s="111"/>
      <c r="H45" s="111"/>
    </row>
    <row r="46" customFormat="false" ht="114" hidden="false" customHeight="true" outlineLevel="0" collapsed="false">
      <c r="A46" s="112" t="str">
        <f aca="false">Checks!$A$526&amp;CHAR(10)&amp;IF(Checks!$I$526="","",Checks!$I$526&amp;": ")&amp;Checks!$J$526</f>
        <v>F16-UPL-01
Meal: Meals physically uplifted on board - quantity vs menu checklist</v>
      </c>
      <c r="B46" s="112" t="str">
        <f aca="false">Checks!$K$526&amp;IF(Checks!$O$526="","",IF(Checks!$K$526="","",CHAR(10))&amp;"Note: "&amp;Checks!$O$526)</f>
        <v>Enter expected &amp; actual
Note: Confirm on board before departure; completion time must fall inside the uplift window.</v>
      </c>
      <c r="C46" s="112" t="str">
        <f aca="false">Checks!$N$526&amp;CHAR(10)&amp;IF(ISNUMBER(Checks!$R$526),TEXT(Checks!$R$526,"DD-MMM-YY HH:MM"),"")&amp;" "&amp;Checks!$P$526</f>
        <v>Required
26-Oct-26 09:10 KUL</v>
      </c>
      <c r="D46" s="112" t="str">
        <f aca="false">IF(Checks!$U$526="","",Checks!$U$526)&amp;IF(Checks!$AB$526="","",CHAR(10)&amp;"CA: "&amp;Checks!$AB$526)</f>
        <v/>
      </c>
      <c r="E46" s="112" t="str">
        <f aca="false">IF(Checks!$V$526="","",Checks!$V$526)&amp;IF(Checks!$AC$526="","",IF(Checks!$V$526="","",CHAR(10))&amp;"N/A just.: "&amp;Checks!$AC$526)&amp;IF(Checks!$W$526="","",CHAR(10)&amp;"Batch: "&amp;Checks!$W$526)&amp;IF(AND(Checks!$X$526="",Checks!$Y$526=""),"",CHAR(10)&amp;"Exp: "&amp;Checks!$X$526&amp;"  /  Act: "&amp;Checks!$Y$526)</f>
        <v/>
      </c>
      <c r="F46" s="112" t="str">
        <f aca="false">IF(Checks!$Z$526="","","Evidence: "&amp;Checks!$Z$526)&amp;IF(Checks!$AA$526="","",IF(Checks!$Z$526="","",CHAR(10))&amp;"CA: "&amp;Checks!$AA$526)</f>
        <v/>
      </c>
      <c r="G46" s="112" t="str">
        <f aca="false">IF(ISNUMBER(Checks!$AD$526),TEXT(Checks!$AD$526,"DD-MMM-YY HH:MM")&amp;" "&amp;Checks!$P$526,"")&amp;IF(Checks!$AE$526="","",CHAR(10)&amp;"Verifier: "&amp;Checks!$AE$526)&amp;IF(Checks!$T$526="","",CHAR(10)&amp;"PIC: "&amp;Checks!$T$526)</f>
        <v/>
      </c>
      <c r="H46" s="113" t="str">
        <f aca="false">IF(Checks!$AH$526="","",Checks!$AH$526)</f>
        <v>OPEN</v>
      </c>
    </row>
    <row r="47" customFormat="false" ht="114" hidden="false" customHeight="true" outlineLevel="0" collapsed="false">
      <c r="A47" s="112" t="str">
        <f aca="false">Checks!$A$527&amp;CHAR(10)&amp;IF(Checks!$I$527="","",Checks!$I$527&amp;": ")&amp;Checks!$J$527</f>
        <v>F16-UPL-02
Equipment: Equipment physically loaded at GLD positions - quantity &amp; positions</v>
      </c>
      <c r="B47" s="112" t="str">
        <f aca="false">Checks!$K$527&amp;IF(Checks!$O$527="","",IF(Checks!$K$527="","",CHAR(10))&amp;"Note: "&amp;Checks!$O$527)</f>
        <v>Enter expected &amp; actual
Note: Confirm on board before departure; completion time must fall inside the uplift window.</v>
      </c>
      <c r="C47" s="112" t="str">
        <f aca="false">Checks!$N$527&amp;CHAR(10)&amp;IF(ISNUMBER(Checks!$R$527),TEXT(Checks!$R$527,"DD-MMM-YY HH:MM"),"")&amp;" "&amp;Checks!$P$527</f>
        <v>Required
26-Oct-26 09:10 KUL</v>
      </c>
      <c r="D47" s="112" t="str">
        <f aca="false">IF(Checks!$U$527="","",Checks!$U$527)&amp;IF(Checks!$AB$527="","",CHAR(10)&amp;"CA: "&amp;Checks!$AB$527)</f>
        <v/>
      </c>
      <c r="E47" s="112" t="str">
        <f aca="false">IF(Checks!$V$527="","",Checks!$V$527)&amp;IF(Checks!$AC$527="","",IF(Checks!$V$527="","",CHAR(10))&amp;"N/A just.: "&amp;Checks!$AC$527)&amp;IF(Checks!$W$527="","",CHAR(10)&amp;"Batch: "&amp;Checks!$W$527)&amp;IF(AND(Checks!$X$527="",Checks!$Y$527=""),"",CHAR(10)&amp;"Exp: "&amp;Checks!$X$527&amp;"  /  Act: "&amp;Checks!$Y$527)</f>
        <v/>
      </c>
      <c r="F47" s="112" t="str">
        <f aca="false">IF(Checks!$Z$527="","","Evidence: "&amp;Checks!$Z$527)&amp;IF(Checks!$AA$527="","",IF(Checks!$Z$527="","",CHAR(10))&amp;"CA: "&amp;Checks!$AA$527)</f>
        <v/>
      </c>
      <c r="G47" s="112" t="str">
        <f aca="false">IF(ISNUMBER(Checks!$AD$527),TEXT(Checks!$AD$527,"DD-MMM-YY HH:MM")&amp;" "&amp;Checks!$P$527,"")&amp;IF(Checks!$AE$527="","",CHAR(10)&amp;"Verifier: "&amp;Checks!$AE$527)&amp;IF(Checks!$T$527="","",CHAR(10)&amp;"PIC: "&amp;Checks!$T$527)</f>
        <v/>
      </c>
      <c r="H47" s="113" t="str">
        <f aca="false">IF(Checks!$AH$527="","",Checks!$AH$527)</f>
        <v>OPEN</v>
      </c>
    </row>
    <row r="48" customFormat="false" ht="114" hidden="false" customHeight="true" outlineLevel="0" collapsed="false">
      <c r="A48" s="112" t="str">
        <f aca="false">Checks!$A$528&amp;CHAR(10)&amp;IF(Checks!$I$528="","",Checks!$I$528&amp;": ")&amp;Checks!$J$528</f>
        <v>F16-UPL-03
Seat Linen: Seat pillow (EY) - on board</v>
      </c>
      <c r="B48" s="112" t="str">
        <f aca="false">Checks!$K$528&amp;IF(Checks!$O$528="","",IF(Checks!$K$528="","",CHAR(10))&amp;"Note: "&amp;Checks!$O$528)</f>
        <v>Available 100% (ticked in reference)</v>
      </c>
      <c r="C48" s="112" t="str">
        <f aca="false">Checks!$N$528&amp;CHAR(10)&amp;IF(ISNUMBER(Checks!$R$528),TEXT(Checks!$R$528,"DD-MMM-YY HH:MM"),"")&amp;" "&amp;Checks!$P$528</f>
        <v>Required
26-Oct-26 09:10 KUL</v>
      </c>
      <c r="D48" s="112" t="str">
        <f aca="false">IF(Checks!$U$528="","",Checks!$U$528)&amp;IF(Checks!$AB$528="","",CHAR(10)&amp;"CA: "&amp;Checks!$AB$528)</f>
        <v/>
      </c>
      <c r="E48" s="112" t="str">
        <f aca="false">IF(Checks!$V$528="","",Checks!$V$528)&amp;IF(Checks!$AC$528="","",IF(Checks!$V$528="","",CHAR(10))&amp;"N/A just.: "&amp;Checks!$AC$528)&amp;IF(Checks!$W$528="","",CHAR(10)&amp;"Batch: "&amp;Checks!$W$528)&amp;IF(AND(Checks!$X$528="",Checks!$Y$528=""),"",CHAR(10)&amp;"Exp: "&amp;Checks!$X$528&amp;"  /  Act: "&amp;Checks!$Y$528)</f>
        <v/>
      </c>
      <c r="F48" s="112" t="str">
        <f aca="false">IF(Checks!$Z$528="","","Evidence: "&amp;Checks!$Z$528)&amp;IF(Checks!$AA$528="","",IF(Checks!$Z$528="","",CHAR(10))&amp;"CA: "&amp;Checks!$AA$528)</f>
        <v/>
      </c>
      <c r="G48" s="112" t="str">
        <f aca="false">IF(ISNUMBER(Checks!$AD$528),TEXT(Checks!$AD$528,"DD-MMM-YY HH:MM")&amp;" "&amp;Checks!$P$528,"")&amp;IF(Checks!$AE$528="","",CHAR(10)&amp;"Verifier: "&amp;Checks!$AE$528)&amp;IF(Checks!$T$528="","",CHAR(10)&amp;"PIC: "&amp;Checks!$T$528)</f>
        <v/>
      </c>
      <c r="H48" s="113" t="str">
        <f aca="false">IF(Checks!$AH$528="","",Checks!$AH$528)</f>
        <v>OPEN</v>
      </c>
    </row>
    <row r="49" customFormat="false" ht="213" hidden="false" customHeight="true" outlineLevel="0" collapsed="false">
      <c r="A49" s="112" t="str">
        <f aca="false">Checks!$A$529&amp;CHAR(10)&amp;IF(Checks!$I$529="","",Checks!$I$529&amp;": ")&amp;Checks!$J$529</f>
        <v>F16-UPL-04
Seat Linen: Blanket (EY) - on board</v>
      </c>
      <c r="B49" s="112" t="str">
        <f aca="false">SUBSTITUTE(Checks!$K$529&amp;IF(Checks!$O$529="","",IF(Checks!$K$529="","",CHAR(10))&amp;"Note: "&amp;Checks!$O$529),"SEAT LINEN!","Ref: SEAT LINEN!")</f>
        <v>Available 100% (ticked in reference)
Note: EY blanket: flight above 3 hours excl. Regional (Ref: SEAT LINEN!B74:C74); block 4.08 h. Matrix shows _/ for this ORIENTAL sector but B74 excludes 'Regional sectors' without defining them - confirm whether this sector counts as Regional. Quantity for this aircraft not stated in reference.</v>
      </c>
      <c r="C49" s="112" t="str">
        <f aca="false">Checks!$N$529&amp;CHAR(10)&amp;IF(ISNUMBER(Checks!$R$529),TEXT(Checks!$R$529,"DD-MMM-YY HH:MM"),"")&amp;" "&amp;Checks!$P$529</f>
        <v>Clarification required
26-Oct-26 09:10 KUL</v>
      </c>
      <c r="D49" s="112" t="str">
        <f aca="false">IF(Checks!$U$529="","",Checks!$U$529)&amp;IF(Checks!$AB$529="","",CHAR(10)&amp;"CA: "&amp;Checks!$AB$529)</f>
        <v/>
      </c>
      <c r="E49" s="112" t="str">
        <f aca="false">IF(Checks!$V$529="","",Checks!$V$529)&amp;IF(Checks!$AC$529="","",IF(Checks!$V$529="","",CHAR(10))&amp;"N/A just.: "&amp;Checks!$AC$529)&amp;IF(Checks!$W$529="","",CHAR(10)&amp;"Batch: "&amp;Checks!$W$529)&amp;IF(AND(Checks!$X$529="",Checks!$Y$529=""),"",CHAR(10)&amp;"Exp: "&amp;Checks!$X$529&amp;"  /  Act: "&amp;Checks!$Y$529)</f>
        <v/>
      </c>
      <c r="F49" s="112" t="str">
        <f aca="false">IF(Checks!$Z$529="","","Evidence: "&amp;Checks!$Z$529)&amp;IF(Checks!$AA$529="","",IF(Checks!$Z$529="","",CHAR(10))&amp;"CA: "&amp;Checks!$AA$529)</f>
        <v/>
      </c>
      <c r="G49" s="112" t="str">
        <f aca="false">IF(ISNUMBER(Checks!$AD$529),TEXT(Checks!$AD$529,"DD-MMM-YY HH:MM")&amp;" "&amp;Checks!$P$529,"")&amp;IF(Checks!$AE$529="","",CHAR(10)&amp;"Verifier: "&amp;Checks!$AE$529)&amp;IF(Checks!$T$529="","",CHAR(10)&amp;"PIC: "&amp;Checks!$T$529)</f>
        <v/>
      </c>
      <c r="H49" s="113" t="str">
        <f aca="false">IF(Checks!$AH$529="","",Checks!$AH$529)</f>
        <v>OPEN – CLARIFICATION</v>
      </c>
    </row>
    <row r="50" customFormat="false" ht="114" hidden="false" customHeight="true" outlineLevel="0" collapsed="false">
      <c r="A50" s="112" t="str">
        <f aca="false">Checks!$A$530&amp;CHAR(10)&amp;IF(Checks!$I$530="","",Checks!$I$530&amp;": ")&amp;Checks!$J$530</f>
        <v>F16-UPL-05
Sales Cart: Sales cart (caterer MCAT) - on board</v>
      </c>
      <c r="B50" s="112" t="str">
        <f aca="false">SUBSTITUTE(Checks!$K$530&amp;IF(Checks!$O$530="","",IF(Checks!$K$530="","",CHAR(10))&amp;"Note: "&amp;Checks!$O$530),"SALES CART!","Ref: SALES CART!")</f>
        <v>Location 210A (B7M8)
Note: Block 4.08 h &gt;= 4 h (note Ref: SALES CART!C40).</v>
      </c>
      <c r="C50" s="112" t="str">
        <f aca="false">Checks!$N$530&amp;CHAR(10)&amp;IF(ISNUMBER(Checks!$R$530),TEXT(Checks!$R$530,"DD-MMM-YY HH:MM"),"")&amp;" "&amp;Checks!$P$530</f>
        <v>Required
26-Oct-26 09:10 KUL</v>
      </c>
      <c r="D50" s="112" t="str">
        <f aca="false">IF(Checks!$U$530="","",Checks!$U$530)&amp;IF(Checks!$AB$530="","",CHAR(10)&amp;"CA: "&amp;Checks!$AB$530)</f>
        <v/>
      </c>
      <c r="E50" s="112" t="str">
        <f aca="false">IF(Checks!$V$530="","",Checks!$V$530)&amp;IF(Checks!$AC$530="","",IF(Checks!$V$530="","",CHAR(10))&amp;"N/A just.: "&amp;Checks!$AC$530)&amp;IF(Checks!$W$530="","",CHAR(10)&amp;"Batch: "&amp;Checks!$W$530)&amp;IF(AND(Checks!$X$530="",Checks!$Y$530=""),"",CHAR(10)&amp;"Exp: "&amp;Checks!$X$530&amp;"  /  Act: "&amp;Checks!$Y$530)</f>
        <v/>
      </c>
      <c r="F50" s="112" t="str">
        <f aca="false">IF(Checks!$Z$530="","","Evidence: "&amp;Checks!$Z$530)&amp;IF(Checks!$AA$530="","",IF(Checks!$Z$530="","",CHAR(10))&amp;"CA: "&amp;Checks!$AA$530)</f>
        <v/>
      </c>
      <c r="G50" s="112" t="str">
        <f aca="false">IF(ISNUMBER(Checks!$AD$530),TEXT(Checks!$AD$530,"DD-MMM-YY HH:MM")&amp;" "&amp;Checks!$P$530,"")&amp;IF(Checks!$AE$530="","",CHAR(10)&amp;"Verifier: "&amp;Checks!$AE$530)&amp;IF(Checks!$T$530="","",CHAR(10)&amp;"PIC: "&amp;Checks!$T$530)</f>
        <v/>
      </c>
      <c r="H50" s="113" t="str">
        <f aca="false">IF(Checks!$AH$530="","",Checks!$AH$530)</f>
        <v>OPEN</v>
      </c>
    </row>
    <row r="52" customFormat="false" ht="24" hidden="false" customHeight="true" outlineLevel="0" collapsed="false">
      <c r="A52" s="114" t="s">
        <v>1647</v>
      </c>
      <c r="B52" s="114"/>
      <c r="C52" s="114"/>
      <c r="D52" s="114"/>
      <c r="E52" s="114" t="s">
        <v>1648</v>
      </c>
      <c r="F52" s="114"/>
      <c r="G52" s="114"/>
      <c r="H52" s="114"/>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F17  "&amp;Flights!$F$21&amp;"  "&amp;TEXT(Flights!$D$21,"DD-MMM-YY")&amp;" ("&amp;Flights!$E$21&amp;")  "&amp;Flights!$G$21&amp;" → "&amp;Flights!$H$21&amp;"  |  Class "&amp;Flights!$K$21</f>
        <v>SKYTRAX 2026 CATERING READINESS CHECKLIST  |  F17  MH0073  27-Oct-26 (TUE)  HKG → KUL  |  Class BC</v>
      </c>
      <c r="B1" s="90"/>
      <c r="C1" s="90"/>
      <c r="D1" s="90"/>
      <c r="E1" s="90"/>
      <c r="F1" s="90"/>
      <c r="G1" s="90"/>
      <c r="H1" s="90"/>
    </row>
    <row r="2" customFormat="false" ht="12.75" hidden="false" customHeight="true" outlineLevel="0" collapsed="false">
      <c r="A2" s="91" t="s">
        <v>1602</v>
      </c>
      <c r="B2" s="92" t="str">
        <f aca="false">Flights!$F$21&amp;"   "&amp;TEXT(Flights!$D$21,"DD-MMM-YY")&amp;" ("&amp;Flights!$E$21&amp;")"</f>
        <v>MH0073   27-Oct-26 (TUE)</v>
      </c>
      <c r="C2" s="92"/>
      <c r="D2" s="92"/>
      <c r="E2" s="93" t="s">
        <v>1603</v>
      </c>
      <c r="F2" s="94" t="str">
        <f aca="false">Flights!$AT$21</f>
        <v>NOT READY – DOCUMENTS</v>
      </c>
      <c r="G2" s="94"/>
      <c r="H2" s="94"/>
    </row>
    <row r="3" customFormat="false" ht="24" hidden="false" customHeight="true" outlineLevel="0" collapsed="false">
      <c r="A3" s="91" t="s">
        <v>1604</v>
      </c>
      <c r="B3" s="92" t="str">
        <f aca="false">Flights!$G$21&amp;" → "&amp;Flights!$H$21&amp;"   Class "&amp;Flights!$K$21&amp;"   Seat "&amp;Flights!$O$21</f>
        <v>HKG → KUL   Class BC   Seat 1C</v>
      </c>
      <c r="C3" s="92"/>
      <c r="D3" s="92"/>
      <c r="E3" s="93" t="s">
        <v>66</v>
      </c>
      <c r="F3" s="93" t="s">
        <v>1605</v>
      </c>
      <c r="G3" s="93" t="s">
        <v>1606</v>
      </c>
      <c r="H3" s="93"/>
    </row>
    <row r="4" customFormat="false" ht="24" hidden="false" customHeight="true" outlineLevel="0" collapsed="false">
      <c r="A4" s="91" t="s">
        <v>1607</v>
      </c>
      <c r="B4" s="92" t="str">
        <f aca="false">IF(ISNUMBER(Flights!$I$21),TEXT(Flights!$I$21,"DD-MMM-YY HH:MM"),"")&amp;" "&amp;Flights!$G$21&amp;"  →  "&amp;IF(ISNUMBER(Flights!$J$21),TEXT(Flights!$J$21,"DD-MMM-YY HH:MM"),"")&amp;" "&amp;Flights!$H$21</f>
        <v>27-Oct-26 14:50 HKG  →  27-Oct-26 18:55 KUL</v>
      </c>
      <c r="C4" s="92"/>
      <c r="D4" s="92"/>
      <c r="E4" s="91" t="s">
        <v>1608</v>
      </c>
      <c r="F4" s="95" t="str">
        <f aca="false">IF(ISNUMBER(Flights!$AG$21),TEXT(Flights!$AG$21,"DD-MMM-YY HH:MM"),"")&amp;" "&amp;Flights!$V$21</f>
        <v>20-Oct-26 14:50 HKG</v>
      </c>
      <c r="G4" s="96" t="n">
        <f aca="false">Flights!$AJ$21</f>
        <v>0</v>
      </c>
      <c r="H4" s="96"/>
    </row>
    <row r="5" customFormat="false" ht="24" hidden="false" customHeight="true" outlineLevel="0" collapsed="false">
      <c r="A5" s="91" t="s">
        <v>1609</v>
      </c>
      <c r="B5" s="92" t="str">
        <f aca="false">Flights!$L$21&amp;" – "&amp;Flights!$M$21</f>
        <v>B738MAX – B737-8 (B7M8)</v>
      </c>
      <c r="C5" s="92"/>
      <c r="D5" s="92"/>
      <c r="E5" s="91" t="s">
        <v>1610</v>
      </c>
      <c r="F5" s="95" t="str">
        <f aca="false">IF(ISNUMBER(Flights!$AH$21),TEXT(Flights!$AH$21,"DD-MMM-YY HH:MM"),"")&amp;" "&amp;Flights!$V$21</f>
        <v>26-Oct-26 14:50 HKG</v>
      </c>
      <c r="G5" s="96" t="n">
        <f aca="false">Flights!$AK$21</f>
        <v>0</v>
      </c>
      <c r="H5" s="96"/>
    </row>
    <row r="6" customFormat="false" ht="24" hidden="false" customHeight="true" outlineLevel="0" collapsed="false">
      <c r="A6" s="91" t="s">
        <v>1611</v>
      </c>
      <c r="B6" s="92" t="str">
        <f aca="false">IF(TRIM(Flights!$N$21)="","__________________",Flights!$N$21)</f>
        <v>__________________</v>
      </c>
      <c r="C6" s="92"/>
      <c r="D6" s="92"/>
      <c r="E6" s="91" t="s">
        <v>1612</v>
      </c>
      <c r="F6" s="95" t="str">
        <f aca="false">IF(ISNUMBER(Flights!$AI$21),TEXT(Flights!$AI$21,"DD-MMM-YY HH:MM"),"")&amp;" "&amp;Flights!$V$21&amp;IF(Flights!$AI$21=Flights!$AH$21,"  (= T-24H due)","")</f>
        <v>27-Oct-26 02:50 HKG</v>
      </c>
      <c r="G6" s="96" t="n">
        <f aca="false">Flights!$AL$21</f>
        <v>0</v>
      </c>
      <c r="H6" s="96"/>
    </row>
    <row r="7" customFormat="false" ht="24" hidden="false" customHeight="true" outlineLevel="0" collapsed="false">
      <c r="A7" s="91" t="s">
        <v>1613</v>
      </c>
      <c r="B7" s="92" t="str">
        <f aca="false">Flights!$T$21</f>
        <v>1 Meal + DAT(Noodles Svc) (Meal)</v>
      </c>
      <c r="C7" s="92"/>
      <c r="D7" s="92"/>
      <c r="E7" s="91" t="s">
        <v>1614</v>
      </c>
      <c r="F7" s="95" t="str">
        <f aca="false">"STD "&amp;IF(ISNUMBER(Flights!$I$21),TEXT(Flights!$I$21,"DD-MMM-YY HH:MM"),"")&amp;" "&amp;Flights!$G$21&amp;" (dep stn)"</f>
        <v>STD 27-Oct-26 14:50 HKG (dep stn)</v>
      </c>
      <c r="G7" s="96" t="n">
        <f aca="false">Flights!$AM$21</f>
        <v>0</v>
      </c>
      <c r="H7" s="96"/>
    </row>
    <row r="8" customFormat="false" ht="12.75" hidden="false" customHeight="true" outlineLevel="0" collapsed="false">
      <c r="A8" s="91" t="s">
        <v>148</v>
      </c>
      <c r="B8" s="92" t="str">
        <f aca="false">Flights!$V$21&amp;"   (reference uplift stns: "&amp;Flights!$U$21&amp;")"</f>
        <v>HKG   (reference uplift stns: KUL/HKG)</v>
      </c>
      <c r="C8" s="92"/>
      <c r="D8" s="92"/>
      <c r="E8" s="91" t="s">
        <v>1615</v>
      </c>
      <c r="F8" s="97" t="s">
        <v>1616</v>
      </c>
      <c r="G8" s="96" t="n">
        <f aca="false">Flights!$AN$21</f>
        <v>0</v>
      </c>
      <c r="H8" s="96"/>
    </row>
    <row r="9" customFormat="false" ht="12.75" hidden="false" customHeight="true" outlineLevel="0" collapsed="false">
      <c r="A9" s="91" t="s">
        <v>1617</v>
      </c>
      <c r="B9" s="92" t="str">
        <f aca="false">TRIM(Flights!$P$21&amp;"  "&amp;Flights!$Q$21)</f>
        <v>-</v>
      </c>
      <c r="C9" s="92"/>
      <c r="D9" s="92"/>
      <c r="E9" s="91" t="s">
        <v>1618</v>
      </c>
      <c r="F9" s="98" t="n">
        <f aca="false">Flights!$AP$21</f>
        <v>0</v>
      </c>
      <c r="G9" s="98" t="n">
        <f aca="false">Flights!$AQ$21</f>
        <v>0</v>
      </c>
      <c r="H9" s="98" t="n">
        <f aca="false">Flights!$AU$21</f>
        <v>0</v>
      </c>
    </row>
    <row r="10" customFormat="false" ht="24" hidden="false" customHeight="true" outlineLevel="0" collapsed="false">
      <c r="A10" s="91" t="s">
        <v>1619</v>
      </c>
      <c r="B10" s="92" t="str">
        <f aca="false">IF(TRIM(Flights!$X$21)="","__________________",Flights!$X$21)</f>
        <v>__________________</v>
      </c>
      <c r="C10" s="92"/>
      <c r="D10" s="92"/>
      <c r="E10" s="91" t="s">
        <v>1620</v>
      </c>
      <c r="F10" s="98" t="n">
        <f aca="false">Flights!$AO$21</f>
        <v>42</v>
      </c>
      <c r="G10" s="98" t="n">
        <f aca="false">Flights!$AS$21</f>
        <v>7</v>
      </c>
      <c r="H10" s="98" t="n">
        <f aca="false">Flights!$AR$21</f>
        <v>2</v>
      </c>
    </row>
    <row r="11" customFormat="false" ht="21" hidden="false" customHeight="true" outlineLevel="0" collapsed="false">
      <c r="A11" s="91" t="s">
        <v>1621</v>
      </c>
      <c r="B11" s="92" t="str">
        <f aca="false">IF(TRIM(Flights!$Y$21)="","__________________",Flights!$Y$21)</f>
        <v>__________________</v>
      </c>
      <c r="C11" s="92"/>
      <c r="D11" s="92"/>
      <c r="E11" s="91" t="s">
        <v>1622</v>
      </c>
      <c r="F11" s="98" t="str">
        <f aca="false">Flights!$AV$21&amp;" / "&amp;Flights!$AW$21</f>
        <v>0 / 42</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45.75" hidden="false" customHeight="true" outlineLevel="0" collapsed="false">
      <c r="A13" s="116" t="str">
        <f aca="false">"KUL-SOURCED ITEMS: some items for this flight are uplifted at KUL on an inbound carrying flight (identify it in the clarification check). Their preparation is capped at the KUL loading window."&amp;CHAR(10)&amp;"Prep must be complete by (loading window opens):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 (estimated – enter actual on Flights AX)")</f>
        <v>KUL-SOURCED ITEMS: some items for this flight are uplifted at KUL on an inbound carrying flight (identify it in the clarification check). Their preparation is capped at the KUL loading window.
Prep must be complete by (loading window opens): 26-Oct-26 03:10 KUL   |   Carrying flight KUL departure (loading confirmed by): 26-Oct-26 09:10 KUL (estimated – enter actual on Flights AX)</v>
      </c>
      <c r="B13" s="116"/>
      <c r="C13" s="116"/>
      <c r="D13" s="116"/>
      <c r="E13" s="116"/>
      <c r="F13" s="116"/>
      <c r="G13" s="116"/>
      <c r="H13" s="116"/>
    </row>
    <row r="14" customFormat="false" ht="13.5" hidden="false" customHeight="true" outlineLevel="0" collapsed="false">
      <c r="A14" s="93" t="s">
        <v>1627</v>
      </c>
      <c r="B14" s="93" t="s">
        <v>1628</v>
      </c>
      <c r="C14" s="93" t="s">
        <v>1629</v>
      </c>
      <c r="D14" s="93"/>
      <c r="E14" s="93" t="s">
        <v>1630</v>
      </c>
      <c r="F14" s="93" t="s">
        <v>1631</v>
      </c>
      <c r="G14" s="93"/>
      <c r="H14" s="93"/>
    </row>
    <row r="15" customFormat="false" ht="36" hidden="false" customHeight="true" outlineLevel="0" collapsed="false">
      <c r="A15" s="91" t="s">
        <v>1632</v>
      </c>
      <c r="B15" s="92" t="str">
        <f aca="false">IF(Documents!$F$21="","",Documents!$F$21)</f>
        <v/>
      </c>
      <c r="C15" s="97" t="str">
        <f aca="false">IF(Documents!$G$21="","",Documents!$G$21)&amp;IF(ISNUMBER(Documents!$H$21),"  "&amp;TEXT(Documents!$H$21,"DD-MMM-YY"),"")</f>
        <v/>
      </c>
      <c r="D15" s="97"/>
      <c r="E15" s="105" t="str">
        <f aca="false">IF(Documents!$J$21="OUTSTANDING","OUTSTANDING – attach before T-7D (due "&amp;IF(ISNUMBER(Flights!$AG$21),TEXT(Flights!$AG$21,"DD-MMM-YY HH:MM"),"")&amp;" "&amp;Flights!$V$21&amp;")",IF(Documents!$J$21="","Status not recorded",Documents!$J$21))</f>
        <v>OUTSTANDING – attach before T-7D (due 20-Oct-26 14:50 HKG)</v>
      </c>
      <c r="F15" s="106" t="str">
        <f aca="false">"Staple behind this sheet as page A1."&amp;IF(Documents!$I$21="",""," Location: "&amp;Documents!$I$21)</f>
        <v>Staple behind this sheet as page A1.</v>
      </c>
      <c r="G15" s="106"/>
      <c r="H15" s="106"/>
    </row>
    <row r="16" customFormat="false" ht="36" hidden="false" customHeight="true" outlineLevel="0" collapsed="false">
      <c r="A16" s="91" t="s">
        <v>1633</v>
      </c>
      <c r="B16" s="92" t="str">
        <f aca="false">IF(Documents!$K$21="","",Documents!$K$21)</f>
        <v/>
      </c>
      <c r="C16" s="97" t="str">
        <f aca="false">IF(Documents!$L$21="","",Documents!$L$21)&amp;IF(ISNUMBER(Documents!$M$21),"  "&amp;TEXT(Documents!$M$21,"DD-MMM-YY"),"")</f>
        <v/>
      </c>
      <c r="D16" s="97"/>
      <c r="E16" s="105" t="str">
        <f aca="false">IF(Documents!$O$21="OUTSTANDING","OUTSTANDING – attach before T-7D (due "&amp;IF(ISNUMBER(Flights!$AG$21),TEXT(Flights!$AG$21,"DD-MMM-YY HH:MM"),"")&amp;" "&amp;Flights!$V$21&amp;")",IF(Documents!$O$21="","Status not recorded",Documents!$O$21))</f>
        <v>OUTSTANDING – attach before T-7D (due 20-Oct-26 14:50 HKG)</v>
      </c>
      <c r="F16" s="106" t="str">
        <f aca="false">"Staple behind this sheet as page A2."&amp;IF(Documents!$N$21="",""," Location: "&amp;Documents!$N$21)</f>
        <v>Staple behind this sheet as page A2.</v>
      </c>
      <c r="G16" s="106"/>
      <c r="H16" s="106"/>
    </row>
    <row r="17" customFormat="false" ht="22.5" hidden="false" customHeight="true" outlineLevel="0" collapsed="false">
      <c r="A17" s="91" t="s">
        <v>1634</v>
      </c>
      <c r="B17" s="107" t="str">
        <f aca="false">IF(Documents!$Q$21="","",Documents!$Q$21)</f>
        <v>Not supplied with brief – obtain from caterer / MAGCS.</v>
      </c>
      <c r="C17" s="107"/>
      <c r="D17" s="107"/>
      <c r="E17" s="107"/>
      <c r="F17" s="107"/>
      <c r="G17" s="107"/>
      <c r="H17" s="107"/>
    </row>
    <row r="18" customFormat="false" ht="13.5" hidden="false" customHeight="true" outlineLevel="0" collapsed="false">
      <c r="A18" s="108" t="s">
        <v>1635</v>
      </c>
      <c r="B18" s="108"/>
      <c r="C18" s="108" t="s">
        <v>1636</v>
      </c>
      <c r="D18" s="108"/>
      <c r="E18" s="108"/>
      <c r="F18" s="108" t="s">
        <v>1637</v>
      </c>
      <c r="G18" s="108"/>
      <c r="H18" s="108"/>
    </row>
    <row r="19" customFormat="false" ht="18" hidden="false" customHeight="true" outlineLevel="0" collapsed="false">
      <c r="A19" s="92" t="str">
        <f aca="false">"Name: "&amp;IF(TRIM(Flights!$Y$21)="","__________________",Flights!$Y$21)</f>
        <v>Name: __________________</v>
      </c>
      <c r="B19" s="92"/>
      <c r="C19" s="92" t="str">
        <f aca="false">"Name: __________________"</f>
        <v>Name: __________________</v>
      </c>
      <c r="D19" s="92"/>
      <c r="E19" s="92"/>
      <c r="F19" s="92" t="str">
        <f aca="false">"Name: __________________"&amp;"   Station: "&amp;Flights!$V$21</f>
        <v>Name: __________________   Station: HKG</v>
      </c>
      <c r="G19" s="92"/>
      <c r="H19" s="92"/>
    </row>
    <row r="20" customFormat="false" ht="30" hidden="false" customHeight="true" outlineLevel="0" collapsed="false">
      <c r="A20" s="109" t="s">
        <v>1638</v>
      </c>
      <c r="B20" s="109"/>
      <c r="C20" s="109" t="s">
        <v>1638</v>
      </c>
      <c r="D20" s="109"/>
      <c r="E20" s="109"/>
      <c r="F20" s="109" t="s">
        <v>1638</v>
      </c>
      <c r="G20" s="109"/>
      <c r="H20" s="109"/>
    </row>
    <row r="21" customFormat="false" ht="13.5" hidden="false" customHeight="true" outlineLevel="0" collapsed="false">
      <c r="A21" s="110" t="s">
        <v>1639</v>
      </c>
      <c r="B21" s="110"/>
      <c r="C21" s="110"/>
      <c r="D21" s="110"/>
      <c r="E21" s="110"/>
      <c r="F21" s="110"/>
      <c r="G21" s="110"/>
      <c r="H21" s="110"/>
    </row>
    <row r="22" customFormat="false" ht="24" hidden="false" customHeight="true" outlineLevel="0" collapsed="false">
      <c r="A22" s="93" t="s">
        <v>1640</v>
      </c>
      <c r="B22" s="93" t="s">
        <v>1641</v>
      </c>
      <c r="C22" s="93" t="s">
        <v>1642</v>
      </c>
      <c r="D22" s="93" t="s">
        <v>1643</v>
      </c>
      <c r="E22" s="93" t="s">
        <v>1644</v>
      </c>
      <c r="F22" s="93" t="s">
        <v>1645</v>
      </c>
      <c r="G22" s="93" t="s">
        <v>1646</v>
      </c>
      <c r="H22" s="93" t="s">
        <v>119</v>
      </c>
    </row>
    <row r="23" customFormat="false" ht="25.5" hidden="false" customHeight="true" outlineLevel="0" collapsed="false">
      <c r="A23" s="111"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1"/>
      <c r="C23" s="111"/>
      <c r="D23" s="111"/>
      <c r="E23" s="111"/>
      <c r="F23" s="111"/>
      <c r="G23" s="111"/>
      <c r="H23" s="111"/>
    </row>
    <row r="24" customFormat="false" ht="114" hidden="false" customHeight="true" outlineLevel="0" collapsed="false">
      <c r="A24" s="112" t="str">
        <f aca="false">Checks!$A$531&amp;CHAR(10)&amp;IF(Checks!$I$531="","",Checks!$I$531&amp;": ")&amp;Checks!$J$531</f>
        <v>F17-T7-01
Meal: Meal sensory testing completed for this flight's menu cycle (assessed class)</v>
      </c>
      <c r="B24" s="112" t="str">
        <f aca="false">Checks!$K$531&amp;IF(Checks!$O$531="","",IF(Checks!$K$531="","",CHAR(10))&amp;"Note: "&amp;Checks!$O$531)</f>
        <v>Record panel result / score in Result</v>
      </c>
      <c r="C24" s="112" t="str">
        <f aca="false">Checks!$N$531&amp;CHAR(10)&amp;IF(ISNUMBER(Checks!$R$531),TEXT(Checks!$R$531,"DD-MMM-YY HH:MM"),"")&amp;" "&amp;Checks!$P$531</f>
        <v>Required
20-Oct-26 14:50 HKG</v>
      </c>
      <c r="D24" s="112" t="str">
        <f aca="false">IF(Checks!$U$531="","",Checks!$U$531)&amp;IF(Checks!$AB$531="","",CHAR(10)&amp;"CA: "&amp;Checks!$AB$531)</f>
        <v/>
      </c>
      <c r="E24" s="112" t="str">
        <f aca="false">IF(Checks!$V$531="","",Checks!$V$531)&amp;IF(Checks!$AC$531="","",IF(Checks!$V$531="","",CHAR(10))&amp;"N/A just.: "&amp;Checks!$AC$531)&amp;IF(Checks!$W$531="","",CHAR(10)&amp;"Batch: "&amp;Checks!$W$531)&amp;IF(AND(Checks!$X$531="",Checks!$Y$531=""),"",CHAR(10)&amp;"Exp: "&amp;Checks!$X$531&amp;"  /  Act: "&amp;Checks!$Y$531)</f>
        <v/>
      </c>
      <c r="F24" s="112" t="str">
        <f aca="false">IF(Checks!$Z$531="","","Evidence: "&amp;Checks!$Z$531)&amp;IF(Checks!$AA$531="","",IF(Checks!$Z$531="","",CHAR(10))&amp;"CA: "&amp;Checks!$AA$531)</f>
        <v/>
      </c>
      <c r="G24" s="112" t="str">
        <f aca="false">IF(ISNUMBER(Checks!$AD$531),TEXT(Checks!$AD$531,"DD-MMM-YY HH:MM")&amp;" "&amp;Checks!$P$531,"")&amp;IF(Checks!$AE$531="","",CHAR(10)&amp;"Verifier: "&amp;Checks!$AE$531)&amp;IF(Checks!$T$531="","",CHAR(10)&amp;"PIC: "&amp;Checks!$T$531)</f>
        <v/>
      </c>
      <c r="H24" s="113" t="str">
        <f aca="false">IF(Checks!$AH$531="","",Checks!$AH$531)</f>
        <v>OPEN</v>
      </c>
    </row>
    <row r="25" customFormat="false" ht="114" hidden="false" customHeight="true" outlineLevel="0" collapsed="false">
      <c r="A25" s="112" t="str">
        <f aca="false">Checks!$A$532&amp;CHAR(10)&amp;IF(Checks!$I$532="","",Checks!$I$532&amp;": ")&amp;Checks!$J$532</f>
        <v>F17-T7-02
Menu: Printed menu cards confirmed (content, cycle, language, quantity)</v>
      </c>
      <c r="B25" s="112" t="str">
        <f aca="false">Checks!$K$532&amp;IF(Checks!$O$532="","",IF(Checks!$K$532="","",CHAR(10))&amp;"Note: "&amp;Checks!$O$532)</f>
        <v>Menu card matches approved menu for this flight</v>
      </c>
      <c r="C25" s="112" t="str">
        <f aca="false">Checks!$N$532&amp;CHAR(10)&amp;IF(ISNUMBER(Checks!$R$532),TEXT(Checks!$R$532,"DD-MMM-YY HH:MM"),"")&amp;" "&amp;Checks!$P$532</f>
        <v>Required
20-Oct-26 14:50 HKG</v>
      </c>
      <c r="D25" s="112" t="str">
        <f aca="false">IF(Checks!$U$532="","",Checks!$U$532)&amp;IF(Checks!$AB$532="","",CHAR(10)&amp;"CA: "&amp;Checks!$AB$532)</f>
        <v/>
      </c>
      <c r="E25" s="112" t="str">
        <f aca="false">IF(Checks!$V$532="","",Checks!$V$532)&amp;IF(Checks!$AC$532="","",IF(Checks!$V$532="","",CHAR(10))&amp;"N/A just.: "&amp;Checks!$AC$532)&amp;IF(Checks!$W$532="","",CHAR(10)&amp;"Batch: "&amp;Checks!$W$532)&amp;IF(AND(Checks!$X$532="",Checks!$Y$532=""),"",CHAR(10)&amp;"Exp: "&amp;Checks!$X$532&amp;"  /  Act: "&amp;Checks!$Y$532)</f>
        <v/>
      </c>
      <c r="F25" s="112" t="str">
        <f aca="false">IF(Checks!$Z$532="","","Evidence: "&amp;Checks!$Z$532)&amp;IF(Checks!$AA$532="","",IF(Checks!$Z$532="","",CHAR(10))&amp;"CA: "&amp;Checks!$AA$532)</f>
        <v/>
      </c>
      <c r="G25" s="112" t="str">
        <f aca="false">IF(ISNUMBER(Checks!$AD$532),TEXT(Checks!$AD$532,"DD-MMM-YY HH:MM")&amp;" "&amp;Checks!$P$532,"")&amp;IF(Checks!$AE$532="","",CHAR(10)&amp;"Verifier: "&amp;Checks!$AE$532)&amp;IF(Checks!$T$532="","",CHAR(10)&amp;"PIC: "&amp;Checks!$T$532)</f>
        <v/>
      </c>
      <c r="H25" s="113" t="str">
        <f aca="false">IF(Checks!$AH$532="","",Checks!$AH$532)</f>
        <v>OPEN</v>
      </c>
    </row>
    <row r="26" customFormat="false" ht="114" hidden="false" customHeight="true" outlineLevel="0" collapsed="false">
      <c r="A26" s="112" t="str">
        <f aca="false">Checks!$A$533&amp;CHAR(10)&amp;IF(Checks!$I$533="","",Checks!$I$533&amp;": ")&amp;Checks!$J$533</f>
        <v>F17-T7-03
IFE: Digital menu in IFE confirmed (A339 only)</v>
      </c>
      <c r="B26" s="112" t="str">
        <f aca="false">Checks!$K$533&amp;IF(Checks!$O$533="","",IF(Checks!$K$533="","",CHAR(10))&amp;"Note: "&amp;Checks!$O$533)</f>
        <v>Applies when fleet = A339
Note: Digital IFE menu applies to A339 only (user brief). Applicability follows the Fleet cell on Flights.</v>
      </c>
      <c r="C26" s="112" t="str">
        <f aca="false">Checks!$N$533&amp;CHAR(10)&amp;IF(ISNUMBER(Checks!$R$533),TEXT(Checks!$R$533,"DD-MMM-YY HH:MM"),"")&amp;" "&amp;Checks!$P$533</f>
        <v>N/A – rule
20-Oct-26 14:50 HKG</v>
      </c>
      <c r="D26" s="112" t="str">
        <f aca="false">IF(Checks!$U$533="","",Checks!$U$533)&amp;IF(Checks!$AB$533="","",CHAR(10)&amp;"CA: "&amp;Checks!$AB$533)</f>
        <v/>
      </c>
      <c r="E26" s="112" t="str">
        <f aca="false">IF(Checks!$V$533="","",Checks!$V$533)&amp;IF(Checks!$AC$533="","",IF(Checks!$V$533="","",CHAR(10))&amp;"N/A just.: "&amp;Checks!$AC$533)&amp;IF(Checks!$W$533="","",CHAR(10)&amp;"Batch: "&amp;Checks!$W$533)&amp;IF(AND(Checks!$X$533="",Checks!$Y$533=""),"",CHAR(10)&amp;"Exp: "&amp;Checks!$X$533&amp;"  /  Act: "&amp;Checks!$Y$533)</f>
        <v/>
      </c>
      <c r="F26" s="112" t="str">
        <f aca="false">IF(Checks!$Z$533="","","Evidence: "&amp;Checks!$Z$533)&amp;IF(Checks!$AA$533="","",IF(Checks!$Z$533="","",CHAR(10))&amp;"CA: "&amp;Checks!$AA$533)</f>
        <v/>
      </c>
      <c r="G26" s="112" t="str">
        <f aca="false">IF(ISNUMBER(Checks!$AD$533),TEXT(Checks!$AD$533,"DD-MMM-YY HH:MM")&amp;" "&amp;Checks!$P$533,"")&amp;IF(Checks!$AE$533="","",CHAR(10)&amp;"Verifier: "&amp;Checks!$AE$533)&amp;IF(Checks!$T$533="","",CHAR(10)&amp;"PIC: "&amp;Checks!$T$533)</f>
        <v/>
      </c>
      <c r="H26" s="113" t="str">
        <f aca="false">IF(Checks!$AH$533="","",Checks!$AH$533)</f>
        <v>N/A – RULE</v>
      </c>
    </row>
    <row r="27" customFormat="false" ht="114" hidden="false" customHeight="true" outlineLevel="0" collapsed="false">
      <c r="A27" s="112" t="str">
        <f aca="false">Checks!$A$534&amp;CHAR(10)&amp;IF(Checks!$I$534="","",Checks!$I$534&amp;": ")&amp;Checks!$J$534</f>
        <v>F17-T7-04
Staffing: Experienced catering officer assigned to this flight</v>
      </c>
      <c r="B27" s="112" t="str">
        <f aca="false">Checks!$K$534&amp;IF(Checks!$O$534="","",IF(Checks!$K$534="","",CHAR(10))&amp;"Note: "&amp;Checks!$O$534)</f>
        <v>Record officer name in Result</v>
      </c>
      <c r="C27" s="112" t="str">
        <f aca="false">Checks!$N$534&amp;CHAR(10)&amp;IF(ISNUMBER(Checks!$R$534),TEXT(Checks!$R$534,"DD-MMM-YY HH:MM"),"")&amp;" "&amp;Checks!$P$534</f>
        <v>Required
20-Oct-26 14:50 HKG</v>
      </c>
      <c r="D27" s="112" t="str">
        <f aca="false">IF(Checks!$U$534="","",Checks!$U$534)&amp;IF(Checks!$AB$534="","",CHAR(10)&amp;"CA: "&amp;Checks!$AB$534)</f>
        <v/>
      </c>
      <c r="E27" s="112" t="str">
        <f aca="false">IF(Checks!$V$534="","",Checks!$V$534)&amp;IF(Checks!$AC$534="","",IF(Checks!$V$534="","",CHAR(10))&amp;"N/A just.: "&amp;Checks!$AC$534)&amp;IF(Checks!$W$534="","",CHAR(10)&amp;"Batch: "&amp;Checks!$W$534)&amp;IF(AND(Checks!$X$534="",Checks!$Y$534=""),"",CHAR(10)&amp;"Exp: "&amp;Checks!$X$534&amp;"  /  Act: "&amp;Checks!$Y$534)</f>
        <v/>
      </c>
      <c r="F27" s="112" t="str">
        <f aca="false">IF(Checks!$Z$534="","","Evidence: "&amp;Checks!$Z$534)&amp;IF(Checks!$AA$534="","",IF(Checks!$Z$534="","",CHAR(10))&amp;"CA: "&amp;Checks!$AA$534)</f>
        <v/>
      </c>
      <c r="G27" s="112" t="str">
        <f aca="false">IF(ISNUMBER(Checks!$AD$534),TEXT(Checks!$AD$534,"DD-MMM-YY HH:MM")&amp;" "&amp;Checks!$P$534,"")&amp;IF(Checks!$AE$534="","",CHAR(10)&amp;"Verifier: "&amp;Checks!$AE$534)&amp;IF(Checks!$T$534="","",CHAR(10)&amp;"PIC: "&amp;Checks!$T$534)</f>
        <v/>
      </c>
      <c r="H27" s="113" t="str">
        <f aca="false">IF(Checks!$AH$534="","",Checks!$AH$534)</f>
        <v>OPEN</v>
      </c>
    </row>
    <row r="28" customFormat="false" ht="114" hidden="false" customHeight="true" outlineLevel="0" collapsed="false">
      <c r="A28" s="112" t="str">
        <f aca="false">Checks!$A$535&amp;CHAR(10)&amp;IF(Checks!$I$535="","",Checks!$I$535&amp;": ")&amp;Checks!$J$535</f>
        <v>F17-T7-05
ISOP: All latest applicable ISOP revisions communicated to caterer</v>
      </c>
      <c r="B28" s="112" t="str">
        <f aca="false">Checks!$K$535&amp;IF(Checks!$O$535="","",IF(Checks!$K$535="","",CHAR(10))&amp;"Note: "&amp;Checks!$O$535)</f>
        <v>List revision numbers in Result (see ISOP register)</v>
      </c>
      <c r="C28" s="112" t="str">
        <f aca="false">Checks!$N$535&amp;CHAR(10)&amp;IF(ISNUMBER(Checks!$R$535),TEXT(Checks!$R$535,"DD-MMM-YY HH:MM"),"")&amp;" "&amp;Checks!$P$535</f>
        <v>Required
20-Oct-26 14:50 HKG</v>
      </c>
      <c r="D28" s="112" t="str">
        <f aca="false">IF(Checks!$U$535="","",Checks!$U$535)&amp;IF(Checks!$AB$535="","",CHAR(10)&amp;"CA: "&amp;Checks!$AB$535)</f>
        <v/>
      </c>
      <c r="E28" s="112" t="str">
        <f aca="false">IF(Checks!$V$535="","",Checks!$V$535)&amp;IF(Checks!$AC$535="","",IF(Checks!$V$535="","",CHAR(10))&amp;"N/A just.: "&amp;Checks!$AC$535)&amp;IF(Checks!$W$535="","",CHAR(10)&amp;"Batch: "&amp;Checks!$W$535)&amp;IF(AND(Checks!$X$535="",Checks!$Y$535=""),"",CHAR(10)&amp;"Exp: "&amp;Checks!$X$535&amp;"  /  Act: "&amp;Checks!$Y$535)</f>
        <v/>
      </c>
      <c r="F28" s="112" t="str">
        <f aca="false">IF(Checks!$Z$535="","","Evidence: "&amp;Checks!$Z$535)&amp;IF(Checks!$AA$535="","",IF(Checks!$Z$535="","",CHAR(10))&amp;"CA: "&amp;Checks!$AA$535)</f>
        <v/>
      </c>
      <c r="G28" s="112" t="str">
        <f aca="false">IF(ISNUMBER(Checks!$AD$535),TEXT(Checks!$AD$535,"DD-MMM-YY HH:MM")&amp;" "&amp;Checks!$P$535,"")&amp;IF(Checks!$AE$535="","",CHAR(10)&amp;"Verifier: "&amp;Checks!$AE$535)&amp;IF(Checks!$T$535="","",CHAR(10)&amp;"PIC: "&amp;Checks!$T$535)</f>
        <v/>
      </c>
      <c r="H28" s="113" t="str">
        <f aca="false">IF(Checks!$AH$535="","",Checks!$AH$535)</f>
        <v>OPEN</v>
      </c>
    </row>
    <row r="29" customFormat="false" ht="114" hidden="false" customHeight="true" outlineLevel="0" collapsed="false">
      <c r="A29" s="112" t="str">
        <f aca="false">Checks!$A$536&amp;CHAR(10)&amp;IF(Checks!$I$536="","",Checks!$I$536&amp;": ")&amp;Checks!$J$536</f>
        <v>F17-T7-06
ISOP: Caterer acknowledgement of ISOP revisions recorded</v>
      </c>
      <c r="B29" s="112" t="str">
        <f aca="false">Checks!$K$536&amp;IF(Checks!$O$536="","",IF(Checks!$K$536="","",CHAR(10))&amp;"Note: "&amp;Checks!$O$536)</f>
        <v>Record acknowledgement ref in Evidence</v>
      </c>
      <c r="C29" s="112" t="str">
        <f aca="false">Checks!$N$536&amp;CHAR(10)&amp;IF(ISNUMBER(Checks!$R$536),TEXT(Checks!$R$536,"DD-MMM-YY HH:MM"),"")&amp;" "&amp;Checks!$P$536</f>
        <v>Required
20-Oct-26 14:50 HKG</v>
      </c>
      <c r="D29" s="112" t="str">
        <f aca="false">IF(Checks!$U$536="","",Checks!$U$536)&amp;IF(Checks!$AB$536="","",CHAR(10)&amp;"CA: "&amp;Checks!$AB$536)</f>
        <v/>
      </c>
      <c r="E29" s="112" t="str">
        <f aca="false">IF(Checks!$V$536="","",Checks!$V$536)&amp;IF(Checks!$AC$536="","",IF(Checks!$V$536="","",CHAR(10))&amp;"N/A just.: "&amp;Checks!$AC$536)&amp;IF(Checks!$W$536="","",CHAR(10)&amp;"Batch: "&amp;Checks!$W$536)&amp;IF(AND(Checks!$X$536="",Checks!$Y$536=""),"",CHAR(10)&amp;"Exp: "&amp;Checks!$X$536&amp;"  /  Act: "&amp;Checks!$Y$536)</f>
        <v/>
      </c>
      <c r="F29" s="112" t="str">
        <f aca="false">IF(Checks!$Z$536="","","Evidence: "&amp;Checks!$Z$536)&amp;IF(Checks!$AA$536="","",IF(Checks!$Z$536="","",CHAR(10))&amp;"CA: "&amp;Checks!$AA$536)</f>
        <v/>
      </c>
      <c r="G29" s="112" t="str">
        <f aca="false">IF(ISNUMBER(Checks!$AD$536),TEXT(Checks!$AD$536,"DD-MMM-YY HH:MM")&amp;" "&amp;Checks!$P$536,"")&amp;IF(Checks!$AE$536="","",CHAR(10)&amp;"Verifier: "&amp;Checks!$AE$536)&amp;IF(Checks!$T$536="","",CHAR(10)&amp;"PIC: "&amp;Checks!$T$536)</f>
        <v/>
      </c>
      <c r="H29" s="113" t="str">
        <f aca="false">IF(Checks!$AH$536="","",Checks!$AH$536)</f>
        <v>OPEN</v>
      </c>
    </row>
    <row r="30" customFormat="false" ht="114" hidden="false" customHeight="true" outlineLevel="0" collapsed="false">
      <c r="A30" s="112" t="str">
        <f aca="false">Checks!$A$537&amp;CHAR(10)&amp;IF(Checks!$I$537="","",Checks!$I$537&amp;": ")&amp;Checks!$J$537</f>
        <v>F17-T7-07
Documents: Galley loading diagram (GLD) received, revision recorded &amp; attached</v>
      </c>
      <c r="B30" s="112" t="str">
        <f aca="false">Checks!$K$537&amp;IF(Checks!$O$537="","",IF(Checks!$K$537="","",CHAR(10))&amp;"Note: "&amp;Checks!$O$537)</f>
        <v>Documents sheet row complete</v>
      </c>
      <c r="C30" s="112" t="str">
        <f aca="false">Checks!$N$537&amp;CHAR(10)&amp;IF(ISNUMBER(Checks!$R$537),TEXT(Checks!$R$537,"DD-MMM-YY HH:MM"),"")&amp;" "&amp;Checks!$P$537</f>
        <v>Required
20-Oct-26 14:50 HKG</v>
      </c>
      <c r="D30" s="112" t="str">
        <f aca="false">IF(Checks!$U$537="","",Checks!$U$537)&amp;IF(Checks!$AB$537="","",CHAR(10)&amp;"CA: "&amp;Checks!$AB$537)</f>
        <v/>
      </c>
      <c r="E30" s="112" t="str">
        <f aca="false">IF(Checks!$V$537="","",Checks!$V$537)&amp;IF(Checks!$AC$537="","",IF(Checks!$V$537="","",CHAR(10))&amp;"N/A just.: "&amp;Checks!$AC$537)&amp;IF(Checks!$W$537="","",CHAR(10)&amp;"Batch: "&amp;Checks!$W$537)&amp;IF(AND(Checks!$X$537="",Checks!$Y$537=""),"",CHAR(10)&amp;"Exp: "&amp;Checks!$X$537&amp;"  /  Act: "&amp;Checks!$Y$537)</f>
        <v/>
      </c>
      <c r="F30" s="112" t="str">
        <f aca="false">IF(Checks!$Z$537="","","Evidence: "&amp;Checks!$Z$537)&amp;IF(Checks!$AA$537="","",IF(Checks!$Z$537="","",CHAR(10))&amp;"CA: "&amp;Checks!$AA$537)</f>
        <v/>
      </c>
      <c r="G30" s="112" t="str">
        <f aca="false">IF(ISNUMBER(Checks!$AD$537),TEXT(Checks!$AD$537,"DD-MMM-YY HH:MM")&amp;" "&amp;Checks!$P$537,"")&amp;IF(Checks!$AE$537="","",CHAR(10)&amp;"Verifier: "&amp;Checks!$AE$537)&amp;IF(Checks!$T$537="","",CHAR(10)&amp;"PIC: "&amp;Checks!$T$537)</f>
        <v/>
      </c>
      <c r="H30" s="113" t="str">
        <f aca="false">IF(Checks!$AH$537="","",Checks!$AH$537)</f>
        <v>OPEN</v>
      </c>
    </row>
    <row r="31" customFormat="false" ht="114" hidden="false" customHeight="true" outlineLevel="0" collapsed="false">
      <c r="A31" s="112" t="str">
        <f aca="false">Checks!$A$538&amp;CHAR(10)&amp;IF(Checks!$I$538="","",Checks!$I$538&amp;": ")&amp;Checks!$J$538</f>
        <v>F17-T7-08
Documents: Menu checklist received, revision recorded &amp; attached</v>
      </c>
      <c r="B31" s="112" t="str">
        <f aca="false">Checks!$K$538&amp;IF(Checks!$O$538="","",IF(Checks!$K$538="","",CHAR(10))&amp;"Note: "&amp;Checks!$O$538)</f>
        <v>Documents sheet row complete</v>
      </c>
      <c r="C31" s="112" t="str">
        <f aca="false">Checks!$N$538&amp;CHAR(10)&amp;IF(ISNUMBER(Checks!$R$538),TEXT(Checks!$R$538,"DD-MMM-YY HH:MM"),"")&amp;" "&amp;Checks!$P$538</f>
        <v>Required
20-Oct-26 14:50 HKG</v>
      </c>
      <c r="D31" s="112" t="str">
        <f aca="false">IF(Checks!$U$538="","",Checks!$U$538)&amp;IF(Checks!$AB$538="","",CHAR(10)&amp;"CA: "&amp;Checks!$AB$538)</f>
        <v/>
      </c>
      <c r="E31" s="112" t="str">
        <f aca="false">IF(Checks!$V$538="","",Checks!$V$538)&amp;IF(Checks!$AC$538="","",IF(Checks!$V$538="","",CHAR(10))&amp;"N/A just.: "&amp;Checks!$AC$538)&amp;IF(Checks!$W$538="","",CHAR(10)&amp;"Batch: "&amp;Checks!$W$538)&amp;IF(AND(Checks!$X$538="",Checks!$Y$538=""),"",CHAR(10)&amp;"Exp: "&amp;Checks!$X$538&amp;"  /  Act: "&amp;Checks!$Y$538)</f>
        <v/>
      </c>
      <c r="F31" s="112" t="str">
        <f aca="false">IF(Checks!$Z$538="","","Evidence: "&amp;Checks!$Z$538)&amp;IF(Checks!$AA$538="","",IF(Checks!$Z$538="","",CHAR(10))&amp;"CA: "&amp;Checks!$AA$538)</f>
        <v/>
      </c>
      <c r="G31" s="112" t="str">
        <f aca="false">IF(ISNUMBER(Checks!$AD$538),TEXT(Checks!$AD$538,"DD-MMM-YY HH:MM")&amp;" "&amp;Checks!$P$538,"")&amp;IF(Checks!$AE$538="","",CHAR(10)&amp;"Verifier: "&amp;Checks!$AE$538)&amp;IF(Checks!$T$538="","",CHAR(10)&amp;"PIC: "&amp;Checks!$T$538)</f>
        <v/>
      </c>
      <c r="H31" s="113" t="str">
        <f aca="false">IF(Checks!$AH$538="","",Checks!$AH$538)</f>
        <v>OPEN</v>
      </c>
    </row>
    <row r="32" customFormat="false" ht="114" hidden="false" customHeight="true" outlineLevel="0" collapsed="false">
      <c r="A32" s="112" t="str">
        <f aca="false">Checks!$A$539&amp;CHAR(10)&amp;IF(Checks!$I$539="","",Checks!$I$539&amp;": ")&amp;Checks!$J$539</f>
        <v>F17-T7-09
Uplift plan: Uplift plan confirmed with caterer vs STD Uplift Information</v>
      </c>
      <c r="B32" s="112" t="str">
        <f aca="false">Checks!$K$539&amp;IF(Checks!$O$539="","",IF(Checks!$K$539="","",CHAR(10))&amp;"Note: "&amp;Checks!$O$539)</f>
        <v>Service: 1 Meal + DAT(Noodles Svc) (Meal); meal uplift stn HKG (ref lists KUL/HKG)</v>
      </c>
      <c r="C32" s="112" t="str">
        <f aca="false">Checks!$N$539&amp;CHAR(10)&amp;IF(ISNUMBER(Checks!$R$539),TEXT(Checks!$R$539,"DD-MMM-YY HH:MM"),"")&amp;" "&amp;Checks!$P$539</f>
        <v>Required
20-Oct-26 14:50 HKG</v>
      </c>
      <c r="D32" s="112" t="str">
        <f aca="false">IF(Checks!$U$539="","",Checks!$U$539)&amp;IF(Checks!$AB$539="","",CHAR(10)&amp;"CA: "&amp;Checks!$AB$539)</f>
        <v/>
      </c>
      <c r="E32" s="112" t="str">
        <f aca="false">IF(Checks!$V$539="","",Checks!$V$539)&amp;IF(Checks!$AC$539="","",IF(Checks!$V$539="","",CHAR(10))&amp;"N/A just.: "&amp;Checks!$AC$539)&amp;IF(Checks!$W$539="","",CHAR(10)&amp;"Batch: "&amp;Checks!$W$539)&amp;IF(AND(Checks!$X$539="",Checks!$Y$539=""),"",CHAR(10)&amp;"Exp: "&amp;Checks!$X$539&amp;"  /  Act: "&amp;Checks!$Y$539)</f>
        <v/>
      </c>
      <c r="F32" s="112" t="str">
        <f aca="false">IF(Checks!$Z$539="","","Evidence: "&amp;Checks!$Z$539)&amp;IF(Checks!$AA$539="","",IF(Checks!$Z$539="","",CHAR(10))&amp;"CA: "&amp;Checks!$AA$539)</f>
        <v/>
      </c>
      <c r="G32" s="112" t="str">
        <f aca="false">IF(ISNUMBER(Checks!$AD$539),TEXT(Checks!$AD$539,"DD-MMM-YY HH:MM")&amp;" "&amp;Checks!$P$539,"")&amp;IF(Checks!$AE$539="","",CHAR(10)&amp;"Verifier: "&amp;Checks!$AE$539)&amp;IF(Checks!$T$539="","",CHAR(10)&amp;"PIC: "&amp;Checks!$T$539)</f>
        <v/>
      </c>
      <c r="H32" s="113" t="str">
        <f aca="false">IF(Checks!$AH$539="","",Checks!$AH$539)</f>
        <v>OPEN</v>
      </c>
    </row>
    <row r="33" customFormat="false" ht="267.75" hidden="false" customHeight="true" outlineLevel="0" collapsed="false">
      <c r="A33" s="112" t="str">
        <f aca="false">Checks!$A$540&amp;CHAR(10)&amp;IF(Checks!$I$540="","",Checks!$I$540&amp;": ")&amp;Checks!$J$540</f>
        <v>F17-T7-10
Uplift plan: Inbound KUL-HKG flight carrying KUL-sourced items identified and its KUL departure (UTC) entered on Flights col AX</v>
      </c>
      <c r="B33" s="112"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2" t="str">
        <f aca="false">Checks!$N$540&amp;CHAR(10)&amp;IF(ISNUMBER(Checks!$R$540),TEXT(Checks!$R$540,"DD-MMM-YY HH:MM"),"")&amp;" "&amp;Checks!$P$540</f>
        <v>Clarification required
20-Oct-26 14:50 KUL</v>
      </c>
      <c r="D33" s="112" t="str">
        <f aca="false">IF(Checks!$U$540="","",Checks!$U$540)&amp;IF(Checks!$AB$540="","",CHAR(10)&amp;"CA: "&amp;Checks!$AB$540)</f>
        <v/>
      </c>
      <c r="E33" s="112" t="str">
        <f aca="false">IF(Checks!$V$540="","",Checks!$V$540)&amp;IF(Checks!$AC$540="","",IF(Checks!$V$540="","",CHAR(10))&amp;"N/A just.: "&amp;Checks!$AC$540)&amp;IF(Checks!$W$540="","",CHAR(10)&amp;"Batch: "&amp;Checks!$W$540)&amp;IF(AND(Checks!$X$540="",Checks!$Y$540=""),"",CHAR(10)&amp;"Exp: "&amp;Checks!$X$540&amp;"  /  Act: "&amp;Checks!$Y$540)</f>
        <v/>
      </c>
      <c r="F33" s="112" t="str">
        <f aca="false">IF(Checks!$Z$540="","","Evidence: "&amp;Checks!$Z$540)&amp;IF(Checks!$AA$540="","",IF(Checks!$Z$540="","",CHAR(10))&amp;"CA: "&amp;Checks!$AA$540)</f>
        <v/>
      </c>
      <c r="G33" s="112" t="str">
        <f aca="false">IF(ISNUMBER(Checks!$AD$540),TEXT(Checks!$AD$540,"DD-MMM-YY HH:MM")&amp;" "&amp;Checks!$P$540,"")&amp;IF(Checks!$AE$540="","",CHAR(10)&amp;"Verifier: "&amp;Checks!$AE$540)&amp;IF(Checks!$T$540="","",CHAR(10)&amp;"PIC: "&amp;Checks!$T$540)</f>
        <v/>
      </c>
      <c r="H33" s="113" t="str">
        <f aca="false">IF(Checks!$AH$540="","",Checks!$AH$540)</f>
        <v>OPEN – CLARIFICATION</v>
      </c>
    </row>
    <row r="34" customFormat="false" ht="25.5" hidden="false" customHeight="true" outlineLevel="0" collapsed="false">
      <c r="A34" s="111"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1"/>
      <c r="C34" s="111"/>
      <c r="D34" s="111"/>
      <c r="E34" s="111"/>
      <c r="F34" s="111"/>
      <c r="G34" s="111"/>
      <c r="H34" s="111"/>
    </row>
    <row r="35" customFormat="false" ht="114" hidden="false" customHeight="true" outlineLevel="0" collapsed="false">
      <c r="A35" s="112" t="str">
        <f aca="false">Checks!$A$541&amp;CHAR(10)&amp;IF(Checks!$I$541="","",Checks!$I$541&amp;": ")&amp;Checks!$J$541</f>
        <v>F17-T24-01
Meal: Sensory test repeated on ACTUAL production batch for this flight</v>
      </c>
      <c r="B35" s="112" t="str">
        <f aca="false">Checks!$K$541&amp;IF(Checks!$O$541="","",IF(Checks!$K$541="","",CHAR(10))&amp;"Note: "&amp;Checks!$O$541)</f>
        <v>Batch ID, result, CA and acceptance mandatory</v>
      </c>
      <c r="C35" s="112" t="str">
        <f aca="false">Checks!$N$541&amp;CHAR(10)&amp;IF(ISNUMBER(Checks!$R$541),TEXT(Checks!$R$541,"DD-MMM-YY HH:MM"),"")&amp;" "&amp;Checks!$P$541</f>
        <v>Required
26-Oct-26 14:50 HKG</v>
      </c>
      <c r="D35" s="112" t="str">
        <f aca="false">IF(Checks!$U$541="","",Checks!$U$541)&amp;IF(Checks!$AB$541="","",CHAR(10)&amp;"CA: "&amp;Checks!$AB$541)</f>
        <v/>
      </c>
      <c r="E35" s="112" t="str">
        <f aca="false">IF(Checks!$V$541="","",Checks!$V$541)&amp;IF(Checks!$AC$541="","",IF(Checks!$V$541="","",CHAR(10))&amp;"N/A just.: "&amp;Checks!$AC$541)&amp;IF(Checks!$W$541="","",CHAR(10)&amp;"Batch: "&amp;Checks!$W$541)&amp;IF(AND(Checks!$X$541="",Checks!$Y$541=""),"",CHAR(10)&amp;"Exp: "&amp;Checks!$X$541&amp;"  /  Act: "&amp;Checks!$Y$541)</f>
        <v/>
      </c>
      <c r="F35" s="112" t="str">
        <f aca="false">IF(Checks!$Z$541="","","Evidence: "&amp;Checks!$Z$541)&amp;IF(Checks!$AA$541="","",IF(Checks!$Z$541="","",CHAR(10))&amp;"CA: "&amp;Checks!$AA$541)</f>
        <v/>
      </c>
      <c r="G35" s="112" t="str">
        <f aca="false">IF(ISNUMBER(Checks!$AD$541),TEXT(Checks!$AD$541,"DD-MMM-YY HH:MM")&amp;" "&amp;Checks!$P$541,"")&amp;IF(Checks!$AE$541="","",CHAR(10)&amp;"Verifier: "&amp;Checks!$AE$541)&amp;IF(Checks!$T$541="","",CHAR(10)&amp;"PIC: "&amp;Checks!$T$541)</f>
        <v/>
      </c>
      <c r="H35" s="113" t="str">
        <f aca="false">IF(Checks!$AH$541="","",Checks!$AH$541)</f>
        <v>OPEN</v>
      </c>
    </row>
    <row r="36" customFormat="false" ht="25.5" hidden="false" customHeight="true" outlineLevel="0" collapsed="false">
      <c r="A36" s="111"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1"/>
      <c r="C36" s="111"/>
      <c r="D36" s="111"/>
      <c r="E36" s="111"/>
      <c r="F36" s="111"/>
      <c r="G36" s="111"/>
      <c r="H36" s="111"/>
    </row>
    <row r="37" customFormat="false" ht="114" hidden="false" customHeight="true" outlineLevel="0" collapsed="false">
      <c r="A37" s="112" t="str">
        <f aca="false">Checks!$A$542&amp;CHAR(10)&amp;IF(Checks!$I$542="","",Checks!$I$542&amp;": ")&amp;Checks!$J$542</f>
        <v>F17-T12-01
Meal: Meal quality vs menu checklist</v>
      </c>
      <c r="B37" s="112" t="str">
        <f aca="false">Checks!$K$542&amp;IF(Checks!$O$542="","",IF(Checks!$K$542="","",CHAR(10))&amp;"Note: "&amp;Checks!$O$542)</f>
        <v>Note: Preparation check at caterer - does NOT confirm loading.</v>
      </c>
      <c r="C37" s="112" t="str">
        <f aca="false">Checks!$N$542&amp;CHAR(10)&amp;IF(ISNUMBER(Checks!$R$542),TEXT(Checks!$R$542,"DD-MMM-YY HH:MM"),"")&amp;" "&amp;Checks!$P$542</f>
        <v>Required
27-Oct-26 02:50 HKG</v>
      </c>
      <c r="D37" s="112" t="str">
        <f aca="false">IF(Checks!$U$542="","",Checks!$U$542)&amp;IF(Checks!$AB$542="","",CHAR(10)&amp;"CA: "&amp;Checks!$AB$542)</f>
        <v/>
      </c>
      <c r="E37" s="112" t="str">
        <f aca="false">IF(Checks!$V$542="","",Checks!$V$542)&amp;IF(Checks!$AC$542="","",IF(Checks!$V$542="","",CHAR(10))&amp;"N/A just.: "&amp;Checks!$AC$542)&amp;IF(Checks!$W$542="","",CHAR(10)&amp;"Batch: "&amp;Checks!$W$542)&amp;IF(AND(Checks!$X$542="",Checks!$Y$542=""),"",CHAR(10)&amp;"Exp: "&amp;Checks!$X$542&amp;"  /  Act: "&amp;Checks!$Y$542)</f>
        <v/>
      </c>
      <c r="F37" s="112" t="str">
        <f aca="false">IF(Checks!$Z$542="","","Evidence: "&amp;Checks!$Z$542)&amp;IF(Checks!$AA$542="","",IF(Checks!$Z$542="","",CHAR(10))&amp;"CA: "&amp;Checks!$AA$542)</f>
        <v/>
      </c>
      <c r="G37" s="112" t="str">
        <f aca="false">IF(ISNUMBER(Checks!$AD$542),TEXT(Checks!$AD$542,"DD-MMM-YY HH:MM")&amp;" "&amp;Checks!$P$542,"")&amp;IF(Checks!$AE$542="","",CHAR(10)&amp;"Verifier: "&amp;Checks!$AE$542)&amp;IF(Checks!$T$542="","",CHAR(10)&amp;"PIC: "&amp;Checks!$T$542)</f>
        <v/>
      </c>
      <c r="H37" s="113" t="str">
        <f aca="false">IF(Checks!$AH$542="","",Checks!$AH$542)</f>
        <v>OPEN</v>
      </c>
    </row>
    <row r="38" customFormat="false" ht="114" hidden="false" customHeight="true" outlineLevel="0" collapsed="false">
      <c r="A38" s="112" t="str">
        <f aca="false">Checks!$A$543&amp;CHAR(10)&amp;IF(Checks!$I$543="","",Checks!$I$543&amp;": ")&amp;Checks!$J$543</f>
        <v>F17-T12-02
Meal: Meal quantities vs menu checklist</v>
      </c>
      <c r="B38" s="112" t="str">
        <f aca="false">Checks!$K$543&amp;IF(Checks!$O$543="","",IF(Checks!$K$543="","",CHAR(10))&amp;"Note: "&amp;Checks!$O$543)</f>
        <v>Enter expected &amp; actual
Note: Preparation check at caterer - does NOT confirm loading.</v>
      </c>
      <c r="C38" s="112" t="str">
        <f aca="false">Checks!$N$543&amp;CHAR(10)&amp;IF(ISNUMBER(Checks!$R$543),TEXT(Checks!$R$543,"DD-MMM-YY HH:MM"),"")&amp;" "&amp;Checks!$P$543</f>
        <v>Required
27-Oct-26 02:50 HKG</v>
      </c>
      <c r="D38" s="112" t="str">
        <f aca="false">IF(Checks!$U$543="","",Checks!$U$543)&amp;IF(Checks!$AB$543="","",CHAR(10)&amp;"CA: "&amp;Checks!$AB$543)</f>
        <v/>
      </c>
      <c r="E38" s="112" t="str">
        <f aca="false">IF(Checks!$V$543="","",Checks!$V$543)&amp;IF(Checks!$AC$543="","",IF(Checks!$V$543="","",CHAR(10))&amp;"N/A just.: "&amp;Checks!$AC$543)&amp;IF(Checks!$W$543="","",CHAR(10)&amp;"Batch: "&amp;Checks!$W$543)&amp;IF(AND(Checks!$X$543="",Checks!$Y$543=""),"",CHAR(10)&amp;"Exp: "&amp;Checks!$X$543&amp;"  /  Act: "&amp;Checks!$Y$543)</f>
        <v/>
      </c>
      <c r="F38" s="112" t="str">
        <f aca="false">IF(Checks!$Z$543="","","Evidence: "&amp;Checks!$Z$543)&amp;IF(Checks!$AA$543="","",IF(Checks!$Z$543="","",CHAR(10))&amp;"CA: "&amp;Checks!$AA$543)</f>
        <v/>
      </c>
      <c r="G38" s="112" t="str">
        <f aca="false">IF(ISNUMBER(Checks!$AD$543),TEXT(Checks!$AD$543,"DD-MMM-YY HH:MM")&amp;" "&amp;Checks!$P$543,"")&amp;IF(Checks!$AE$543="","",CHAR(10)&amp;"Verifier: "&amp;Checks!$AE$543)&amp;IF(Checks!$T$543="","",CHAR(10)&amp;"PIC: "&amp;Checks!$T$543)</f>
        <v/>
      </c>
      <c r="H38" s="113" t="str">
        <f aca="false">IF(Checks!$AH$543="","",Checks!$AH$543)</f>
        <v>OPEN</v>
      </c>
    </row>
    <row r="39" customFormat="false" ht="114" hidden="false" customHeight="true" outlineLevel="0" collapsed="false">
      <c r="A39" s="112" t="str">
        <f aca="false">Checks!$A$544&amp;CHAR(10)&amp;IF(Checks!$I$544="","",Checks!$I$544&amp;": ")&amp;Checks!$J$544</f>
        <v>F17-T12-03
Equipment: Equipment cleanliness vs GLD</v>
      </c>
      <c r="B39" s="112" t="str">
        <f aca="false">Checks!$K$544&amp;IF(Checks!$O$544="","",IF(Checks!$K$544="","",CHAR(10))&amp;"Note: "&amp;Checks!$O$544)</f>
        <v>Note: Preparation check at caterer - does NOT confirm loading.</v>
      </c>
      <c r="C39" s="112" t="str">
        <f aca="false">Checks!$N$544&amp;CHAR(10)&amp;IF(ISNUMBER(Checks!$R$544),TEXT(Checks!$R$544,"DD-MMM-YY HH:MM"),"")&amp;" "&amp;Checks!$P$544</f>
        <v>Required
27-Oct-26 02:50 HKG</v>
      </c>
      <c r="D39" s="112" t="str">
        <f aca="false">IF(Checks!$U$544="","",Checks!$U$544)&amp;IF(Checks!$AB$544="","",CHAR(10)&amp;"CA: "&amp;Checks!$AB$544)</f>
        <v/>
      </c>
      <c r="E39" s="112" t="str">
        <f aca="false">IF(Checks!$V$544="","",Checks!$V$544)&amp;IF(Checks!$AC$544="","",IF(Checks!$V$544="","",CHAR(10))&amp;"N/A just.: "&amp;Checks!$AC$544)&amp;IF(Checks!$W$544="","",CHAR(10)&amp;"Batch: "&amp;Checks!$W$544)&amp;IF(AND(Checks!$X$544="",Checks!$Y$544=""),"",CHAR(10)&amp;"Exp: "&amp;Checks!$X$544&amp;"  /  Act: "&amp;Checks!$Y$544)</f>
        <v/>
      </c>
      <c r="F39" s="112" t="str">
        <f aca="false">IF(Checks!$Z$544="","","Evidence: "&amp;Checks!$Z$544)&amp;IF(Checks!$AA$544="","",IF(Checks!$Z$544="","",CHAR(10))&amp;"CA: "&amp;Checks!$AA$544)</f>
        <v/>
      </c>
      <c r="G39" s="112" t="str">
        <f aca="false">IF(ISNUMBER(Checks!$AD$544),TEXT(Checks!$AD$544,"DD-MMM-YY HH:MM")&amp;" "&amp;Checks!$P$544,"")&amp;IF(Checks!$AE$544="","",CHAR(10)&amp;"Verifier: "&amp;Checks!$AE$544)&amp;IF(Checks!$T$544="","",CHAR(10)&amp;"PIC: "&amp;Checks!$T$544)</f>
        <v/>
      </c>
      <c r="H39" s="113" t="str">
        <f aca="false">IF(Checks!$AH$544="","",Checks!$AH$544)</f>
        <v>OPEN</v>
      </c>
    </row>
    <row r="40" customFormat="false" ht="114" hidden="false" customHeight="true" outlineLevel="0" collapsed="false">
      <c r="A40" s="112" t="str">
        <f aca="false">Checks!$A$545&amp;CHAR(10)&amp;IF(Checks!$I$545="","",Checks!$I$545&amp;": ")&amp;Checks!$J$545</f>
        <v>F17-T12-04
Equipment: Equipment presentation vs GLD</v>
      </c>
      <c r="B40" s="112" t="str">
        <f aca="false">Checks!$K$545&amp;IF(Checks!$O$545="","",IF(Checks!$K$545="","",CHAR(10))&amp;"Note: "&amp;Checks!$O$545)</f>
        <v>Note: Preparation check at caterer - does NOT confirm loading.</v>
      </c>
      <c r="C40" s="112" t="str">
        <f aca="false">Checks!$N$545&amp;CHAR(10)&amp;IF(ISNUMBER(Checks!$R$545),TEXT(Checks!$R$545,"DD-MMM-YY HH:MM"),"")&amp;" "&amp;Checks!$P$545</f>
        <v>Required
27-Oct-26 02:50 HKG</v>
      </c>
      <c r="D40" s="112" t="str">
        <f aca="false">IF(Checks!$U$545="","",Checks!$U$545)&amp;IF(Checks!$AB$545="","",CHAR(10)&amp;"CA: "&amp;Checks!$AB$545)</f>
        <v/>
      </c>
      <c r="E40" s="112" t="str">
        <f aca="false">IF(Checks!$V$545="","",Checks!$V$545)&amp;IF(Checks!$AC$545="","",IF(Checks!$V$545="","",CHAR(10))&amp;"N/A just.: "&amp;Checks!$AC$545)&amp;IF(Checks!$W$545="","",CHAR(10)&amp;"Batch: "&amp;Checks!$W$545)&amp;IF(AND(Checks!$X$545="",Checks!$Y$545=""),"",CHAR(10)&amp;"Exp: "&amp;Checks!$X$545&amp;"  /  Act: "&amp;Checks!$Y$545)</f>
        <v/>
      </c>
      <c r="F40" s="112" t="str">
        <f aca="false">IF(Checks!$Z$545="","","Evidence: "&amp;Checks!$Z$545)&amp;IF(Checks!$AA$545="","",IF(Checks!$Z$545="","",CHAR(10))&amp;"CA: "&amp;Checks!$AA$545)</f>
        <v/>
      </c>
      <c r="G40" s="112" t="str">
        <f aca="false">IF(ISNUMBER(Checks!$AD$545),TEXT(Checks!$AD$545,"DD-MMM-YY HH:MM")&amp;" "&amp;Checks!$P$545,"")&amp;IF(Checks!$AE$545="","",CHAR(10)&amp;"Verifier: "&amp;Checks!$AE$545)&amp;IF(Checks!$T$545="","",CHAR(10)&amp;"PIC: "&amp;Checks!$T$545)</f>
        <v/>
      </c>
      <c r="H40" s="113" t="str">
        <f aca="false">IF(Checks!$AH$545="","",Checks!$AH$545)</f>
        <v>OPEN</v>
      </c>
    </row>
    <row r="41" customFormat="false" ht="114" hidden="false" customHeight="true" outlineLevel="0" collapsed="false">
      <c r="A41" s="112" t="str">
        <f aca="false">Checks!$A$546&amp;CHAR(10)&amp;IF(Checks!$I$546="","",Checks!$I$546&amp;": ")&amp;Checks!$J$546</f>
        <v>F17-T12-05
Equipment: Equipment serviceability vs GLD</v>
      </c>
      <c r="B41" s="112" t="str">
        <f aca="false">Checks!$K$546&amp;IF(Checks!$O$546="","",IF(Checks!$K$546="","",CHAR(10))&amp;"Note: "&amp;Checks!$O$546)</f>
        <v>Note: Preparation check at caterer - does NOT confirm loading.</v>
      </c>
      <c r="C41" s="112" t="str">
        <f aca="false">Checks!$N$546&amp;CHAR(10)&amp;IF(ISNUMBER(Checks!$R$546),TEXT(Checks!$R$546,"DD-MMM-YY HH:MM"),"")&amp;" "&amp;Checks!$P$546</f>
        <v>Required
27-Oct-26 02:50 HKG</v>
      </c>
      <c r="D41" s="112" t="str">
        <f aca="false">IF(Checks!$U$546="","",Checks!$U$546)&amp;IF(Checks!$AB$546="","",CHAR(10)&amp;"CA: "&amp;Checks!$AB$546)</f>
        <v/>
      </c>
      <c r="E41" s="112" t="str">
        <f aca="false">IF(Checks!$V$546="","",Checks!$V$546)&amp;IF(Checks!$AC$546="","",IF(Checks!$V$546="","",CHAR(10))&amp;"N/A just.: "&amp;Checks!$AC$546)&amp;IF(Checks!$W$546="","",CHAR(10)&amp;"Batch: "&amp;Checks!$W$546)&amp;IF(AND(Checks!$X$546="",Checks!$Y$546=""),"",CHAR(10)&amp;"Exp: "&amp;Checks!$X$546&amp;"  /  Act: "&amp;Checks!$Y$546)</f>
        <v/>
      </c>
      <c r="F41" s="112" t="str">
        <f aca="false">IF(Checks!$Z$546="","","Evidence: "&amp;Checks!$Z$546)&amp;IF(Checks!$AA$546="","",IF(Checks!$Z$546="","",CHAR(10))&amp;"CA: "&amp;Checks!$AA$546)</f>
        <v/>
      </c>
      <c r="G41" s="112" t="str">
        <f aca="false">IF(ISNUMBER(Checks!$AD$546),TEXT(Checks!$AD$546,"DD-MMM-YY HH:MM")&amp;" "&amp;Checks!$P$546,"")&amp;IF(Checks!$AE$546="","",CHAR(10)&amp;"Verifier: "&amp;Checks!$AE$546)&amp;IF(Checks!$T$546="","",CHAR(10)&amp;"PIC: "&amp;Checks!$T$546)</f>
        <v/>
      </c>
      <c r="H41" s="113" t="str">
        <f aca="false">IF(Checks!$AH$546="","",Checks!$AH$546)</f>
        <v>OPEN</v>
      </c>
    </row>
    <row r="42" customFormat="false" ht="190.5" hidden="false" customHeight="true" outlineLevel="0" collapsed="false">
      <c r="A42" s="112" t="str">
        <f aca="false">Checks!$A$547&amp;CHAR(10)&amp;IF(Checks!$I$547="","",Checks!$I$547&amp;": ")&amp;Checks!$J$547</f>
        <v>F17-T12-06
Equipment: Equipment quantities vs GLD</v>
      </c>
      <c r="B42" s="112"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2" t="str">
        <f aca="false">Checks!$N$547&amp;CHAR(10)&amp;IF(ISNUMBER(Checks!$R$547),TEXT(Checks!$R$547,"DD-MMM-YY HH:MM"),"")&amp;" "&amp;Checks!$P$547</f>
        <v>Required
27-Oct-26 02:50 HKG</v>
      </c>
      <c r="D42" s="112" t="str">
        <f aca="false">IF(Checks!$U$547="","",Checks!$U$547)&amp;IF(Checks!$AB$547="","",CHAR(10)&amp;"CA: "&amp;Checks!$AB$547)</f>
        <v/>
      </c>
      <c r="E42" s="112" t="str">
        <f aca="false">IF(Checks!$V$547="","",Checks!$V$547)&amp;IF(Checks!$AC$547="","",IF(Checks!$V$547="","",CHAR(10))&amp;"N/A just.: "&amp;Checks!$AC$547)&amp;IF(Checks!$W$547="","",CHAR(10)&amp;"Batch: "&amp;Checks!$W$547)&amp;IF(AND(Checks!$X$547="",Checks!$Y$547=""),"",CHAR(10)&amp;"Exp: "&amp;Checks!$X$547&amp;"  /  Act: "&amp;Checks!$Y$547)</f>
        <v/>
      </c>
      <c r="F42" s="112" t="str">
        <f aca="false">IF(Checks!$Z$547="","","Evidence: "&amp;Checks!$Z$547)&amp;IF(Checks!$AA$547="","",IF(Checks!$Z$547="","",CHAR(10))&amp;"CA: "&amp;Checks!$AA$547)</f>
        <v/>
      </c>
      <c r="G42" s="112" t="str">
        <f aca="false">IF(ISNUMBER(Checks!$AD$547),TEXT(Checks!$AD$547,"DD-MMM-YY HH:MM")&amp;" "&amp;Checks!$P$547,"")&amp;IF(Checks!$AE$547="","",CHAR(10)&amp;"Verifier: "&amp;Checks!$AE$547)&amp;IF(Checks!$T$547="","",CHAR(10)&amp;"PIC: "&amp;Checks!$T$547)</f>
        <v/>
      </c>
      <c r="H42" s="113" t="str">
        <f aca="false">IF(Checks!$AH$547="","",Checks!$AH$547)</f>
        <v>OPEN</v>
      </c>
    </row>
    <row r="43" customFormat="false" ht="114" hidden="false" customHeight="true" outlineLevel="0" collapsed="false">
      <c r="A43" s="112" t="str">
        <f aca="false">Checks!$A$548&amp;CHAR(10)&amp;IF(Checks!$I$548="","",Checks!$I$548&amp;": ")&amp;Checks!$J$548</f>
        <v>F17-T12-07
Equipment: Loading positions planned vs GLD</v>
      </c>
      <c r="B43" s="112" t="str">
        <f aca="false">Checks!$K$548&amp;IF(Checks!$O$548="","",IF(Checks!$K$548="","",CHAR(10))&amp;"Note: "&amp;Checks!$O$548)</f>
        <v>Note: Preparation check at caterer - does NOT confirm loading.</v>
      </c>
      <c r="C43" s="112" t="str">
        <f aca="false">Checks!$N$548&amp;CHAR(10)&amp;IF(ISNUMBER(Checks!$R$548),TEXT(Checks!$R$548,"DD-MMM-YY HH:MM"),"")&amp;" "&amp;Checks!$P$548</f>
        <v>Required
27-Oct-26 02:50 HKG</v>
      </c>
      <c r="D43" s="112" t="str">
        <f aca="false">IF(Checks!$U$548="","",Checks!$U$548)&amp;IF(Checks!$AB$548="","",CHAR(10)&amp;"CA: "&amp;Checks!$AB$548)</f>
        <v/>
      </c>
      <c r="E43" s="112" t="str">
        <f aca="false">IF(Checks!$V$548="","",Checks!$V$548)&amp;IF(Checks!$AC$548="","",IF(Checks!$V$548="","",CHAR(10))&amp;"N/A just.: "&amp;Checks!$AC$548)&amp;IF(Checks!$W$548="","",CHAR(10)&amp;"Batch: "&amp;Checks!$W$548)&amp;IF(AND(Checks!$X$548="",Checks!$Y$548=""),"",CHAR(10)&amp;"Exp: "&amp;Checks!$X$548&amp;"  /  Act: "&amp;Checks!$Y$548)</f>
        <v/>
      </c>
      <c r="F43" s="112" t="str">
        <f aca="false">IF(Checks!$Z$548="","","Evidence: "&amp;Checks!$Z$548)&amp;IF(Checks!$AA$548="","",IF(Checks!$Z$548="","",CHAR(10))&amp;"CA: "&amp;Checks!$AA$548)</f>
        <v/>
      </c>
      <c r="G43" s="112" t="str">
        <f aca="false">IF(ISNUMBER(Checks!$AD$548),TEXT(Checks!$AD$548,"DD-MMM-YY HH:MM")&amp;" "&amp;Checks!$P$548,"")&amp;IF(Checks!$AE$548="","",CHAR(10)&amp;"Verifier: "&amp;Checks!$AE$548)&amp;IF(Checks!$T$548="","",CHAR(10)&amp;"PIC: "&amp;Checks!$T$548)</f>
        <v/>
      </c>
      <c r="H43" s="113" t="str">
        <f aca="false">IF(Checks!$AH$548="","",Checks!$AH$548)</f>
        <v>OPEN</v>
      </c>
    </row>
    <row r="44" customFormat="false" ht="114" hidden="false" customHeight="true" outlineLevel="0" collapsed="false">
      <c r="A44" s="112" t="str">
        <f aca="false">Checks!$A$549&amp;CHAR(10)&amp;IF(Checks!$I$549="","",Checks!$I$549&amp;": ")&amp;Checks!$J$549</f>
        <v>F17-T12-08
Amenities: Slippers (BS/BC) - Dispo slipper - prepared</v>
      </c>
      <c r="B44" s="112" t="str">
        <f aca="false">Checks!$K$549&amp;IF(Checks!$O$549="","",IF(Checks!$K$549="","",CHAR(10))&amp;"Note: "&amp;Checks!$O$549)</f>
        <v>Available (ticked in reference)
Note: Loaded at KUL on the inbound KUL-HKG flight: due = that flight's KUL departure (Flights AX) minus the uplift window.</v>
      </c>
      <c r="C44" s="112" t="str">
        <f aca="false">Checks!$N$549&amp;CHAR(10)&amp;IF(ISNUMBER(Checks!$R$549),TEXT(Checks!$R$549,"DD-MMM-YY HH:MM"),"")&amp;" "&amp;Checks!$P$549</f>
        <v>Required
26-Oct-26 03:10 KUL</v>
      </c>
      <c r="D44" s="112" t="str">
        <f aca="false">IF(Checks!$U$549="","",Checks!$U$549)&amp;IF(Checks!$AB$549="","",CHAR(10)&amp;"CA: "&amp;Checks!$AB$549)</f>
        <v/>
      </c>
      <c r="E44" s="112" t="str">
        <f aca="false">IF(Checks!$V$549="","",Checks!$V$549)&amp;IF(Checks!$AC$549="","",IF(Checks!$V$549="","",CHAR(10))&amp;"N/A just.: "&amp;Checks!$AC$549)&amp;IF(Checks!$W$549="","",CHAR(10)&amp;"Batch: "&amp;Checks!$W$549)&amp;IF(AND(Checks!$X$549="",Checks!$Y$549=""),"",CHAR(10)&amp;"Exp: "&amp;Checks!$X$549&amp;"  /  Act: "&amp;Checks!$Y$549)</f>
        <v/>
      </c>
      <c r="F44" s="112" t="str">
        <f aca="false">IF(Checks!$Z$549="","","Evidence: "&amp;Checks!$Z$549)&amp;IF(Checks!$AA$549="","",IF(Checks!$Z$549="","",CHAR(10))&amp;"CA: "&amp;Checks!$AA$549)</f>
        <v/>
      </c>
      <c r="G44" s="112" t="str">
        <f aca="false">IF(ISNUMBER(Checks!$AD$549),TEXT(Checks!$AD$549,"DD-MMM-YY HH:MM")&amp;" "&amp;Checks!$P$549,"")&amp;IF(Checks!$AE$549="","",CHAR(10)&amp;"Verifier: "&amp;Checks!$AE$549)&amp;IF(Checks!$T$549="","",CHAR(10)&amp;"PIC: "&amp;Checks!$T$549)</f>
        <v/>
      </c>
      <c r="H44" s="113" t="str">
        <f aca="false">IF(Checks!$AH$549="","",Checks!$AH$549)</f>
        <v>OPEN</v>
      </c>
    </row>
    <row r="45" customFormat="false" ht="114" hidden="false" customHeight="true" outlineLevel="0" collapsed="false">
      <c r="A45" s="112" t="str">
        <f aca="false">Checks!$A$550&amp;CHAR(10)&amp;IF(Checks!$I$550="","",Checks!$I$550&amp;": ")&amp;Checks!$J$550</f>
        <v>F17-T12-09
F&amp;B Linen: Towel - prepared</v>
      </c>
      <c r="B45" s="112" t="str">
        <f aca="false">Checks!$K$550&amp;IF(Checks!$O$550="","",IF(Checks!$K$550="","",CHAR(10))&amp;"Note: "&amp;Checks!$O$550)</f>
        <v>Available (ticked in reference)
Note: Reference gives no uplift stn for this item: preparation checked at the meal uplift stn (HKG) - confirm with caterer.</v>
      </c>
      <c r="C45" s="112" t="str">
        <f aca="false">Checks!$N$550&amp;CHAR(10)&amp;IF(ISNUMBER(Checks!$R$550),TEXT(Checks!$R$550,"DD-MMM-YY HH:MM"),"")&amp;" "&amp;Checks!$P$550</f>
        <v>Required
27-Oct-26 02:50 HKG</v>
      </c>
      <c r="D45" s="112" t="str">
        <f aca="false">IF(Checks!$U$550="","",Checks!$U$550)&amp;IF(Checks!$AB$550="","",CHAR(10)&amp;"CA: "&amp;Checks!$AB$550)</f>
        <v/>
      </c>
      <c r="E45" s="112" t="str">
        <f aca="false">IF(Checks!$V$550="","",Checks!$V$550)&amp;IF(Checks!$AC$550="","",IF(Checks!$V$550="","",CHAR(10))&amp;"N/A just.: "&amp;Checks!$AC$550)&amp;IF(Checks!$W$550="","",CHAR(10)&amp;"Batch: "&amp;Checks!$W$550)&amp;IF(AND(Checks!$X$550="",Checks!$Y$550=""),"",CHAR(10)&amp;"Exp: "&amp;Checks!$X$550&amp;"  /  Act: "&amp;Checks!$Y$550)</f>
        <v/>
      </c>
      <c r="F45" s="112" t="str">
        <f aca="false">IF(Checks!$Z$550="","","Evidence: "&amp;Checks!$Z$550)&amp;IF(Checks!$AA$550="","",IF(Checks!$Z$550="","",CHAR(10))&amp;"CA: "&amp;Checks!$AA$550)</f>
        <v/>
      </c>
      <c r="G45" s="112" t="str">
        <f aca="false">IF(ISNUMBER(Checks!$AD$550),TEXT(Checks!$AD$550,"DD-MMM-YY HH:MM")&amp;" "&amp;Checks!$P$550,"")&amp;IF(Checks!$AE$550="","",CHAR(10)&amp;"Verifier: "&amp;Checks!$AE$550)&amp;IF(Checks!$T$550="","",CHAR(10)&amp;"PIC: "&amp;Checks!$T$550)</f>
        <v/>
      </c>
      <c r="H45" s="113" t="str">
        <f aca="false">IF(Checks!$AH$550="","",Checks!$AH$550)</f>
        <v>OPEN</v>
      </c>
    </row>
    <row r="46" customFormat="false" ht="114" hidden="false" customHeight="true" outlineLevel="0" collapsed="false">
      <c r="A46" s="112" t="str">
        <f aca="false">Checks!$A$551&amp;CHAR(10)&amp;IF(Checks!$I$551="","",Checks!$I$551&amp;": ")&amp;Checks!$J$551</f>
        <v>F17-T12-10
F&amp;B Linen: Tray cloth - prepared</v>
      </c>
      <c r="B46" s="112" t="str">
        <f aca="false">Checks!$K$551&amp;IF(Checks!$O$551="","",IF(Checks!$K$551="","",CHAR(10))&amp;"Note: "&amp;Checks!$O$551)</f>
        <v>Available (ticked in reference)
Note: Reference gives no uplift stn for this item: preparation checked at the meal uplift stn (HKG) - confirm with caterer.</v>
      </c>
      <c r="C46" s="112" t="str">
        <f aca="false">Checks!$N$551&amp;CHAR(10)&amp;IF(ISNUMBER(Checks!$R$551),TEXT(Checks!$R$551,"DD-MMM-YY HH:MM"),"")&amp;" "&amp;Checks!$P$551</f>
        <v>Required
27-Oct-26 02:50 HKG</v>
      </c>
      <c r="D46" s="112" t="str">
        <f aca="false">IF(Checks!$U$551="","",Checks!$U$551)&amp;IF(Checks!$AB$551="","",CHAR(10)&amp;"CA: "&amp;Checks!$AB$551)</f>
        <v/>
      </c>
      <c r="E46" s="112" t="str">
        <f aca="false">IF(Checks!$V$551="","",Checks!$V$551)&amp;IF(Checks!$AC$551="","",IF(Checks!$V$551="","",CHAR(10))&amp;"N/A just.: "&amp;Checks!$AC$551)&amp;IF(Checks!$W$551="","",CHAR(10)&amp;"Batch: "&amp;Checks!$W$551)&amp;IF(AND(Checks!$X$551="",Checks!$Y$551=""),"",CHAR(10)&amp;"Exp: "&amp;Checks!$X$551&amp;"  /  Act: "&amp;Checks!$Y$551)</f>
        <v/>
      </c>
      <c r="F46" s="112" t="str">
        <f aca="false">IF(Checks!$Z$551="","","Evidence: "&amp;Checks!$Z$551)&amp;IF(Checks!$AA$551="","",IF(Checks!$Z$551="","",CHAR(10))&amp;"CA: "&amp;Checks!$AA$551)</f>
        <v/>
      </c>
      <c r="G46" s="112" t="str">
        <f aca="false">IF(ISNUMBER(Checks!$AD$551),TEXT(Checks!$AD$551,"DD-MMM-YY HH:MM")&amp;" "&amp;Checks!$P$551,"")&amp;IF(Checks!$AE$551="","",CHAR(10)&amp;"Verifier: "&amp;Checks!$AE$551)&amp;IF(Checks!$T$551="","",CHAR(10)&amp;"PIC: "&amp;Checks!$T$551)</f>
        <v/>
      </c>
      <c r="H46" s="113" t="str">
        <f aca="false">IF(Checks!$AH$551="","",Checks!$AH$551)</f>
        <v>OPEN</v>
      </c>
    </row>
    <row r="47" customFormat="false" ht="114" hidden="false" customHeight="true" outlineLevel="0" collapsed="false">
      <c r="A47" s="112" t="str">
        <f aca="false">Checks!$A$552&amp;CHAR(10)&amp;IF(Checks!$I$552="","",Checks!$I$552&amp;": ")&amp;Checks!$J$552</f>
        <v>F17-T12-11
F&amp;B Linen: Napkin - prepared</v>
      </c>
      <c r="B47" s="112" t="str">
        <f aca="false">Checks!$K$552&amp;IF(Checks!$O$552="","",IF(Checks!$K$552="","",CHAR(10))&amp;"Note: "&amp;Checks!$O$552)</f>
        <v>Available (ticked in reference)
Note: Reference gives no uplift stn for this item: preparation checked at the meal uplift stn (HKG) - confirm with caterer.</v>
      </c>
      <c r="C47" s="112" t="str">
        <f aca="false">Checks!$N$552&amp;CHAR(10)&amp;IF(ISNUMBER(Checks!$R$552),TEXT(Checks!$R$552,"DD-MMM-YY HH:MM"),"")&amp;" "&amp;Checks!$P$552</f>
        <v>Required
27-Oct-26 02:50 HKG</v>
      </c>
      <c r="D47" s="112" t="str">
        <f aca="false">IF(Checks!$U$552="","",Checks!$U$552)&amp;IF(Checks!$AB$552="","",CHAR(10)&amp;"CA: "&amp;Checks!$AB$552)</f>
        <v/>
      </c>
      <c r="E47" s="112" t="str">
        <f aca="false">IF(Checks!$V$552="","",Checks!$V$552)&amp;IF(Checks!$AC$552="","",IF(Checks!$V$552="","",CHAR(10))&amp;"N/A just.: "&amp;Checks!$AC$552)&amp;IF(Checks!$W$552="","",CHAR(10)&amp;"Batch: "&amp;Checks!$W$552)&amp;IF(AND(Checks!$X$552="",Checks!$Y$552=""),"",CHAR(10)&amp;"Exp: "&amp;Checks!$X$552&amp;"  /  Act: "&amp;Checks!$Y$552)</f>
        <v/>
      </c>
      <c r="F47" s="112" t="str">
        <f aca="false">IF(Checks!$Z$552="","","Evidence: "&amp;Checks!$Z$552)&amp;IF(Checks!$AA$552="","",IF(Checks!$Z$552="","",CHAR(10))&amp;"CA: "&amp;Checks!$AA$552)</f>
        <v/>
      </c>
      <c r="G47" s="112" t="str">
        <f aca="false">IF(ISNUMBER(Checks!$AD$552),TEXT(Checks!$AD$552,"DD-MMM-YY HH:MM")&amp;" "&amp;Checks!$P$552,"")&amp;IF(Checks!$AE$552="","",CHAR(10)&amp;"Verifier: "&amp;Checks!$AE$552)&amp;IF(Checks!$T$552="","",CHAR(10)&amp;"PIC: "&amp;Checks!$T$552)</f>
        <v/>
      </c>
      <c r="H47" s="113" t="str">
        <f aca="false">IF(Checks!$AH$552="","",Checks!$AH$552)</f>
        <v>OPEN</v>
      </c>
    </row>
    <row r="48" customFormat="false" ht="279" hidden="false" customHeight="true" outlineLevel="0" collapsed="false">
      <c r="A48" s="112" t="str">
        <f aca="false">Checks!$A$553&amp;CHAR(10)&amp;IF(Checks!$I$553="","",Checks!$I$553&amp;": ")&amp;Checks!$J$553</f>
        <v>F17-T12-12
F&amp;B Linen: Table cloth - prepared</v>
      </c>
      <c r="B48" s="112" t="str">
        <f aca="false">SUBSTITUTE(Checks!$K$553&amp;IF(Checks!$O$553="","",IF(Checks!$K$553="","",CHAR(10))&amp;"Note: "&amp;Checks!$O$553),"F&amp;B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2" t="str">
        <f aca="false">Checks!$N$553&amp;CHAR(10)&amp;IF(ISNUMBER(Checks!$R$553),TEXT(Checks!$R$553,"DD-MMM-YY HH:MM"),"")&amp;" "&amp;Checks!$P$553</f>
        <v>Clarification required
27-Oct-26 02:50 HKG</v>
      </c>
      <c r="D48" s="112" t="str">
        <f aca="false">IF(Checks!$U$553="","",Checks!$U$553)&amp;IF(Checks!$AB$553="","",CHAR(10)&amp;"CA: "&amp;Checks!$AB$553)</f>
        <v/>
      </c>
      <c r="E48" s="112" t="str">
        <f aca="false">IF(Checks!$V$553="","",Checks!$V$553)&amp;IF(Checks!$AC$553="","",IF(Checks!$V$553="","",CHAR(10))&amp;"N/A just.: "&amp;Checks!$AC$553)&amp;IF(Checks!$W$553="","",CHAR(10)&amp;"Batch: "&amp;Checks!$W$553)&amp;IF(AND(Checks!$X$553="",Checks!$Y$553=""),"",CHAR(10)&amp;"Exp: "&amp;Checks!$X$553&amp;"  /  Act: "&amp;Checks!$Y$553)</f>
        <v/>
      </c>
      <c r="F48" s="112" t="str">
        <f aca="false">IF(Checks!$Z$553="","","Evidence: "&amp;Checks!$Z$553)&amp;IF(Checks!$AA$553="","",IF(Checks!$Z$553="","",CHAR(10))&amp;"CA: "&amp;Checks!$AA$553)</f>
        <v/>
      </c>
      <c r="G48" s="112" t="str">
        <f aca="false">IF(ISNUMBER(Checks!$AD$553),TEXT(Checks!$AD$553,"DD-MMM-YY HH:MM")&amp;" "&amp;Checks!$P$553,"")&amp;IF(Checks!$AE$553="","",CHAR(10)&amp;"Verifier: "&amp;Checks!$AE$553)&amp;IF(Checks!$T$553="","",CHAR(10)&amp;"PIC: "&amp;Checks!$T$553)</f>
        <v/>
      </c>
      <c r="H48" s="113" t="str">
        <f aca="false">IF(Checks!$AH$553="","",Checks!$AH$553)</f>
        <v>OPEN – CLARIFICATION</v>
      </c>
    </row>
    <row r="49" customFormat="false" ht="279" hidden="false" customHeight="true" outlineLevel="0" collapsed="false">
      <c r="A49" s="112" t="str">
        <f aca="false">Checks!$A$554&amp;CHAR(10)&amp;IF(Checks!$I$554="","",Checks!$I$554&amp;": ")&amp;Checks!$J$554</f>
        <v>F17-T12-13
F&amp;B Linen: Bread linen (using table cloth) - prepared</v>
      </c>
      <c r="B49" s="112" t="str">
        <f aca="false">SUBSTITUTE(Checks!$K$554&amp;IF(Checks!$O$554="","",IF(Checks!$K$554="","",CHAR(10))&amp;"Note: "&amp;Checks!$O$554),"F&amp;B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2" t="str">
        <f aca="false">Checks!$N$554&amp;CHAR(10)&amp;IF(ISNUMBER(Checks!$R$554),TEXT(Checks!$R$554,"DD-MMM-YY HH:MM"),"")&amp;" "&amp;Checks!$P$554</f>
        <v>Clarification required
27-Oct-26 02:50 HKG</v>
      </c>
      <c r="D49" s="112" t="str">
        <f aca="false">IF(Checks!$U$554="","",Checks!$U$554)&amp;IF(Checks!$AB$554="","",CHAR(10)&amp;"CA: "&amp;Checks!$AB$554)</f>
        <v/>
      </c>
      <c r="E49" s="112" t="str">
        <f aca="false">IF(Checks!$V$554="","",Checks!$V$554)&amp;IF(Checks!$AC$554="","",IF(Checks!$V$554="","",CHAR(10))&amp;"N/A just.: "&amp;Checks!$AC$554)&amp;IF(Checks!$W$554="","",CHAR(10)&amp;"Batch: "&amp;Checks!$W$554)&amp;IF(AND(Checks!$X$554="",Checks!$Y$554=""),"",CHAR(10)&amp;"Exp: "&amp;Checks!$X$554&amp;"  /  Act: "&amp;Checks!$Y$554)</f>
        <v/>
      </c>
      <c r="F49" s="112" t="str">
        <f aca="false">IF(Checks!$Z$554="","","Evidence: "&amp;Checks!$Z$554)&amp;IF(Checks!$AA$554="","",IF(Checks!$Z$554="","",CHAR(10))&amp;"CA: "&amp;Checks!$AA$554)</f>
        <v/>
      </c>
      <c r="G49" s="112" t="str">
        <f aca="false">IF(ISNUMBER(Checks!$AD$554),TEXT(Checks!$AD$554,"DD-MMM-YY HH:MM")&amp;" "&amp;Checks!$P$554,"")&amp;IF(Checks!$AE$554="","",CHAR(10)&amp;"Verifier: "&amp;Checks!$AE$554)&amp;IF(Checks!$T$554="","",CHAR(10)&amp;"PIC: "&amp;Checks!$T$554)</f>
        <v/>
      </c>
      <c r="H49" s="113" t="str">
        <f aca="false">IF(Checks!$AH$554="","",Checks!$AH$554)</f>
        <v>OPEN – CLARIFICATION</v>
      </c>
    </row>
    <row r="50" customFormat="false" ht="124.5" hidden="false" customHeight="true" outlineLevel="0" collapsed="false">
      <c r="A50" s="112" t="str">
        <f aca="false">Checks!$A$555&amp;CHAR(10)&amp;IF(Checks!$I$555="","",Checks!$I$555&amp;": ")&amp;Checks!$J$555</f>
        <v>F17-T12-14
F&amp;B Linen: Trolley cloth - prepared</v>
      </c>
      <c r="B50" s="112"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2" t="str">
        <f aca="false">Checks!$N$555&amp;CHAR(10)&amp;IF(ISNUMBER(Checks!$R$555),TEXT(Checks!$R$555,"DD-MMM-YY HH:MM"),"")&amp;" "&amp;Checks!$P$555</f>
        <v>Required
27-Oct-26 02:50 HKG</v>
      </c>
      <c r="D50" s="112" t="str">
        <f aca="false">IF(Checks!$U$555="","",Checks!$U$555)&amp;IF(Checks!$AB$555="","",CHAR(10)&amp;"CA: "&amp;Checks!$AB$555)</f>
        <v/>
      </c>
      <c r="E50" s="112" t="str">
        <f aca="false">IF(Checks!$V$555="","",Checks!$V$555)&amp;IF(Checks!$AC$555="","",IF(Checks!$V$555="","",CHAR(10))&amp;"N/A just.: "&amp;Checks!$AC$555)&amp;IF(Checks!$W$555="","",CHAR(10)&amp;"Batch: "&amp;Checks!$W$555)&amp;IF(AND(Checks!$X$555="",Checks!$Y$555=""),"",CHAR(10)&amp;"Exp: "&amp;Checks!$X$555&amp;"  /  Act: "&amp;Checks!$Y$555)</f>
        <v/>
      </c>
      <c r="F50" s="112" t="str">
        <f aca="false">IF(Checks!$Z$555="","","Evidence: "&amp;Checks!$Z$555)&amp;IF(Checks!$AA$555="","",IF(Checks!$Z$555="","",CHAR(10))&amp;"CA: "&amp;Checks!$AA$555)</f>
        <v/>
      </c>
      <c r="G50" s="112" t="str">
        <f aca="false">IF(ISNUMBER(Checks!$AD$555),TEXT(Checks!$AD$555,"DD-MMM-YY HH:MM")&amp;" "&amp;Checks!$P$555,"")&amp;IF(Checks!$AE$555="","",CHAR(10)&amp;"Verifier: "&amp;Checks!$AE$555)&amp;IF(Checks!$T$555="","",CHAR(10)&amp;"PIC: "&amp;Checks!$T$555)</f>
        <v/>
      </c>
      <c r="H50" s="113" t="str">
        <f aca="false">IF(Checks!$AH$555="","",Checks!$AH$555)</f>
        <v>OPEN</v>
      </c>
    </row>
    <row r="51" customFormat="false" ht="114" hidden="false" customHeight="true" outlineLevel="0" collapsed="false">
      <c r="A51" s="112" t="str">
        <f aca="false">Checks!$A$556&amp;CHAR(10)&amp;IF(Checks!$I$556="","",Checks!$I$556&amp;": ")&amp;Checks!$J$556</f>
        <v>F17-T12-15
F&amp;B Linen: Linen bag - prepared</v>
      </c>
      <c r="B51" s="112" t="str">
        <f aca="false">Checks!$K$556&amp;IF(Checks!$O$556="","",IF(Checks!$K$556="","",CHAR(10))&amp;"Note: "&amp;Checks!$O$556)</f>
        <v>Available (ticked in reference)
Note: Reference gives no uplift stn for this item: preparation checked at the meal uplift stn (HKG) - confirm with caterer.</v>
      </c>
      <c r="C51" s="112" t="str">
        <f aca="false">Checks!$N$556&amp;CHAR(10)&amp;IF(ISNUMBER(Checks!$R$556),TEXT(Checks!$R$556,"DD-MMM-YY HH:MM"),"")&amp;" "&amp;Checks!$P$556</f>
        <v>Required
27-Oct-26 02:50 HKG</v>
      </c>
      <c r="D51" s="112" t="str">
        <f aca="false">IF(Checks!$U$556="","",Checks!$U$556)&amp;IF(Checks!$AB$556="","",CHAR(10)&amp;"CA: "&amp;Checks!$AB$556)</f>
        <v/>
      </c>
      <c r="E51" s="112" t="str">
        <f aca="false">IF(Checks!$V$556="","",Checks!$V$556)&amp;IF(Checks!$AC$556="","",IF(Checks!$V$556="","",CHAR(10))&amp;"N/A just.: "&amp;Checks!$AC$556)&amp;IF(Checks!$W$556="","",CHAR(10)&amp;"Batch: "&amp;Checks!$W$556)&amp;IF(AND(Checks!$X$556="",Checks!$Y$556=""),"",CHAR(10)&amp;"Exp: "&amp;Checks!$X$556&amp;"  /  Act: "&amp;Checks!$Y$556)</f>
        <v/>
      </c>
      <c r="F51" s="112" t="str">
        <f aca="false">IF(Checks!$Z$556="","","Evidence: "&amp;Checks!$Z$556)&amp;IF(Checks!$AA$556="","",IF(Checks!$Z$556="","",CHAR(10))&amp;"CA: "&amp;Checks!$AA$556)</f>
        <v/>
      </c>
      <c r="G51" s="112" t="str">
        <f aca="false">IF(ISNUMBER(Checks!$AD$556),TEXT(Checks!$AD$556,"DD-MMM-YY HH:MM")&amp;" "&amp;Checks!$P$556,"")&amp;IF(Checks!$AE$556="","",CHAR(10)&amp;"Verifier: "&amp;Checks!$AE$556)&amp;IF(Checks!$T$556="","",CHAR(10)&amp;"PIC: "&amp;Checks!$T$556)</f>
        <v/>
      </c>
      <c r="H51" s="113" t="str">
        <f aca="false">IF(Checks!$AH$556="","",Checks!$AH$556)</f>
        <v>OPEN</v>
      </c>
    </row>
    <row r="52" customFormat="false" ht="114" hidden="false" customHeight="true" outlineLevel="0" collapsed="false">
      <c r="A52" s="112" t="str">
        <f aca="false">Checks!$A$557&amp;CHAR(10)&amp;IF(Checks!$I$557="","",Checks!$I$557&amp;": ")&amp;Checks!$J$557</f>
        <v>F17-T12-16
Seat Linen: Seat pillow (BS &amp; BC) - prepared</v>
      </c>
      <c r="B52" s="112" t="str">
        <f aca="false">Checks!$K$557&amp;IF(Checks!$O$557="","",IF(Checks!$K$557="","",CHAR(10))&amp;"Note: "&amp;Checks!$O$557)</f>
        <v>Available 100% (ticked in reference)
Note: Reference gives no uplift stn for this item: preparation checked at the meal uplift stn (HKG) - confirm with caterer.</v>
      </c>
      <c r="C52" s="112" t="str">
        <f aca="false">Checks!$N$557&amp;CHAR(10)&amp;IF(ISNUMBER(Checks!$R$557),TEXT(Checks!$R$557,"DD-MMM-YY HH:MM"),"")&amp;" "&amp;Checks!$P$557</f>
        <v>Required
27-Oct-26 02:50 HKG</v>
      </c>
      <c r="D52" s="112" t="str">
        <f aca="false">IF(Checks!$U$557="","",Checks!$U$557)&amp;IF(Checks!$AB$557="","",CHAR(10)&amp;"CA: "&amp;Checks!$AB$557)</f>
        <v/>
      </c>
      <c r="E52" s="112" t="str">
        <f aca="false">IF(Checks!$V$557="","",Checks!$V$557)&amp;IF(Checks!$AC$557="","",IF(Checks!$V$557="","",CHAR(10))&amp;"N/A just.: "&amp;Checks!$AC$557)&amp;IF(Checks!$W$557="","",CHAR(10)&amp;"Batch: "&amp;Checks!$W$557)&amp;IF(AND(Checks!$X$557="",Checks!$Y$557=""),"",CHAR(10)&amp;"Exp: "&amp;Checks!$X$557&amp;"  /  Act: "&amp;Checks!$Y$557)</f>
        <v/>
      </c>
      <c r="F52" s="112" t="str">
        <f aca="false">IF(Checks!$Z$557="","","Evidence: "&amp;Checks!$Z$557)&amp;IF(Checks!$AA$557="","",IF(Checks!$Z$557="","",CHAR(10))&amp;"CA: "&amp;Checks!$AA$557)</f>
        <v/>
      </c>
      <c r="G52" s="112" t="str">
        <f aca="false">IF(ISNUMBER(Checks!$AD$557),TEXT(Checks!$AD$557,"DD-MMM-YY HH:MM")&amp;" "&amp;Checks!$P$557,"")&amp;IF(Checks!$AE$557="","",CHAR(10)&amp;"Verifier: "&amp;Checks!$AE$557)&amp;IF(Checks!$T$557="","",CHAR(10)&amp;"PIC: "&amp;Checks!$T$557)</f>
        <v/>
      </c>
      <c r="H52" s="113" t="str">
        <f aca="false">IF(Checks!$AH$557="","",Checks!$AH$557)</f>
        <v>OPEN</v>
      </c>
    </row>
    <row r="53" customFormat="false" ht="114" hidden="false" customHeight="true" outlineLevel="0" collapsed="false">
      <c r="A53" s="112" t="str">
        <f aca="false">Checks!$A$558&amp;CHAR(10)&amp;IF(Checks!$I$558="","",Checks!$I$558&amp;": ")&amp;Checks!$J$558</f>
        <v>F17-T12-17
Seat Linen: Blanket (BS &amp; BC) - prepared</v>
      </c>
      <c r="B53" s="112" t="str">
        <f aca="false">Checks!$K$558&amp;IF(Checks!$O$558="","",IF(Checks!$K$558="","",CHAR(10))&amp;"Note: "&amp;Checks!$O$558)</f>
        <v>Available 100% (ticked in reference)
Note: Reference gives no uplift stn for this item: preparation checked at the meal uplift stn (HKG) - confirm with caterer.</v>
      </c>
      <c r="C53" s="112" t="str">
        <f aca="false">Checks!$N$558&amp;CHAR(10)&amp;IF(ISNUMBER(Checks!$R$558),TEXT(Checks!$R$558,"DD-MMM-YY HH:MM"),"")&amp;" "&amp;Checks!$P$558</f>
        <v>Required
27-Oct-26 02:50 HKG</v>
      </c>
      <c r="D53" s="112" t="str">
        <f aca="false">IF(Checks!$U$558="","",Checks!$U$558)&amp;IF(Checks!$AB$558="","",CHAR(10)&amp;"CA: "&amp;Checks!$AB$558)</f>
        <v/>
      </c>
      <c r="E53" s="112" t="str">
        <f aca="false">IF(Checks!$V$558="","",Checks!$V$558)&amp;IF(Checks!$AC$558="","",IF(Checks!$V$558="","",CHAR(10))&amp;"N/A just.: "&amp;Checks!$AC$558)&amp;IF(Checks!$W$558="","",CHAR(10)&amp;"Batch: "&amp;Checks!$W$558)&amp;IF(AND(Checks!$X$558="",Checks!$Y$558=""),"",CHAR(10)&amp;"Exp: "&amp;Checks!$X$558&amp;"  /  Act: "&amp;Checks!$Y$558)</f>
        <v/>
      </c>
      <c r="F53" s="112" t="str">
        <f aca="false">IF(Checks!$Z$558="","","Evidence: "&amp;Checks!$Z$558)&amp;IF(Checks!$AA$558="","",IF(Checks!$Z$558="","",CHAR(10))&amp;"CA: "&amp;Checks!$AA$558)</f>
        <v/>
      </c>
      <c r="G53" s="112" t="str">
        <f aca="false">IF(ISNUMBER(Checks!$AD$558),TEXT(Checks!$AD$558,"DD-MMM-YY HH:MM")&amp;" "&amp;Checks!$P$558,"")&amp;IF(Checks!$AE$558="","",CHAR(10)&amp;"Verifier: "&amp;Checks!$AE$558)&amp;IF(Checks!$T$558="","",CHAR(10)&amp;"PIC: "&amp;Checks!$T$558)</f>
        <v/>
      </c>
      <c r="H53" s="113" t="str">
        <f aca="false">IF(Checks!$AH$558="","",Checks!$AH$558)</f>
        <v>OPEN</v>
      </c>
    </row>
    <row r="54" customFormat="false" ht="213" hidden="false" customHeight="true" outlineLevel="0" collapsed="false">
      <c r="A54" s="112" t="str">
        <f aca="false">Checks!$A$559&amp;CHAR(10)&amp;IF(Checks!$I$559="","",Checks!$I$559&amp;": ")&amp;Checks!$J$559</f>
        <v>F17-T12-18
Sales Cart: Sales cart (caterer MCAT) - prepared</v>
      </c>
      <c r="B54" s="112"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2" t="str">
        <f aca="false">Checks!$N$559&amp;CHAR(10)&amp;IF(ISNUMBER(Checks!$R$559),TEXT(Checks!$R$559,"DD-MMM-YY HH:MM"),"")&amp;" "&amp;Checks!$P$559</f>
        <v>Clarification required
27-Oct-26 02:50 HKG</v>
      </c>
      <c r="D54" s="112" t="str">
        <f aca="false">IF(Checks!$U$559="","",Checks!$U$559)&amp;IF(Checks!$AB$559="","",CHAR(10)&amp;"CA: "&amp;Checks!$AB$559)</f>
        <v/>
      </c>
      <c r="E54" s="112" t="str">
        <f aca="false">IF(Checks!$V$559="","",Checks!$V$559)&amp;IF(Checks!$AC$559="","",IF(Checks!$V$559="","",CHAR(10))&amp;"N/A just.: "&amp;Checks!$AC$559)&amp;IF(Checks!$W$559="","",CHAR(10)&amp;"Batch: "&amp;Checks!$W$559)&amp;IF(AND(Checks!$X$559="",Checks!$Y$559=""),"",CHAR(10)&amp;"Exp: "&amp;Checks!$X$559&amp;"  /  Act: "&amp;Checks!$Y$559)</f>
        <v/>
      </c>
      <c r="F54" s="112" t="str">
        <f aca="false">IF(Checks!$Z$559="","","Evidence: "&amp;Checks!$Z$559)&amp;IF(Checks!$AA$559="","",IF(Checks!$Z$559="","",CHAR(10))&amp;"CA: "&amp;Checks!$AA$559)</f>
        <v/>
      </c>
      <c r="G54" s="112" t="str">
        <f aca="false">IF(ISNUMBER(Checks!$AD$559),TEXT(Checks!$AD$559,"DD-MMM-YY HH:MM")&amp;" "&amp;Checks!$P$559,"")&amp;IF(Checks!$AE$559="","",CHAR(10)&amp;"Verifier: "&amp;Checks!$AE$559)&amp;IF(Checks!$T$559="","",CHAR(10)&amp;"PIC: "&amp;Checks!$T$559)</f>
        <v/>
      </c>
      <c r="H54" s="113" t="str">
        <f aca="false">IF(Checks!$AH$559="","",Checks!$AH$559)</f>
        <v>OPEN – CLARIFICATION</v>
      </c>
    </row>
    <row r="55" customFormat="false" ht="25.5" hidden="false" customHeight="true" outlineLevel="0" collapsed="false">
      <c r="A55" s="111"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1"/>
      <c r="C55" s="111"/>
      <c r="D55" s="111"/>
      <c r="E55" s="111"/>
      <c r="F55" s="111"/>
      <c r="G55" s="111"/>
      <c r="H55" s="111"/>
    </row>
    <row r="56" customFormat="false" ht="114" hidden="false" customHeight="true" outlineLevel="0" collapsed="false">
      <c r="A56" s="112" t="str">
        <f aca="false">Checks!$A$560&amp;CHAR(10)&amp;IF(Checks!$I$560="","",Checks!$I$560&amp;": ")&amp;Checks!$J$560</f>
        <v>F17-UPL-01
Meal: Meals physically uplifted on board - quantity vs menu checklist</v>
      </c>
      <c r="B56" s="112" t="str">
        <f aca="false">Checks!$K$560&amp;IF(Checks!$O$560="","",IF(Checks!$K$560="","",CHAR(10))&amp;"Note: "&amp;Checks!$O$560)</f>
        <v>Enter expected &amp; actual
Note: Confirm on board before departure; completion time must fall inside the uplift window.</v>
      </c>
      <c r="C56" s="112" t="str">
        <f aca="false">Checks!$N$560&amp;CHAR(10)&amp;IF(ISNUMBER(Checks!$R$560),TEXT(Checks!$R$560,"DD-MMM-YY HH:MM"),"")&amp;" "&amp;Checks!$P$560</f>
        <v>Required
27-Oct-26 14:50 HKG</v>
      </c>
      <c r="D56" s="112" t="str">
        <f aca="false">IF(Checks!$U$560="","",Checks!$U$560)&amp;IF(Checks!$AB$560="","",CHAR(10)&amp;"CA: "&amp;Checks!$AB$560)</f>
        <v/>
      </c>
      <c r="E56" s="112" t="str">
        <f aca="false">IF(Checks!$V$560="","",Checks!$V$560)&amp;IF(Checks!$AC$560="","",IF(Checks!$V$560="","",CHAR(10))&amp;"N/A just.: "&amp;Checks!$AC$560)&amp;IF(Checks!$W$560="","",CHAR(10)&amp;"Batch: "&amp;Checks!$W$560)&amp;IF(AND(Checks!$X$560="",Checks!$Y$560=""),"",CHAR(10)&amp;"Exp: "&amp;Checks!$X$560&amp;"  /  Act: "&amp;Checks!$Y$560)</f>
        <v/>
      </c>
      <c r="F56" s="112" t="str">
        <f aca="false">IF(Checks!$Z$560="","","Evidence: "&amp;Checks!$Z$560)&amp;IF(Checks!$AA$560="","",IF(Checks!$Z$560="","",CHAR(10))&amp;"CA: "&amp;Checks!$AA$560)</f>
        <v/>
      </c>
      <c r="G56" s="112" t="str">
        <f aca="false">IF(ISNUMBER(Checks!$AD$560),TEXT(Checks!$AD$560,"DD-MMM-YY HH:MM")&amp;" "&amp;Checks!$P$560,"")&amp;IF(Checks!$AE$560="","",CHAR(10)&amp;"Verifier: "&amp;Checks!$AE$560)&amp;IF(Checks!$T$560="","",CHAR(10)&amp;"PIC: "&amp;Checks!$T$560)</f>
        <v/>
      </c>
      <c r="H56" s="113" t="str">
        <f aca="false">IF(Checks!$AH$560="","",Checks!$AH$560)</f>
        <v>OPEN</v>
      </c>
    </row>
    <row r="57" customFormat="false" ht="114" hidden="false" customHeight="true" outlineLevel="0" collapsed="false">
      <c r="A57" s="112" t="str">
        <f aca="false">Checks!$A$561&amp;CHAR(10)&amp;IF(Checks!$I$561="","",Checks!$I$561&amp;": ")&amp;Checks!$J$561</f>
        <v>F17-UPL-02
Equipment: Equipment physically loaded at GLD positions - quantity &amp; positions</v>
      </c>
      <c r="B57" s="112" t="str">
        <f aca="false">Checks!$K$561&amp;IF(Checks!$O$561="","",IF(Checks!$K$561="","",CHAR(10))&amp;"Note: "&amp;Checks!$O$561)</f>
        <v>Enter expected &amp; actual
Note: Confirm on board before departure; completion time must fall inside the uplift window.</v>
      </c>
      <c r="C57" s="112" t="str">
        <f aca="false">Checks!$N$561&amp;CHAR(10)&amp;IF(ISNUMBER(Checks!$R$561),TEXT(Checks!$R$561,"DD-MMM-YY HH:MM"),"")&amp;" "&amp;Checks!$P$561</f>
        <v>Required
27-Oct-26 14:50 HKG</v>
      </c>
      <c r="D57" s="112" t="str">
        <f aca="false">IF(Checks!$U$561="","",Checks!$U$561)&amp;IF(Checks!$AB$561="","",CHAR(10)&amp;"CA: "&amp;Checks!$AB$561)</f>
        <v/>
      </c>
      <c r="E57" s="112" t="str">
        <f aca="false">IF(Checks!$V$561="","",Checks!$V$561)&amp;IF(Checks!$AC$561="","",IF(Checks!$V$561="","",CHAR(10))&amp;"N/A just.: "&amp;Checks!$AC$561)&amp;IF(Checks!$W$561="","",CHAR(10)&amp;"Batch: "&amp;Checks!$W$561)&amp;IF(AND(Checks!$X$561="",Checks!$Y$561=""),"",CHAR(10)&amp;"Exp: "&amp;Checks!$X$561&amp;"  /  Act: "&amp;Checks!$Y$561)</f>
        <v/>
      </c>
      <c r="F57" s="112" t="str">
        <f aca="false">IF(Checks!$Z$561="","","Evidence: "&amp;Checks!$Z$561)&amp;IF(Checks!$AA$561="","",IF(Checks!$Z$561="","",CHAR(10))&amp;"CA: "&amp;Checks!$AA$561)</f>
        <v/>
      </c>
      <c r="G57" s="112" t="str">
        <f aca="false">IF(ISNUMBER(Checks!$AD$561),TEXT(Checks!$AD$561,"DD-MMM-YY HH:MM")&amp;" "&amp;Checks!$P$561,"")&amp;IF(Checks!$AE$561="","",CHAR(10)&amp;"Verifier: "&amp;Checks!$AE$561)&amp;IF(Checks!$T$561="","",CHAR(10)&amp;"PIC: "&amp;Checks!$T$561)</f>
        <v/>
      </c>
      <c r="H57" s="113" t="str">
        <f aca="false">IF(Checks!$AH$561="","",Checks!$AH$561)</f>
        <v>OPEN</v>
      </c>
    </row>
    <row r="58" customFormat="false" ht="124.5" hidden="false" customHeight="true" outlineLevel="0" collapsed="false">
      <c r="A58" s="112" t="str">
        <f aca="false">Checks!$A$562&amp;CHAR(10)&amp;IF(Checks!$I$562="","",Checks!$I$562&amp;": ")&amp;Checks!$J$562</f>
        <v>F17-UPL-03
Uplift plan: KUL-sourced items physically loaded at KUL on the inbound KUL-HKG flight</v>
      </c>
      <c r="B58" s="112" t="str">
        <f aca="false">Checks!$K$562&amp;IF(Checks!$O$562="","",IF(Checks!$K$562="","",CHAR(10))&amp;"Note: "&amp;Checks!$O$562)</f>
        <v>Items: Slippers (BS/BC) - Dispo slipper. Quantities as per Requirements
Note: Confirmed at KUL inside the uplift window before the carrying flight's KUL departure (Flights AX).</v>
      </c>
      <c r="C58" s="112" t="str">
        <f aca="false">Checks!$N$562&amp;CHAR(10)&amp;IF(ISNUMBER(Checks!$R$562),TEXT(Checks!$R$562,"DD-MMM-YY HH:MM"),"")&amp;" "&amp;Checks!$P$562</f>
        <v>Required
26-Oct-26 09:10 KUL</v>
      </c>
      <c r="D58" s="112" t="str">
        <f aca="false">IF(Checks!$U$562="","",Checks!$U$562)&amp;IF(Checks!$AB$562="","",CHAR(10)&amp;"CA: "&amp;Checks!$AB$562)</f>
        <v/>
      </c>
      <c r="E58" s="112" t="str">
        <f aca="false">IF(Checks!$V$562="","",Checks!$V$562)&amp;IF(Checks!$AC$562="","",IF(Checks!$V$562="","",CHAR(10))&amp;"N/A just.: "&amp;Checks!$AC$562)&amp;IF(Checks!$W$562="","",CHAR(10)&amp;"Batch: "&amp;Checks!$W$562)&amp;IF(AND(Checks!$X$562="",Checks!$Y$562=""),"",CHAR(10)&amp;"Exp: "&amp;Checks!$X$562&amp;"  /  Act: "&amp;Checks!$Y$562)</f>
        <v/>
      </c>
      <c r="F58" s="112" t="str">
        <f aca="false">IF(Checks!$Z$562="","","Evidence: "&amp;Checks!$Z$562)&amp;IF(Checks!$AA$562="","",IF(Checks!$Z$562="","",CHAR(10))&amp;"CA: "&amp;Checks!$AA$562)</f>
        <v/>
      </c>
      <c r="G58" s="112" t="str">
        <f aca="false">IF(ISNUMBER(Checks!$AD$562),TEXT(Checks!$AD$562,"DD-MMM-YY HH:MM")&amp;" "&amp;Checks!$P$562,"")&amp;IF(Checks!$AE$562="","",CHAR(10)&amp;"Verifier: "&amp;Checks!$AE$562)&amp;IF(Checks!$T$562="","",CHAR(10)&amp;"PIC: "&amp;Checks!$T$562)</f>
        <v/>
      </c>
      <c r="H58" s="113" t="str">
        <f aca="false">IF(Checks!$AH$562="","",Checks!$AH$562)</f>
        <v>OPEN</v>
      </c>
    </row>
    <row r="59" customFormat="false" ht="114" hidden="false" customHeight="true" outlineLevel="0" collapsed="false">
      <c r="A59" s="112" t="str">
        <f aca="false">Checks!$A$563&amp;CHAR(10)&amp;IF(Checks!$I$563="","",Checks!$I$563&amp;": ")&amp;Checks!$J$563</f>
        <v>F17-UPL-04
Amenities: Slippers (BS/BC) - Dispo slipper - on board</v>
      </c>
      <c r="B59" s="112" t="str">
        <f aca="false">Checks!$K$563&amp;IF(Checks!$O$563="","",IF(Checks!$K$563="","",CHAR(10))&amp;"Note: "&amp;Checks!$O$563)</f>
        <v>Available (ticked in reference)</v>
      </c>
      <c r="C59" s="112" t="str">
        <f aca="false">Checks!$N$563&amp;CHAR(10)&amp;IF(ISNUMBER(Checks!$R$563),TEXT(Checks!$R$563,"DD-MMM-YY HH:MM"),"")&amp;" "&amp;Checks!$P$563</f>
        <v>Required
27-Oct-26 14:50 HKG</v>
      </c>
      <c r="D59" s="112" t="str">
        <f aca="false">IF(Checks!$U$563="","",Checks!$U$563)&amp;IF(Checks!$AB$563="","",CHAR(10)&amp;"CA: "&amp;Checks!$AB$563)</f>
        <v/>
      </c>
      <c r="E59" s="112" t="str">
        <f aca="false">IF(Checks!$V$563="","",Checks!$V$563)&amp;IF(Checks!$AC$563="","",IF(Checks!$V$563="","",CHAR(10))&amp;"N/A just.: "&amp;Checks!$AC$563)&amp;IF(Checks!$W$563="","",CHAR(10)&amp;"Batch: "&amp;Checks!$W$563)&amp;IF(AND(Checks!$X$563="",Checks!$Y$563=""),"",CHAR(10)&amp;"Exp: "&amp;Checks!$X$563&amp;"  /  Act: "&amp;Checks!$Y$563)</f>
        <v/>
      </c>
      <c r="F59" s="112" t="str">
        <f aca="false">IF(Checks!$Z$563="","","Evidence: "&amp;Checks!$Z$563)&amp;IF(Checks!$AA$563="","",IF(Checks!$Z$563="","",CHAR(10))&amp;"CA: "&amp;Checks!$AA$563)</f>
        <v/>
      </c>
      <c r="G59" s="112" t="str">
        <f aca="false">IF(ISNUMBER(Checks!$AD$563),TEXT(Checks!$AD$563,"DD-MMM-YY HH:MM")&amp;" "&amp;Checks!$P$563,"")&amp;IF(Checks!$AE$563="","",CHAR(10)&amp;"Verifier: "&amp;Checks!$AE$563)&amp;IF(Checks!$T$563="","",CHAR(10)&amp;"PIC: "&amp;Checks!$T$563)</f>
        <v/>
      </c>
      <c r="H59" s="113" t="str">
        <f aca="false">IF(Checks!$AH$563="","",Checks!$AH$563)</f>
        <v>OPEN</v>
      </c>
    </row>
    <row r="60" customFormat="false" ht="114" hidden="false" customHeight="true" outlineLevel="0" collapsed="false">
      <c r="A60" s="112" t="str">
        <f aca="false">Checks!$A$564&amp;CHAR(10)&amp;IF(Checks!$I$564="","",Checks!$I$564&amp;": ")&amp;Checks!$J$564</f>
        <v>F17-UPL-05
F&amp;B Linen: Towel - on board</v>
      </c>
      <c r="B60" s="112" t="str">
        <f aca="false">Checks!$K$564&amp;IF(Checks!$O$564="","",IF(Checks!$K$564="","",CHAR(10))&amp;"Note: "&amp;Checks!$O$564)</f>
        <v>Available (ticked in reference)</v>
      </c>
      <c r="C60" s="112" t="str">
        <f aca="false">Checks!$N$564&amp;CHAR(10)&amp;IF(ISNUMBER(Checks!$R$564),TEXT(Checks!$R$564,"DD-MMM-YY HH:MM"),"")&amp;" "&amp;Checks!$P$564</f>
        <v>Required
27-Oct-26 14:50 HKG</v>
      </c>
      <c r="D60" s="112" t="str">
        <f aca="false">IF(Checks!$U$564="","",Checks!$U$564)&amp;IF(Checks!$AB$564="","",CHAR(10)&amp;"CA: "&amp;Checks!$AB$564)</f>
        <v/>
      </c>
      <c r="E60" s="112" t="str">
        <f aca="false">IF(Checks!$V$564="","",Checks!$V$564)&amp;IF(Checks!$AC$564="","",IF(Checks!$V$564="","",CHAR(10))&amp;"N/A just.: "&amp;Checks!$AC$564)&amp;IF(Checks!$W$564="","",CHAR(10)&amp;"Batch: "&amp;Checks!$W$564)&amp;IF(AND(Checks!$X$564="",Checks!$Y$564=""),"",CHAR(10)&amp;"Exp: "&amp;Checks!$X$564&amp;"  /  Act: "&amp;Checks!$Y$564)</f>
        <v/>
      </c>
      <c r="F60" s="112" t="str">
        <f aca="false">IF(Checks!$Z$564="","","Evidence: "&amp;Checks!$Z$564)&amp;IF(Checks!$AA$564="","",IF(Checks!$Z$564="","",CHAR(10))&amp;"CA: "&amp;Checks!$AA$564)</f>
        <v/>
      </c>
      <c r="G60" s="112" t="str">
        <f aca="false">IF(ISNUMBER(Checks!$AD$564),TEXT(Checks!$AD$564,"DD-MMM-YY HH:MM")&amp;" "&amp;Checks!$P$564,"")&amp;IF(Checks!$AE$564="","",CHAR(10)&amp;"Verifier: "&amp;Checks!$AE$564)&amp;IF(Checks!$T$564="","",CHAR(10)&amp;"PIC: "&amp;Checks!$T$564)</f>
        <v/>
      </c>
      <c r="H60" s="113" t="str">
        <f aca="false">IF(Checks!$AH$564="","",Checks!$AH$564)</f>
        <v>OPEN</v>
      </c>
    </row>
    <row r="61" customFormat="false" ht="114" hidden="false" customHeight="true" outlineLevel="0" collapsed="false">
      <c r="A61" s="112" t="str">
        <f aca="false">Checks!$A$565&amp;CHAR(10)&amp;IF(Checks!$I$565="","",Checks!$I$565&amp;": ")&amp;Checks!$J$565</f>
        <v>F17-UPL-06
F&amp;B Linen: Tray cloth - on board</v>
      </c>
      <c r="B61" s="112" t="str">
        <f aca="false">Checks!$K$565&amp;IF(Checks!$O$565="","",IF(Checks!$K$565="","",CHAR(10))&amp;"Note: "&amp;Checks!$O$565)</f>
        <v>Available (ticked in reference)</v>
      </c>
      <c r="C61" s="112" t="str">
        <f aca="false">Checks!$N$565&amp;CHAR(10)&amp;IF(ISNUMBER(Checks!$R$565),TEXT(Checks!$R$565,"DD-MMM-YY HH:MM"),"")&amp;" "&amp;Checks!$P$565</f>
        <v>Required
27-Oct-26 14:50 HKG</v>
      </c>
      <c r="D61" s="112" t="str">
        <f aca="false">IF(Checks!$U$565="","",Checks!$U$565)&amp;IF(Checks!$AB$565="","",CHAR(10)&amp;"CA: "&amp;Checks!$AB$565)</f>
        <v/>
      </c>
      <c r="E61" s="112" t="str">
        <f aca="false">IF(Checks!$V$565="","",Checks!$V$565)&amp;IF(Checks!$AC$565="","",IF(Checks!$V$565="","",CHAR(10))&amp;"N/A just.: "&amp;Checks!$AC$565)&amp;IF(Checks!$W$565="","",CHAR(10)&amp;"Batch: "&amp;Checks!$W$565)&amp;IF(AND(Checks!$X$565="",Checks!$Y$565=""),"",CHAR(10)&amp;"Exp: "&amp;Checks!$X$565&amp;"  /  Act: "&amp;Checks!$Y$565)</f>
        <v/>
      </c>
      <c r="F61" s="112" t="str">
        <f aca="false">IF(Checks!$Z$565="","","Evidence: "&amp;Checks!$Z$565)&amp;IF(Checks!$AA$565="","",IF(Checks!$Z$565="","",CHAR(10))&amp;"CA: "&amp;Checks!$AA$565)</f>
        <v/>
      </c>
      <c r="G61" s="112" t="str">
        <f aca="false">IF(ISNUMBER(Checks!$AD$565),TEXT(Checks!$AD$565,"DD-MMM-YY HH:MM")&amp;" "&amp;Checks!$P$565,"")&amp;IF(Checks!$AE$565="","",CHAR(10)&amp;"Verifier: "&amp;Checks!$AE$565)&amp;IF(Checks!$T$565="","",CHAR(10)&amp;"PIC: "&amp;Checks!$T$565)</f>
        <v/>
      </c>
      <c r="H61" s="113" t="str">
        <f aca="false">IF(Checks!$AH$565="","",Checks!$AH$565)</f>
        <v>OPEN</v>
      </c>
    </row>
    <row r="62" customFormat="false" ht="114" hidden="false" customHeight="true" outlineLevel="0" collapsed="false">
      <c r="A62" s="112" t="str">
        <f aca="false">Checks!$A$566&amp;CHAR(10)&amp;IF(Checks!$I$566="","",Checks!$I$566&amp;": ")&amp;Checks!$J$566</f>
        <v>F17-UPL-07
F&amp;B Linen: Napkin - on board</v>
      </c>
      <c r="B62" s="112" t="str">
        <f aca="false">Checks!$K$566&amp;IF(Checks!$O$566="","",IF(Checks!$K$566="","",CHAR(10))&amp;"Note: "&amp;Checks!$O$566)</f>
        <v>Available (ticked in reference)</v>
      </c>
      <c r="C62" s="112" t="str">
        <f aca="false">Checks!$N$566&amp;CHAR(10)&amp;IF(ISNUMBER(Checks!$R$566),TEXT(Checks!$R$566,"DD-MMM-YY HH:MM"),"")&amp;" "&amp;Checks!$P$566</f>
        <v>Required
27-Oct-26 14:50 HKG</v>
      </c>
      <c r="D62" s="112" t="str">
        <f aca="false">IF(Checks!$U$566="","",Checks!$U$566)&amp;IF(Checks!$AB$566="","",CHAR(10)&amp;"CA: "&amp;Checks!$AB$566)</f>
        <v/>
      </c>
      <c r="E62" s="112" t="str">
        <f aca="false">IF(Checks!$V$566="","",Checks!$V$566)&amp;IF(Checks!$AC$566="","",IF(Checks!$V$566="","",CHAR(10))&amp;"N/A just.: "&amp;Checks!$AC$566)&amp;IF(Checks!$W$566="","",CHAR(10)&amp;"Batch: "&amp;Checks!$W$566)&amp;IF(AND(Checks!$X$566="",Checks!$Y$566=""),"",CHAR(10)&amp;"Exp: "&amp;Checks!$X$566&amp;"  /  Act: "&amp;Checks!$Y$566)</f>
        <v/>
      </c>
      <c r="F62" s="112" t="str">
        <f aca="false">IF(Checks!$Z$566="","","Evidence: "&amp;Checks!$Z$566)&amp;IF(Checks!$AA$566="","",IF(Checks!$Z$566="","",CHAR(10))&amp;"CA: "&amp;Checks!$AA$566)</f>
        <v/>
      </c>
      <c r="G62" s="112" t="str">
        <f aca="false">IF(ISNUMBER(Checks!$AD$566),TEXT(Checks!$AD$566,"DD-MMM-YY HH:MM")&amp;" "&amp;Checks!$P$566,"")&amp;IF(Checks!$AE$566="","",CHAR(10)&amp;"Verifier: "&amp;Checks!$AE$566)&amp;IF(Checks!$T$566="","",CHAR(10)&amp;"PIC: "&amp;Checks!$T$566)</f>
        <v/>
      </c>
      <c r="H62" s="113" t="str">
        <f aca="false">IF(Checks!$AH$566="","",Checks!$AH$566)</f>
        <v>OPEN</v>
      </c>
    </row>
    <row r="63" customFormat="false" ht="201.75" hidden="false" customHeight="true" outlineLevel="0" collapsed="false">
      <c r="A63" s="112" t="str">
        <f aca="false">Checks!$A$567&amp;CHAR(10)&amp;IF(Checks!$I$567="","",Checks!$I$567&amp;": ")&amp;Checks!$J$567</f>
        <v>F17-UPL-08
F&amp;B Linen: Table cloth - on board</v>
      </c>
      <c r="B63" s="112" t="str">
        <f aca="false">SUBSTITUTE(Checks!$K$567&amp;IF(Checks!$O$567="","",IF(Checks!$K$567="","",CHAR(10))&amp;"Note: "&amp;Checks!$O$567),"F&amp;B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v>
      </c>
      <c r="C63" s="112" t="str">
        <f aca="false">Checks!$N$567&amp;CHAR(10)&amp;IF(ISNUMBER(Checks!$R$567),TEXT(Checks!$R$567,"DD-MMM-YY HH:MM"),"")&amp;" "&amp;Checks!$P$567</f>
        <v>Clarification required
27-Oct-26 14:50 HKG</v>
      </c>
      <c r="D63" s="112" t="str">
        <f aca="false">IF(Checks!$U$567="","",Checks!$U$567)&amp;IF(Checks!$AB$567="","",CHAR(10)&amp;"CA: "&amp;Checks!$AB$567)</f>
        <v/>
      </c>
      <c r="E63" s="112" t="str">
        <f aca="false">IF(Checks!$V$567="","",Checks!$V$567)&amp;IF(Checks!$AC$567="","",IF(Checks!$V$567="","",CHAR(10))&amp;"N/A just.: "&amp;Checks!$AC$567)&amp;IF(Checks!$W$567="","",CHAR(10)&amp;"Batch: "&amp;Checks!$W$567)&amp;IF(AND(Checks!$X$567="",Checks!$Y$567=""),"",CHAR(10)&amp;"Exp: "&amp;Checks!$X$567&amp;"  /  Act: "&amp;Checks!$Y$567)</f>
        <v/>
      </c>
      <c r="F63" s="112" t="str">
        <f aca="false">IF(Checks!$Z$567="","","Evidence: "&amp;Checks!$Z$567)&amp;IF(Checks!$AA$567="","",IF(Checks!$Z$567="","",CHAR(10))&amp;"CA: "&amp;Checks!$AA$567)</f>
        <v/>
      </c>
      <c r="G63" s="112" t="str">
        <f aca="false">IF(ISNUMBER(Checks!$AD$567),TEXT(Checks!$AD$567,"DD-MMM-YY HH:MM")&amp;" "&amp;Checks!$P$567,"")&amp;IF(Checks!$AE$567="","",CHAR(10)&amp;"Verifier: "&amp;Checks!$AE$567)&amp;IF(Checks!$T$567="","",CHAR(10)&amp;"PIC: "&amp;Checks!$T$567)</f>
        <v/>
      </c>
      <c r="H63" s="113" t="str">
        <f aca="false">IF(Checks!$AH$567="","",Checks!$AH$567)</f>
        <v>OPEN – CLARIFICATION</v>
      </c>
    </row>
    <row r="64" customFormat="false" ht="201.75" hidden="false" customHeight="true" outlineLevel="0" collapsed="false">
      <c r="A64" s="112" t="str">
        <f aca="false">Checks!$A$568&amp;CHAR(10)&amp;IF(Checks!$I$568="","",Checks!$I$568&amp;": ")&amp;Checks!$J$568</f>
        <v>F17-UPL-09
F&amp;B Linen: Bread linen (using table cloth) - on board</v>
      </c>
      <c r="B64" s="112" t="str">
        <f aca="false">SUBSTITUTE(Checks!$K$568&amp;IF(Checks!$O$568="","",IF(Checks!$K$568="","",CHAR(10))&amp;"Note: "&amp;Checks!$O$568),"F&amp;B LINEN!","Ref: F&amp;B LINEN!")</f>
        <v>Available (ticked in reference)
Note: Reference contradicts itself: matrix shows _/ for this sector but note Ref: F&amp;B LINEN!B78:C78 says table cloth is 'Not Applicable for Domestic/Asean &amp; Regional' (ORIENTAL). Confirm before loading; if not carried, mark N/A with the confirmation as justification.</v>
      </c>
      <c r="C64" s="112" t="str">
        <f aca="false">Checks!$N$568&amp;CHAR(10)&amp;IF(ISNUMBER(Checks!$R$568),TEXT(Checks!$R$568,"DD-MMM-YY HH:MM"),"")&amp;" "&amp;Checks!$P$568</f>
        <v>Clarification required
27-Oct-26 14:50 HKG</v>
      </c>
      <c r="D64" s="112" t="str">
        <f aca="false">IF(Checks!$U$568="","",Checks!$U$568)&amp;IF(Checks!$AB$568="","",CHAR(10)&amp;"CA: "&amp;Checks!$AB$568)</f>
        <v/>
      </c>
      <c r="E64" s="112" t="str">
        <f aca="false">IF(Checks!$V$568="","",Checks!$V$568)&amp;IF(Checks!$AC$568="","",IF(Checks!$V$568="","",CHAR(10))&amp;"N/A just.: "&amp;Checks!$AC$568)&amp;IF(Checks!$W$568="","",CHAR(10)&amp;"Batch: "&amp;Checks!$W$568)&amp;IF(AND(Checks!$X$568="",Checks!$Y$568=""),"",CHAR(10)&amp;"Exp: "&amp;Checks!$X$568&amp;"  /  Act: "&amp;Checks!$Y$568)</f>
        <v/>
      </c>
      <c r="F64" s="112" t="str">
        <f aca="false">IF(Checks!$Z$568="","","Evidence: "&amp;Checks!$Z$568)&amp;IF(Checks!$AA$568="","",IF(Checks!$Z$568="","",CHAR(10))&amp;"CA: "&amp;Checks!$AA$568)</f>
        <v/>
      </c>
      <c r="G64" s="112" t="str">
        <f aca="false">IF(ISNUMBER(Checks!$AD$568),TEXT(Checks!$AD$568,"DD-MMM-YY HH:MM")&amp;" "&amp;Checks!$P$568,"")&amp;IF(Checks!$AE$568="","",CHAR(10)&amp;"Verifier: "&amp;Checks!$AE$568)&amp;IF(Checks!$T$568="","",CHAR(10)&amp;"PIC: "&amp;Checks!$T$568)</f>
        <v/>
      </c>
      <c r="H64" s="113" t="str">
        <f aca="false">IF(Checks!$AH$568="","",Checks!$AH$568)</f>
        <v>OPEN – CLARIFICATION</v>
      </c>
    </row>
    <row r="65" customFormat="false" ht="114" hidden="false" customHeight="true" outlineLevel="0" collapsed="false">
      <c r="A65" s="112" t="str">
        <f aca="false">Checks!$A$569&amp;CHAR(10)&amp;IF(Checks!$I$569="","",Checks!$I$569&amp;": ")&amp;Checks!$J$569</f>
        <v>F17-UPL-10
F&amp;B Linen: Trolley cloth - on board</v>
      </c>
      <c r="B65" s="112" t="str">
        <f aca="false">SUBSTITUTE(Checks!$K$569&amp;IF(Checks!$O$569="","",IF(Checks!$K$569="","",CHAR(10))&amp;"Note: "&amp;Checks!$O$569),"F&amp;B LINEN!","Ref: F&amp;B LINEN!")</f>
        <v>Narrow body: Top only
Note: Per note Ref: F&amp;B LINEN!B79:C80.</v>
      </c>
      <c r="C65" s="112" t="str">
        <f aca="false">Checks!$N$569&amp;CHAR(10)&amp;IF(ISNUMBER(Checks!$R$569),TEXT(Checks!$R$569,"DD-MMM-YY HH:MM"),"")&amp;" "&amp;Checks!$P$569</f>
        <v>Required
27-Oct-26 14:50 HKG</v>
      </c>
      <c r="D65" s="112" t="str">
        <f aca="false">IF(Checks!$U$569="","",Checks!$U$569)&amp;IF(Checks!$AB$569="","",CHAR(10)&amp;"CA: "&amp;Checks!$AB$569)</f>
        <v/>
      </c>
      <c r="E65" s="112" t="str">
        <f aca="false">IF(Checks!$V$569="","",Checks!$V$569)&amp;IF(Checks!$AC$569="","",IF(Checks!$V$569="","",CHAR(10))&amp;"N/A just.: "&amp;Checks!$AC$569)&amp;IF(Checks!$W$569="","",CHAR(10)&amp;"Batch: "&amp;Checks!$W$569)&amp;IF(AND(Checks!$X$569="",Checks!$Y$569=""),"",CHAR(10)&amp;"Exp: "&amp;Checks!$X$569&amp;"  /  Act: "&amp;Checks!$Y$569)</f>
        <v/>
      </c>
      <c r="F65" s="112" t="str">
        <f aca="false">IF(Checks!$Z$569="","","Evidence: "&amp;Checks!$Z$569)&amp;IF(Checks!$AA$569="","",IF(Checks!$Z$569="","",CHAR(10))&amp;"CA: "&amp;Checks!$AA$569)</f>
        <v/>
      </c>
      <c r="G65" s="112" t="str">
        <f aca="false">IF(ISNUMBER(Checks!$AD$569),TEXT(Checks!$AD$569,"DD-MMM-YY HH:MM")&amp;" "&amp;Checks!$P$569,"")&amp;IF(Checks!$AE$569="","",CHAR(10)&amp;"Verifier: "&amp;Checks!$AE$569)&amp;IF(Checks!$T$569="","",CHAR(10)&amp;"PIC: "&amp;Checks!$T$569)</f>
        <v/>
      </c>
      <c r="H65" s="113" t="str">
        <f aca="false">IF(Checks!$AH$569="","",Checks!$AH$569)</f>
        <v>OPEN</v>
      </c>
    </row>
    <row r="66" customFormat="false" ht="114" hidden="false" customHeight="true" outlineLevel="0" collapsed="false">
      <c r="A66" s="112" t="str">
        <f aca="false">Checks!$A$570&amp;CHAR(10)&amp;IF(Checks!$I$570="","",Checks!$I$570&amp;": ")&amp;Checks!$J$570</f>
        <v>F17-UPL-11
F&amp;B Linen: Linen bag - on board</v>
      </c>
      <c r="B66" s="112" t="str">
        <f aca="false">Checks!$K$570&amp;IF(Checks!$O$570="","",IF(Checks!$K$570="","",CHAR(10))&amp;"Note: "&amp;Checks!$O$570)</f>
        <v>Available (ticked in reference)</v>
      </c>
      <c r="C66" s="112" t="str">
        <f aca="false">Checks!$N$570&amp;CHAR(10)&amp;IF(ISNUMBER(Checks!$R$570),TEXT(Checks!$R$570,"DD-MMM-YY HH:MM"),"")&amp;" "&amp;Checks!$P$570</f>
        <v>Required
27-Oct-26 14:50 HKG</v>
      </c>
      <c r="D66" s="112" t="str">
        <f aca="false">IF(Checks!$U$570="","",Checks!$U$570)&amp;IF(Checks!$AB$570="","",CHAR(10)&amp;"CA: "&amp;Checks!$AB$570)</f>
        <v/>
      </c>
      <c r="E66" s="112" t="str">
        <f aca="false">IF(Checks!$V$570="","",Checks!$V$570)&amp;IF(Checks!$AC$570="","",IF(Checks!$V$570="","",CHAR(10))&amp;"N/A just.: "&amp;Checks!$AC$570)&amp;IF(Checks!$W$570="","",CHAR(10)&amp;"Batch: "&amp;Checks!$W$570)&amp;IF(AND(Checks!$X$570="",Checks!$Y$570=""),"",CHAR(10)&amp;"Exp: "&amp;Checks!$X$570&amp;"  /  Act: "&amp;Checks!$Y$570)</f>
        <v/>
      </c>
      <c r="F66" s="112" t="str">
        <f aca="false">IF(Checks!$Z$570="","","Evidence: "&amp;Checks!$Z$570)&amp;IF(Checks!$AA$570="","",IF(Checks!$Z$570="","",CHAR(10))&amp;"CA: "&amp;Checks!$AA$570)</f>
        <v/>
      </c>
      <c r="G66" s="112" t="str">
        <f aca="false">IF(ISNUMBER(Checks!$AD$570),TEXT(Checks!$AD$570,"DD-MMM-YY HH:MM")&amp;" "&amp;Checks!$P$570,"")&amp;IF(Checks!$AE$570="","",CHAR(10)&amp;"Verifier: "&amp;Checks!$AE$570)&amp;IF(Checks!$T$570="","",CHAR(10)&amp;"PIC: "&amp;Checks!$T$570)</f>
        <v/>
      </c>
      <c r="H66" s="113" t="str">
        <f aca="false">IF(Checks!$AH$570="","",Checks!$AH$570)</f>
        <v>OPEN</v>
      </c>
    </row>
    <row r="67" customFormat="false" ht="114" hidden="false" customHeight="true" outlineLevel="0" collapsed="false">
      <c r="A67" s="112" t="str">
        <f aca="false">Checks!$A$571&amp;CHAR(10)&amp;IF(Checks!$I$571="","",Checks!$I$571&amp;": ")&amp;Checks!$J$571</f>
        <v>F17-UPL-12
Seat Linen: Seat pillow (BS &amp; BC) - on board</v>
      </c>
      <c r="B67" s="112" t="str">
        <f aca="false">Checks!$K$571&amp;IF(Checks!$O$571="","",IF(Checks!$K$571="","",CHAR(10))&amp;"Note: "&amp;Checks!$O$571)</f>
        <v>Available 100% (ticked in reference)</v>
      </c>
      <c r="C67" s="112" t="str">
        <f aca="false">Checks!$N$571&amp;CHAR(10)&amp;IF(ISNUMBER(Checks!$R$571),TEXT(Checks!$R$571,"DD-MMM-YY HH:MM"),"")&amp;" "&amp;Checks!$P$571</f>
        <v>Required
27-Oct-26 14:50 HKG</v>
      </c>
      <c r="D67" s="112" t="str">
        <f aca="false">IF(Checks!$U$571="","",Checks!$U$571)&amp;IF(Checks!$AB$571="","",CHAR(10)&amp;"CA: "&amp;Checks!$AB$571)</f>
        <v/>
      </c>
      <c r="E67" s="112" t="str">
        <f aca="false">IF(Checks!$V$571="","",Checks!$V$571)&amp;IF(Checks!$AC$571="","",IF(Checks!$V$571="","",CHAR(10))&amp;"N/A just.: "&amp;Checks!$AC$571)&amp;IF(Checks!$W$571="","",CHAR(10)&amp;"Batch: "&amp;Checks!$W$571)&amp;IF(AND(Checks!$X$571="",Checks!$Y$571=""),"",CHAR(10)&amp;"Exp: "&amp;Checks!$X$571&amp;"  /  Act: "&amp;Checks!$Y$571)</f>
        <v/>
      </c>
      <c r="F67" s="112" t="str">
        <f aca="false">IF(Checks!$Z$571="","","Evidence: "&amp;Checks!$Z$571)&amp;IF(Checks!$AA$571="","",IF(Checks!$Z$571="","",CHAR(10))&amp;"CA: "&amp;Checks!$AA$571)</f>
        <v/>
      </c>
      <c r="G67" s="112" t="str">
        <f aca="false">IF(ISNUMBER(Checks!$AD$571),TEXT(Checks!$AD$571,"DD-MMM-YY HH:MM")&amp;" "&amp;Checks!$P$571,"")&amp;IF(Checks!$AE$571="","",CHAR(10)&amp;"Verifier: "&amp;Checks!$AE$571)&amp;IF(Checks!$T$571="","",CHAR(10)&amp;"PIC: "&amp;Checks!$T$571)</f>
        <v/>
      </c>
      <c r="H67" s="113" t="str">
        <f aca="false">IF(Checks!$AH$571="","",Checks!$AH$571)</f>
        <v>OPEN</v>
      </c>
    </row>
    <row r="68" customFormat="false" ht="114" hidden="false" customHeight="true" outlineLevel="0" collapsed="false">
      <c r="A68" s="112" t="str">
        <f aca="false">Checks!$A$572&amp;CHAR(10)&amp;IF(Checks!$I$572="","",Checks!$I$572&amp;": ")&amp;Checks!$J$572</f>
        <v>F17-UPL-13
Seat Linen: Blanket (BS &amp; BC) - on board</v>
      </c>
      <c r="B68" s="112" t="str">
        <f aca="false">Checks!$K$572&amp;IF(Checks!$O$572="","",IF(Checks!$K$572="","",CHAR(10))&amp;"Note: "&amp;Checks!$O$572)</f>
        <v>Available 100% (ticked in reference)</v>
      </c>
      <c r="C68" s="112" t="str">
        <f aca="false">Checks!$N$572&amp;CHAR(10)&amp;IF(ISNUMBER(Checks!$R$572),TEXT(Checks!$R$572,"DD-MMM-YY HH:MM"),"")&amp;" "&amp;Checks!$P$572</f>
        <v>Required
27-Oct-26 14:50 HKG</v>
      </c>
      <c r="D68" s="112" t="str">
        <f aca="false">IF(Checks!$U$572="","",Checks!$U$572)&amp;IF(Checks!$AB$572="","",CHAR(10)&amp;"CA: "&amp;Checks!$AB$572)</f>
        <v/>
      </c>
      <c r="E68" s="112" t="str">
        <f aca="false">IF(Checks!$V$572="","",Checks!$V$572)&amp;IF(Checks!$AC$572="","",IF(Checks!$V$572="","",CHAR(10))&amp;"N/A just.: "&amp;Checks!$AC$572)&amp;IF(Checks!$W$572="","",CHAR(10)&amp;"Batch: "&amp;Checks!$W$572)&amp;IF(AND(Checks!$X$572="",Checks!$Y$572=""),"",CHAR(10)&amp;"Exp: "&amp;Checks!$X$572&amp;"  /  Act: "&amp;Checks!$Y$572)</f>
        <v/>
      </c>
      <c r="F68" s="112" t="str">
        <f aca="false">IF(Checks!$Z$572="","","Evidence: "&amp;Checks!$Z$572)&amp;IF(Checks!$AA$572="","",IF(Checks!$Z$572="","",CHAR(10))&amp;"CA: "&amp;Checks!$AA$572)</f>
        <v/>
      </c>
      <c r="G68" s="112" t="str">
        <f aca="false">IF(ISNUMBER(Checks!$AD$572),TEXT(Checks!$AD$572,"DD-MMM-YY HH:MM")&amp;" "&amp;Checks!$P$572,"")&amp;IF(Checks!$AE$572="","",CHAR(10)&amp;"Verifier: "&amp;Checks!$AE$572)&amp;IF(Checks!$T$572="","",CHAR(10)&amp;"PIC: "&amp;Checks!$T$572)</f>
        <v/>
      </c>
      <c r="H68" s="113" t="str">
        <f aca="false">IF(Checks!$AH$572="","",Checks!$AH$572)</f>
        <v>OPEN</v>
      </c>
    </row>
    <row r="69" customFormat="false" ht="147" hidden="false" customHeight="true" outlineLevel="0" collapsed="false">
      <c r="A69" s="112" t="str">
        <f aca="false">Checks!$A$573&amp;CHAR(10)&amp;IF(Checks!$I$573="","",Checks!$I$573&amp;": ")&amp;Checks!$J$573</f>
        <v>F17-UPL-14
Sales Cart: Sales cart (caterer MCAT) - on board</v>
      </c>
      <c r="B69" s="112"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2" t="str">
        <f aca="false">Checks!$N$573&amp;CHAR(10)&amp;IF(ISNUMBER(Checks!$R$573),TEXT(Checks!$R$573,"DD-MMM-YY HH:MM"),"")&amp;" "&amp;Checks!$P$573</f>
        <v>Clarification required
27-Oct-26 14:50 HKG</v>
      </c>
      <c r="D69" s="112" t="str">
        <f aca="false">IF(Checks!$U$573="","",Checks!$U$573)&amp;IF(Checks!$AB$573="","",CHAR(10)&amp;"CA: "&amp;Checks!$AB$573)</f>
        <v/>
      </c>
      <c r="E69" s="112" t="str">
        <f aca="false">IF(Checks!$V$573="","",Checks!$V$573)&amp;IF(Checks!$AC$573="","",IF(Checks!$V$573="","",CHAR(10))&amp;"N/A just.: "&amp;Checks!$AC$573)&amp;IF(Checks!$W$573="","",CHAR(10)&amp;"Batch: "&amp;Checks!$W$573)&amp;IF(AND(Checks!$X$573="",Checks!$Y$573=""),"",CHAR(10)&amp;"Exp: "&amp;Checks!$X$573&amp;"  /  Act: "&amp;Checks!$Y$573)</f>
        <v/>
      </c>
      <c r="F69" s="112" t="str">
        <f aca="false">IF(Checks!$Z$573="","","Evidence: "&amp;Checks!$Z$573)&amp;IF(Checks!$AA$573="","",IF(Checks!$Z$573="","",CHAR(10))&amp;"CA: "&amp;Checks!$AA$573)</f>
        <v/>
      </c>
      <c r="G69" s="112" t="str">
        <f aca="false">IF(ISNUMBER(Checks!$AD$573),TEXT(Checks!$AD$573,"DD-MMM-YY HH:MM")&amp;" "&amp;Checks!$P$573,"")&amp;IF(Checks!$AE$573="","",CHAR(10)&amp;"Verifier: "&amp;Checks!$AE$573)&amp;IF(Checks!$T$573="","",CHAR(10)&amp;"PIC: "&amp;Checks!$T$573)</f>
        <v/>
      </c>
      <c r="H69" s="113" t="str">
        <f aca="false">IF(Checks!$AH$573="","",Checks!$AH$573)</f>
        <v>OPEN – CLARIFICATION</v>
      </c>
    </row>
    <row r="71" customFormat="false" ht="24" hidden="false" customHeight="true" outlineLevel="0" collapsed="false">
      <c r="A71" s="114" t="s">
        <v>1647</v>
      </c>
      <c r="B71" s="114"/>
      <c r="C71" s="114"/>
      <c r="D71" s="114"/>
      <c r="E71" s="114" t="s">
        <v>1648</v>
      </c>
      <c r="F71" s="114"/>
      <c r="G71" s="114"/>
      <c r="H71" s="114"/>
    </row>
    <row r="72" customFormat="false" ht="21.75" hidden="false" customHeight="true" outlineLevel="0" collapsed="false">
      <c r="A72" s="115"/>
      <c r="B72" s="115"/>
      <c r="C72" s="115"/>
      <c r="D72" s="115"/>
      <c r="E72" s="115"/>
      <c r="F72" s="115"/>
      <c r="G72" s="115"/>
      <c r="H72" s="115"/>
    </row>
    <row r="73" customFormat="false" ht="21.75" hidden="false" customHeight="true" outlineLevel="0" collapsed="false">
      <c r="A73" s="115"/>
      <c r="B73" s="115"/>
      <c r="C73" s="115"/>
      <c r="D73" s="115"/>
      <c r="E73" s="115"/>
      <c r="F73" s="115"/>
      <c r="G73" s="115"/>
      <c r="H73" s="115"/>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9">
    <cfRule type="expression" priority="17" aboveAverage="0" equalAverage="0" bottom="0" percent="0" rank="0" text="" dxfId="34">
      <formula>LEFT($H24,3)="N/A"</formula>
    </cfRule>
  </conditionalFormatting>
  <conditionalFormatting sqref="D24:D6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F18  "&amp;Flights!$F$22&amp;"  "&amp;TEXT(Flights!$D$22,"DD-MMM-YY")&amp;" ("&amp;Flights!$E$22&amp;")  "&amp;Flights!$G$22&amp;" → "&amp;Flights!$H$22&amp;"  |  Class "&amp;Flights!$K$22</f>
        <v>SKYTRAX 2026 CATERING READINESS CHECKLIST  |  F18  MH0052  27-Oct-26 (TUE)  KUL → KIX  |  Class BC</v>
      </c>
      <c r="B1" s="90"/>
      <c r="C1" s="90"/>
      <c r="D1" s="90"/>
      <c r="E1" s="90"/>
      <c r="F1" s="90"/>
      <c r="G1" s="90"/>
      <c r="H1" s="90"/>
    </row>
    <row r="2" customFormat="false" ht="12.75" hidden="false" customHeight="true" outlineLevel="0" collapsed="false">
      <c r="A2" s="91" t="s">
        <v>1602</v>
      </c>
      <c r="B2" s="92" t="str">
        <f aca="false">Flights!$F$22&amp;"   "&amp;TEXT(Flights!$D$22,"DD-MMM-YY")&amp;" ("&amp;Flights!$E$22&amp;")"</f>
        <v>MH0052   27-Oct-26 (TUE)</v>
      </c>
      <c r="C2" s="92"/>
      <c r="D2" s="92"/>
      <c r="E2" s="93" t="s">
        <v>1603</v>
      </c>
      <c r="F2" s="94" t="str">
        <f aca="false">Flights!$AT$22</f>
        <v>NOT READY – DOCUMENTS</v>
      </c>
      <c r="G2" s="94"/>
      <c r="H2" s="94"/>
    </row>
    <row r="3" customFormat="false" ht="24" hidden="false" customHeight="true" outlineLevel="0" collapsed="false">
      <c r="A3" s="91" t="s">
        <v>1604</v>
      </c>
      <c r="B3" s="92" t="str">
        <f aca="false">Flights!$G$22&amp;" → "&amp;Flights!$H$22&amp;"   Class "&amp;Flights!$K$22&amp;"   Seat "&amp;Flights!$O$22</f>
        <v>KUL → KIX   Class BC   Seat 1D</v>
      </c>
      <c r="C3" s="92"/>
      <c r="D3" s="92"/>
      <c r="E3" s="93" t="s">
        <v>66</v>
      </c>
      <c r="F3" s="93" t="s">
        <v>1605</v>
      </c>
      <c r="G3" s="93" t="s">
        <v>1606</v>
      </c>
      <c r="H3" s="93"/>
    </row>
    <row r="4" customFormat="false" ht="24" hidden="false" customHeight="true" outlineLevel="0" collapsed="false">
      <c r="A4" s="91" t="s">
        <v>1607</v>
      </c>
      <c r="B4" s="92" t="str">
        <f aca="false">IF(ISNUMBER(Flights!$I$22),TEXT(Flights!$I$22,"DD-MMM-YY HH:MM"),"")&amp;" "&amp;Flights!$G$22&amp;"  →  "&amp;IF(ISNUMBER(Flights!$J$22),TEXT(Flights!$J$22,"DD-MMM-YY HH:MM"),"")&amp;" "&amp;Flights!$H$22</f>
        <v>27-Oct-26 22:25 KUL  →  28-Oct-26 05:55 KIX</v>
      </c>
      <c r="C4" s="92"/>
      <c r="D4" s="92"/>
      <c r="E4" s="91" t="s">
        <v>1608</v>
      </c>
      <c r="F4" s="95" t="str">
        <f aca="false">IF(ISNUMBER(Flights!$AG$22),TEXT(Flights!$AG$22,"DD-MMM-YY HH:MM"),"")&amp;" "&amp;Flights!$V$22</f>
        <v>20-Oct-26 22:25 KUL</v>
      </c>
      <c r="G4" s="96" t="n">
        <f aca="false">Flights!$AJ$22</f>
        <v>0</v>
      </c>
      <c r="H4" s="96"/>
    </row>
    <row r="5" customFormat="false" ht="24" hidden="false" customHeight="true" outlineLevel="0" collapsed="false">
      <c r="A5" s="91" t="s">
        <v>1609</v>
      </c>
      <c r="B5" s="92" t="str">
        <f aca="false">Flights!$L$22&amp;" – "&amp;Flights!$M$22</f>
        <v>A333 – A330-300 (A333)</v>
      </c>
      <c r="C5" s="92"/>
      <c r="D5" s="92"/>
      <c r="E5" s="91" t="s">
        <v>1610</v>
      </c>
      <c r="F5" s="95" t="str">
        <f aca="false">IF(ISNUMBER(Flights!$AH$22),TEXT(Flights!$AH$22,"DD-MMM-YY HH:MM"),"")&amp;" "&amp;Flights!$V$22</f>
        <v>26-Oct-26 22:25 KUL</v>
      </c>
      <c r="G5" s="96" t="n">
        <f aca="false">Flights!$AK$22</f>
        <v>0</v>
      </c>
      <c r="H5" s="96"/>
    </row>
    <row r="6" customFormat="false" ht="24" hidden="false" customHeight="true" outlineLevel="0" collapsed="false">
      <c r="A6" s="91" t="s">
        <v>1611</v>
      </c>
      <c r="B6" s="92" t="str">
        <f aca="false">IF(TRIM(Flights!$N$22)="","__________________",Flights!$N$22)</f>
        <v>__________________</v>
      </c>
      <c r="C6" s="92"/>
      <c r="D6" s="92"/>
      <c r="E6" s="91" t="s">
        <v>1612</v>
      </c>
      <c r="F6" s="95" t="str">
        <f aca="false">IF(ISNUMBER(Flights!$AI$22),TEXT(Flights!$AI$22,"DD-MMM-YY HH:MM"),"")&amp;" "&amp;Flights!$V$22&amp;IF(Flights!$AI$22=Flights!$AH$22,"  (= T-24H due)","")</f>
        <v>27-Oct-26 10:25 KUL</v>
      </c>
      <c r="G6" s="96" t="n">
        <f aca="false">Flights!$AL$22</f>
        <v>0</v>
      </c>
      <c r="H6" s="96"/>
    </row>
    <row r="7" customFormat="false" ht="24" hidden="false" customHeight="true" outlineLevel="0" collapsed="false">
      <c r="A7" s="91" t="s">
        <v>1613</v>
      </c>
      <c r="B7" s="92" t="str">
        <f aca="false">Flights!$T$22</f>
        <v>1.5 Meal (Meal)</v>
      </c>
      <c r="C7" s="92"/>
      <c r="D7" s="92"/>
      <c r="E7" s="91" t="s">
        <v>1614</v>
      </c>
      <c r="F7" s="95" t="str">
        <f aca="false">"STD "&amp;IF(ISNUMBER(Flights!$I$22),TEXT(Flights!$I$22,"DD-MMM-YY HH:MM"),"")&amp;" "&amp;Flights!$G$22&amp;" (dep stn)"</f>
        <v>STD 27-Oct-26 22:25 KUL (dep stn)</v>
      </c>
      <c r="G7" s="96" t="n">
        <f aca="false">Flights!$AM$22</f>
        <v>0</v>
      </c>
      <c r="H7" s="96"/>
    </row>
    <row r="8" customFormat="false" ht="12.75" hidden="false" customHeight="true" outlineLevel="0" collapsed="false">
      <c r="A8" s="91" t="s">
        <v>148</v>
      </c>
      <c r="B8" s="92" t="str">
        <f aca="false">Flights!$V$22&amp;"   (reference uplift stns: "&amp;Flights!$U$22&amp;")"</f>
        <v>KUL   (reference uplift stns: KUL/KIX)</v>
      </c>
      <c r="C8" s="92"/>
      <c r="D8" s="92"/>
      <c r="E8" s="91" t="s">
        <v>1615</v>
      </c>
      <c r="F8" s="97" t="s">
        <v>1616</v>
      </c>
      <c r="G8" s="96" t="n">
        <f aca="false">Flights!$AN$22</f>
        <v>0</v>
      </c>
      <c r="H8" s="96"/>
    </row>
    <row r="9" customFormat="false" ht="12.75" hidden="false" customHeight="true" outlineLevel="0" collapsed="false">
      <c r="A9" s="91" t="s">
        <v>1617</v>
      </c>
      <c r="B9" s="92" t="str">
        <f aca="false">TRIM(Flights!$P$22&amp;"  "&amp;Flights!$Q$22)</f>
        <v>3H 30M Overnight KIX</v>
      </c>
      <c r="C9" s="92"/>
      <c r="D9" s="92"/>
      <c r="E9" s="91" t="s">
        <v>1618</v>
      </c>
      <c r="F9" s="98" t="n">
        <f aca="false">Flights!$AP$22</f>
        <v>0</v>
      </c>
      <c r="G9" s="98" t="n">
        <f aca="false">Flights!$AQ$22</f>
        <v>0</v>
      </c>
      <c r="H9" s="98" t="n">
        <f aca="false">Flights!$AU$22</f>
        <v>0</v>
      </c>
    </row>
    <row r="10" customFormat="false" ht="24" hidden="false" customHeight="true" outlineLevel="0" collapsed="false">
      <c r="A10" s="91" t="s">
        <v>1619</v>
      </c>
      <c r="B10" s="92" t="str">
        <f aca="false">IF(TRIM(Flights!$X$22)="","__________________",Flights!$X$22)</f>
        <v>__________________</v>
      </c>
      <c r="C10" s="92"/>
      <c r="D10" s="92"/>
      <c r="E10" s="91" t="s">
        <v>1620</v>
      </c>
      <c r="F10" s="98" t="n">
        <f aca="false">Flights!$AO$22</f>
        <v>44</v>
      </c>
      <c r="G10" s="98" t="n">
        <f aca="false">Flights!$AS$22</f>
        <v>0</v>
      </c>
      <c r="H10" s="98" t="n">
        <f aca="false">Flights!$AR$22</f>
        <v>2</v>
      </c>
    </row>
    <row r="11" customFormat="false" ht="21" hidden="false" customHeight="true" outlineLevel="0" collapsed="false">
      <c r="A11" s="91" t="s">
        <v>1621</v>
      </c>
      <c r="B11" s="92" t="str">
        <f aca="false">IF(TRIM(Flights!$Y$22)="","__________________",Flights!$Y$22)</f>
        <v>__________________</v>
      </c>
      <c r="C11" s="92"/>
      <c r="D11" s="92"/>
      <c r="E11" s="91" t="s">
        <v>1622</v>
      </c>
      <c r="F11" s="98" t="str">
        <f aca="false">Flights!$AV$22&amp;" / "&amp;Flights!$AW$22</f>
        <v>0 / 44</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IF(Documents!$F$22="","",Documents!$F$22)</f>
        <v/>
      </c>
      <c r="C14" s="97" t="str">
        <f aca="false">IF(Documents!$G$22="","",Documents!$G$22)&amp;IF(ISNUMBER(Documents!$H$22),"  "&amp;TEXT(Documents!$H$22,"DD-MMM-YY"),"")</f>
        <v/>
      </c>
      <c r="D14" s="97"/>
      <c r="E14" s="105" t="str">
        <f aca="false">IF(Documents!$J$22="OUTSTANDING","OUTSTANDING – attach before T-7D (due "&amp;IF(ISNUMBER(Flights!$AG$22),TEXT(Flights!$AG$22,"DD-MMM-YY HH:MM"),"")&amp;" "&amp;Flights!$V$22&amp;")",IF(Documents!$J$22="","Status not recorded",Documents!$J$22))</f>
        <v>OUTSTANDING – attach before T-7D (due 20-Oct-26 22:25 KUL)</v>
      </c>
      <c r="F14" s="106" t="str">
        <f aca="false">"Staple behind this sheet as page A1."&amp;IF(Documents!$I$22="",""," Location: "&amp;Documents!$I$22)</f>
        <v>Staple behind this sheet as page A1.</v>
      </c>
      <c r="G14" s="106"/>
      <c r="H14" s="106"/>
    </row>
    <row r="15" customFormat="false" ht="36" hidden="false" customHeight="true" outlineLevel="0" collapsed="false">
      <c r="A15" s="91" t="s">
        <v>1633</v>
      </c>
      <c r="B15" s="92" t="str">
        <f aca="false">IF(Documents!$K$22="","",Documents!$K$22)</f>
        <v/>
      </c>
      <c r="C15" s="97" t="str">
        <f aca="false">IF(Documents!$L$22="","",Documents!$L$22)&amp;IF(ISNUMBER(Documents!$M$22),"  "&amp;TEXT(Documents!$M$22,"DD-MMM-YY"),"")</f>
        <v/>
      </c>
      <c r="D15" s="97"/>
      <c r="E15" s="105" t="str">
        <f aca="false">IF(Documents!$O$22="OUTSTANDING","OUTSTANDING – attach before T-7D (due "&amp;IF(ISNUMBER(Flights!$AG$22),TEXT(Flights!$AG$22,"DD-MMM-YY HH:MM"),"")&amp;" "&amp;Flights!$V$22&amp;")",IF(Documents!$O$22="","Status not recorded",Documents!$O$22))</f>
        <v>OUTSTANDING – attach before T-7D (due 20-Oct-26 22:25 KUL)</v>
      </c>
      <c r="F15" s="106" t="str">
        <f aca="false">"Staple behind this sheet as page A2."&amp;IF(Documents!$N$22="",""," Location: "&amp;Documents!$N$22)</f>
        <v>Staple behind this sheet as page A2.</v>
      </c>
      <c r="G15" s="106"/>
      <c r="H15" s="106"/>
    </row>
    <row r="16" customFormat="false" ht="22.5" hidden="false" customHeight="true" outlineLevel="0" collapsed="false">
      <c r="A16" s="91" t="s">
        <v>1634</v>
      </c>
      <c r="B16" s="107" t="str">
        <f aca="false">IF(Documents!$Q$22="","",Documents!$Q$22)</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"&amp;IF(TRIM(Flights!$Y$22)="","__________________",Flights!$Y$22)</f>
        <v>Name: __________________</v>
      </c>
      <c r="B18" s="92"/>
      <c r="C18" s="92" t="str">
        <f aca="false">"Name: __________________"</f>
        <v>Name: __________________</v>
      </c>
      <c r="D18" s="92"/>
      <c r="E18" s="92"/>
      <c r="F18" s="92" t="str">
        <f aca="false">"Name: __________________"&amp;"   Station: "&amp;Flights!$V$22</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Checks!$A$574&amp;CHAR(10)&amp;IF(Checks!$I$574="","",Checks!$I$574&amp;": ")&amp;Checks!$J$574</f>
        <v>F18-T7-01
Meal: Meal sensory testing completed for this flight's menu cycle (assessed class)</v>
      </c>
      <c r="B23" s="112" t="str">
        <f aca="false">Checks!$K$574&amp;IF(Checks!$O$574="","",IF(Checks!$K$574="","",CHAR(10))&amp;"Note: "&amp;Checks!$O$574)</f>
        <v>Record panel result / score in Result</v>
      </c>
      <c r="C23" s="112" t="str">
        <f aca="false">Checks!$N$574&amp;CHAR(10)&amp;IF(ISNUMBER(Checks!$R$574),TEXT(Checks!$R$574,"DD-MMM-YY HH:MM"),"")&amp;" "&amp;Checks!$P$574</f>
        <v>Required
20-Oct-26 22:25 KUL</v>
      </c>
      <c r="D23" s="112" t="str">
        <f aca="false">IF(Checks!$U$574="","",Checks!$U$574)&amp;IF(Checks!$AB$574="","",CHAR(10)&amp;"CA: "&amp;Checks!$AB$574)</f>
        <v/>
      </c>
      <c r="E23" s="112" t="str">
        <f aca="false">IF(Checks!$V$574="","",Checks!$V$574)&amp;IF(Checks!$AC$574="","",IF(Checks!$V$574="","",CHAR(10))&amp;"N/A just.: "&amp;Checks!$AC$574)&amp;IF(Checks!$W$574="","",CHAR(10)&amp;"Batch: "&amp;Checks!$W$574)&amp;IF(AND(Checks!$X$574="",Checks!$Y$574=""),"",CHAR(10)&amp;"Exp: "&amp;Checks!$X$574&amp;"  /  Act: "&amp;Checks!$Y$574)</f>
        <v/>
      </c>
      <c r="F23" s="112" t="str">
        <f aca="false">IF(Checks!$Z$574="","","Evidence: "&amp;Checks!$Z$574)&amp;IF(Checks!$AA$574="","",IF(Checks!$Z$574="","",CHAR(10))&amp;"CA: "&amp;Checks!$AA$574)</f>
        <v/>
      </c>
      <c r="G23" s="112" t="str">
        <f aca="false">IF(ISNUMBER(Checks!$AD$574),TEXT(Checks!$AD$574,"DD-MMM-YY HH:MM")&amp;" "&amp;Checks!$P$574,"")&amp;IF(Checks!$AE$574="","",CHAR(10)&amp;"Verifier: "&amp;Checks!$AE$574)&amp;IF(Checks!$T$574="","",CHAR(10)&amp;"PIC: "&amp;Checks!$T$574)</f>
        <v/>
      </c>
      <c r="H23" s="113" t="str">
        <f aca="false">IF(Checks!$AH$574="","",Checks!$AH$574)</f>
        <v>OPEN</v>
      </c>
    </row>
    <row r="24" customFormat="false" ht="114" hidden="false" customHeight="true" outlineLevel="0" collapsed="false">
      <c r="A24" s="112" t="str">
        <f aca="false">Checks!$A$575&amp;CHAR(10)&amp;IF(Checks!$I$575="","",Checks!$I$575&amp;": ")&amp;Checks!$J$575</f>
        <v>F18-T7-02
Menu: Printed menu cards confirmed (content, cycle, language, quantity)</v>
      </c>
      <c r="B24" s="112" t="str">
        <f aca="false">Checks!$K$575&amp;IF(Checks!$O$575="","",IF(Checks!$K$575="","",CHAR(10))&amp;"Note: "&amp;Checks!$O$575)</f>
        <v>Menu card matches approved menu for this flight</v>
      </c>
      <c r="C24" s="112" t="str">
        <f aca="false">Checks!$N$575&amp;CHAR(10)&amp;IF(ISNUMBER(Checks!$R$575),TEXT(Checks!$R$575,"DD-MMM-YY HH:MM"),"")&amp;" "&amp;Checks!$P$575</f>
        <v>Required
20-Oct-26 22:25 KUL</v>
      </c>
      <c r="D24" s="112" t="str">
        <f aca="false">IF(Checks!$U$575="","",Checks!$U$575)&amp;IF(Checks!$AB$575="","",CHAR(10)&amp;"CA: "&amp;Checks!$AB$575)</f>
        <v/>
      </c>
      <c r="E24" s="112" t="str">
        <f aca="false">IF(Checks!$V$575="","",Checks!$V$575)&amp;IF(Checks!$AC$575="","",IF(Checks!$V$575="","",CHAR(10))&amp;"N/A just.: "&amp;Checks!$AC$575)&amp;IF(Checks!$W$575="","",CHAR(10)&amp;"Batch: "&amp;Checks!$W$575)&amp;IF(AND(Checks!$X$575="",Checks!$Y$575=""),"",CHAR(10)&amp;"Exp: "&amp;Checks!$X$575&amp;"  /  Act: "&amp;Checks!$Y$575)</f>
        <v/>
      </c>
      <c r="F24" s="112" t="str">
        <f aca="false">IF(Checks!$Z$575="","","Evidence: "&amp;Checks!$Z$575)&amp;IF(Checks!$AA$575="","",IF(Checks!$Z$575="","",CHAR(10))&amp;"CA: "&amp;Checks!$AA$575)</f>
        <v/>
      </c>
      <c r="G24" s="112" t="str">
        <f aca="false">IF(ISNUMBER(Checks!$AD$575),TEXT(Checks!$AD$575,"DD-MMM-YY HH:MM")&amp;" "&amp;Checks!$P$575,"")&amp;IF(Checks!$AE$575="","",CHAR(10)&amp;"Verifier: "&amp;Checks!$AE$575)&amp;IF(Checks!$T$575="","",CHAR(10)&amp;"PIC: "&amp;Checks!$T$575)</f>
        <v/>
      </c>
      <c r="H24" s="113" t="str">
        <f aca="false">IF(Checks!$AH$575="","",Checks!$AH$575)</f>
        <v>OPEN</v>
      </c>
    </row>
    <row r="25" customFormat="false" ht="114" hidden="false" customHeight="true" outlineLevel="0" collapsed="false">
      <c r="A25" s="112" t="str">
        <f aca="false">Checks!$A$576&amp;CHAR(10)&amp;IF(Checks!$I$576="","",Checks!$I$576&amp;": ")&amp;Checks!$J$576</f>
        <v>F18-T7-03
IFE: Digital menu in IFE confirmed (A339 only)</v>
      </c>
      <c r="B25" s="112" t="str">
        <f aca="false">Checks!$K$576&amp;IF(Checks!$O$576="","",IF(Checks!$K$576="","",CHAR(10))&amp;"Note: "&amp;Checks!$O$576)</f>
        <v>Applies when fleet = A339
Note: Digital IFE menu applies to A339 only (user brief). Applicability follows the Fleet cell on Flights.</v>
      </c>
      <c r="C25" s="112" t="str">
        <f aca="false">Checks!$N$576&amp;CHAR(10)&amp;IF(ISNUMBER(Checks!$R$576),TEXT(Checks!$R$576,"DD-MMM-YY HH:MM"),"")&amp;" "&amp;Checks!$P$576</f>
        <v>N/A – rule
20-Oct-26 22:25 KUL</v>
      </c>
      <c r="D25" s="112" t="str">
        <f aca="false">IF(Checks!$U$576="","",Checks!$U$576)&amp;IF(Checks!$AB$576="","",CHAR(10)&amp;"CA: "&amp;Checks!$AB$576)</f>
        <v/>
      </c>
      <c r="E25" s="112" t="str">
        <f aca="false">IF(Checks!$V$576="","",Checks!$V$576)&amp;IF(Checks!$AC$576="","",IF(Checks!$V$576="","",CHAR(10))&amp;"N/A just.: "&amp;Checks!$AC$576)&amp;IF(Checks!$W$576="","",CHAR(10)&amp;"Batch: "&amp;Checks!$W$576)&amp;IF(AND(Checks!$X$576="",Checks!$Y$576=""),"",CHAR(10)&amp;"Exp: "&amp;Checks!$X$576&amp;"  /  Act: "&amp;Checks!$Y$576)</f>
        <v/>
      </c>
      <c r="F25" s="112" t="str">
        <f aca="false">IF(Checks!$Z$576="","","Evidence: "&amp;Checks!$Z$576)&amp;IF(Checks!$AA$576="","",IF(Checks!$Z$576="","",CHAR(10))&amp;"CA: "&amp;Checks!$AA$576)</f>
        <v/>
      </c>
      <c r="G25" s="112" t="str">
        <f aca="false">IF(ISNUMBER(Checks!$AD$576),TEXT(Checks!$AD$576,"DD-MMM-YY HH:MM")&amp;" "&amp;Checks!$P$576,"")&amp;IF(Checks!$AE$576="","",CHAR(10)&amp;"Verifier: "&amp;Checks!$AE$576)&amp;IF(Checks!$T$576="","",CHAR(10)&amp;"PIC: "&amp;Checks!$T$576)</f>
        <v/>
      </c>
      <c r="H25" s="113" t="str">
        <f aca="false">IF(Checks!$AH$576="","",Checks!$AH$576)</f>
        <v>N/A – RULE</v>
      </c>
    </row>
    <row r="26" customFormat="false" ht="114" hidden="false" customHeight="true" outlineLevel="0" collapsed="false">
      <c r="A26" s="112" t="str">
        <f aca="false">Checks!$A$577&amp;CHAR(10)&amp;IF(Checks!$I$577="","",Checks!$I$577&amp;": ")&amp;Checks!$J$577</f>
        <v>F18-T7-04
Staffing: Experienced catering officer assigned to this flight</v>
      </c>
      <c r="B26" s="112" t="str">
        <f aca="false">Checks!$K$577&amp;IF(Checks!$O$577="","",IF(Checks!$K$577="","",CHAR(10))&amp;"Note: "&amp;Checks!$O$577)</f>
        <v>Record officer name in Result</v>
      </c>
      <c r="C26" s="112" t="str">
        <f aca="false">Checks!$N$577&amp;CHAR(10)&amp;IF(ISNUMBER(Checks!$R$577),TEXT(Checks!$R$577,"DD-MMM-YY HH:MM"),"")&amp;" "&amp;Checks!$P$577</f>
        <v>Required
20-Oct-26 22:25 KUL</v>
      </c>
      <c r="D26" s="112" t="str">
        <f aca="false">IF(Checks!$U$577="","",Checks!$U$577)&amp;IF(Checks!$AB$577="","",CHAR(10)&amp;"CA: "&amp;Checks!$AB$577)</f>
        <v/>
      </c>
      <c r="E26" s="112" t="str">
        <f aca="false">IF(Checks!$V$577="","",Checks!$V$577)&amp;IF(Checks!$AC$577="","",IF(Checks!$V$577="","",CHAR(10))&amp;"N/A just.: "&amp;Checks!$AC$577)&amp;IF(Checks!$W$577="","",CHAR(10)&amp;"Batch: "&amp;Checks!$W$577)&amp;IF(AND(Checks!$X$577="",Checks!$Y$577=""),"",CHAR(10)&amp;"Exp: "&amp;Checks!$X$577&amp;"  /  Act: "&amp;Checks!$Y$577)</f>
        <v/>
      </c>
      <c r="F26" s="112" t="str">
        <f aca="false">IF(Checks!$Z$577="","","Evidence: "&amp;Checks!$Z$577)&amp;IF(Checks!$AA$577="","",IF(Checks!$Z$577="","",CHAR(10))&amp;"CA: "&amp;Checks!$AA$577)</f>
        <v/>
      </c>
      <c r="G26" s="112" t="str">
        <f aca="false">IF(ISNUMBER(Checks!$AD$577),TEXT(Checks!$AD$577,"DD-MMM-YY HH:MM")&amp;" "&amp;Checks!$P$577,"")&amp;IF(Checks!$AE$577="","",CHAR(10)&amp;"Verifier: "&amp;Checks!$AE$577)&amp;IF(Checks!$T$577="","",CHAR(10)&amp;"PIC: "&amp;Checks!$T$577)</f>
        <v/>
      </c>
      <c r="H26" s="113" t="str">
        <f aca="false">IF(Checks!$AH$577="","",Checks!$AH$577)</f>
        <v>OPEN</v>
      </c>
    </row>
    <row r="27" customFormat="false" ht="114" hidden="false" customHeight="true" outlineLevel="0" collapsed="false">
      <c r="A27" s="112" t="str">
        <f aca="false">Checks!$A$578&amp;CHAR(10)&amp;IF(Checks!$I$578="","",Checks!$I$578&amp;": ")&amp;Checks!$J$578</f>
        <v>F18-T7-05
ISOP: All latest applicable ISOP revisions communicated to caterer</v>
      </c>
      <c r="B27" s="112" t="str">
        <f aca="false">Checks!$K$578&amp;IF(Checks!$O$578="","",IF(Checks!$K$578="","",CHAR(10))&amp;"Note: "&amp;Checks!$O$578)</f>
        <v>List revision numbers in Result (see ISOP register)</v>
      </c>
      <c r="C27" s="112" t="str">
        <f aca="false">Checks!$N$578&amp;CHAR(10)&amp;IF(ISNUMBER(Checks!$R$578),TEXT(Checks!$R$578,"DD-MMM-YY HH:MM"),"")&amp;" "&amp;Checks!$P$578</f>
        <v>Required
20-Oct-26 22:25 KUL</v>
      </c>
      <c r="D27" s="112" t="str">
        <f aca="false">IF(Checks!$U$578="","",Checks!$U$578)&amp;IF(Checks!$AB$578="","",CHAR(10)&amp;"CA: "&amp;Checks!$AB$578)</f>
        <v/>
      </c>
      <c r="E27" s="112" t="str">
        <f aca="false">IF(Checks!$V$578="","",Checks!$V$578)&amp;IF(Checks!$AC$578="","",IF(Checks!$V$578="","",CHAR(10))&amp;"N/A just.: "&amp;Checks!$AC$578)&amp;IF(Checks!$W$578="","",CHAR(10)&amp;"Batch: "&amp;Checks!$W$578)&amp;IF(AND(Checks!$X$578="",Checks!$Y$578=""),"",CHAR(10)&amp;"Exp: "&amp;Checks!$X$578&amp;"  /  Act: "&amp;Checks!$Y$578)</f>
        <v/>
      </c>
      <c r="F27" s="112" t="str">
        <f aca="false">IF(Checks!$Z$578="","","Evidence: "&amp;Checks!$Z$578)&amp;IF(Checks!$AA$578="","",IF(Checks!$Z$578="","",CHAR(10))&amp;"CA: "&amp;Checks!$AA$578)</f>
        <v/>
      </c>
      <c r="G27" s="112" t="str">
        <f aca="false">IF(ISNUMBER(Checks!$AD$578),TEXT(Checks!$AD$578,"DD-MMM-YY HH:MM")&amp;" "&amp;Checks!$P$578,"")&amp;IF(Checks!$AE$578="","",CHAR(10)&amp;"Verifier: "&amp;Checks!$AE$578)&amp;IF(Checks!$T$578="","",CHAR(10)&amp;"PIC: "&amp;Checks!$T$578)</f>
        <v/>
      </c>
      <c r="H27" s="113" t="str">
        <f aca="false">IF(Checks!$AH$578="","",Checks!$AH$578)</f>
        <v>OPEN</v>
      </c>
    </row>
    <row r="28" customFormat="false" ht="114" hidden="false" customHeight="true" outlineLevel="0" collapsed="false">
      <c r="A28" s="112" t="str">
        <f aca="false">Checks!$A$579&amp;CHAR(10)&amp;IF(Checks!$I$579="","",Checks!$I$579&amp;": ")&amp;Checks!$J$579</f>
        <v>F18-T7-06
ISOP: Caterer acknowledgement of ISOP revisions recorded</v>
      </c>
      <c r="B28" s="112" t="str">
        <f aca="false">Checks!$K$579&amp;IF(Checks!$O$579="","",IF(Checks!$K$579="","",CHAR(10))&amp;"Note: "&amp;Checks!$O$579)</f>
        <v>Record acknowledgement ref in Evidence</v>
      </c>
      <c r="C28" s="112" t="str">
        <f aca="false">Checks!$N$579&amp;CHAR(10)&amp;IF(ISNUMBER(Checks!$R$579),TEXT(Checks!$R$579,"DD-MMM-YY HH:MM"),"")&amp;" "&amp;Checks!$P$579</f>
        <v>Required
20-Oct-26 22:25 KUL</v>
      </c>
      <c r="D28" s="112" t="str">
        <f aca="false">IF(Checks!$U$579="","",Checks!$U$579)&amp;IF(Checks!$AB$579="","",CHAR(10)&amp;"CA: "&amp;Checks!$AB$579)</f>
        <v/>
      </c>
      <c r="E28" s="112" t="str">
        <f aca="false">IF(Checks!$V$579="","",Checks!$V$579)&amp;IF(Checks!$AC$579="","",IF(Checks!$V$579="","",CHAR(10))&amp;"N/A just.: "&amp;Checks!$AC$579)&amp;IF(Checks!$W$579="","",CHAR(10)&amp;"Batch: "&amp;Checks!$W$579)&amp;IF(AND(Checks!$X$579="",Checks!$Y$579=""),"",CHAR(10)&amp;"Exp: "&amp;Checks!$X$579&amp;"  /  Act: "&amp;Checks!$Y$579)</f>
        <v/>
      </c>
      <c r="F28" s="112" t="str">
        <f aca="false">IF(Checks!$Z$579="","","Evidence: "&amp;Checks!$Z$579)&amp;IF(Checks!$AA$579="","",IF(Checks!$Z$579="","",CHAR(10))&amp;"CA: "&amp;Checks!$AA$579)</f>
        <v/>
      </c>
      <c r="G28" s="112" t="str">
        <f aca="false">IF(ISNUMBER(Checks!$AD$579),TEXT(Checks!$AD$579,"DD-MMM-YY HH:MM")&amp;" "&amp;Checks!$P$579,"")&amp;IF(Checks!$AE$579="","",CHAR(10)&amp;"Verifier: "&amp;Checks!$AE$579)&amp;IF(Checks!$T$579="","",CHAR(10)&amp;"PIC: "&amp;Checks!$T$579)</f>
        <v/>
      </c>
      <c r="H28" s="113" t="str">
        <f aca="false">IF(Checks!$AH$579="","",Checks!$AH$579)</f>
        <v>OPEN</v>
      </c>
    </row>
    <row r="29" customFormat="false" ht="114" hidden="false" customHeight="true" outlineLevel="0" collapsed="false">
      <c r="A29" s="112" t="str">
        <f aca="false">Checks!$A$580&amp;CHAR(10)&amp;IF(Checks!$I$580="","",Checks!$I$580&amp;": ")&amp;Checks!$J$580</f>
        <v>F18-T7-07
Documents: Galley loading diagram (GLD) received, revision recorded &amp; attached</v>
      </c>
      <c r="B29" s="112" t="str">
        <f aca="false">Checks!$K$580&amp;IF(Checks!$O$580="","",IF(Checks!$K$580="","",CHAR(10))&amp;"Note: "&amp;Checks!$O$580)</f>
        <v>Documents sheet row complete</v>
      </c>
      <c r="C29" s="112" t="str">
        <f aca="false">Checks!$N$580&amp;CHAR(10)&amp;IF(ISNUMBER(Checks!$R$580),TEXT(Checks!$R$580,"DD-MMM-YY HH:MM"),"")&amp;" "&amp;Checks!$P$580</f>
        <v>Required
20-Oct-26 22:25 KUL</v>
      </c>
      <c r="D29" s="112" t="str">
        <f aca="false">IF(Checks!$U$580="","",Checks!$U$580)&amp;IF(Checks!$AB$580="","",CHAR(10)&amp;"CA: "&amp;Checks!$AB$580)</f>
        <v/>
      </c>
      <c r="E29" s="112" t="str">
        <f aca="false">IF(Checks!$V$580="","",Checks!$V$580)&amp;IF(Checks!$AC$580="","",IF(Checks!$V$580="","",CHAR(10))&amp;"N/A just.: "&amp;Checks!$AC$580)&amp;IF(Checks!$W$580="","",CHAR(10)&amp;"Batch: "&amp;Checks!$W$580)&amp;IF(AND(Checks!$X$580="",Checks!$Y$580=""),"",CHAR(10)&amp;"Exp: "&amp;Checks!$X$580&amp;"  /  Act: "&amp;Checks!$Y$580)</f>
        <v/>
      </c>
      <c r="F29" s="112" t="str">
        <f aca="false">IF(Checks!$Z$580="","","Evidence: "&amp;Checks!$Z$580)&amp;IF(Checks!$AA$580="","",IF(Checks!$Z$580="","",CHAR(10))&amp;"CA: "&amp;Checks!$AA$580)</f>
        <v/>
      </c>
      <c r="G29" s="112" t="str">
        <f aca="false">IF(ISNUMBER(Checks!$AD$580),TEXT(Checks!$AD$580,"DD-MMM-YY HH:MM")&amp;" "&amp;Checks!$P$580,"")&amp;IF(Checks!$AE$580="","",CHAR(10)&amp;"Verifier: "&amp;Checks!$AE$580)&amp;IF(Checks!$T$580="","",CHAR(10)&amp;"PIC: "&amp;Checks!$T$580)</f>
        <v/>
      </c>
      <c r="H29" s="113" t="str">
        <f aca="false">IF(Checks!$AH$580="","",Checks!$AH$580)</f>
        <v>OPEN</v>
      </c>
    </row>
    <row r="30" customFormat="false" ht="114" hidden="false" customHeight="true" outlineLevel="0" collapsed="false">
      <c r="A30" s="112" t="str">
        <f aca="false">Checks!$A$581&amp;CHAR(10)&amp;IF(Checks!$I$581="","",Checks!$I$581&amp;": ")&amp;Checks!$J$581</f>
        <v>F18-T7-08
Documents: Menu checklist received, revision recorded &amp; attached</v>
      </c>
      <c r="B30" s="112" t="str">
        <f aca="false">Checks!$K$581&amp;IF(Checks!$O$581="","",IF(Checks!$K$581="","",CHAR(10))&amp;"Note: "&amp;Checks!$O$581)</f>
        <v>Documents sheet row complete</v>
      </c>
      <c r="C30" s="112" t="str">
        <f aca="false">Checks!$N$581&amp;CHAR(10)&amp;IF(ISNUMBER(Checks!$R$581),TEXT(Checks!$R$581,"DD-MMM-YY HH:MM"),"")&amp;" "&amp;Checks!$P$581</f>
        <v>Required
20-Oct-26 22:25 KUL</v>
      </c>
      <c r="D30" s="112" t="str">
        <f aca="false">IF(Checks!$U$581="","",Checks!$U$581)&amp;IF(Checks!$AB$581="","",CHAR(10)&amp;"CA: "&amp;Checks!$AB$581)</f>
        <v/>
      </c>
      <c r="E30" s="112" t="str">
        <f aca="false">IF(Checks!$V$581="","",Checks!$V$581)&amp;IF(Checks!$AC$581="","",IF(Checks!$V$581="","",CHAR(10))&amp;"N/A just.: "&amp;Checks!$AC$581)&amp;IF(Checks!$W$581="","",CHAR(10)&amp;"Batch: "&amp;Checks!$W$581)&amp;IF(AND(Checks!$X$581="",Checks!$Y$581=""),"",CHAR(10)&amp;"Exp: "&amp;Checks!$X$581&amp;"  /  Act: "&amp;Checks!$Y$581)</f>
        <v/>
      </c>
      <c r="F30" s="112" t="str">
        <f aca="false">IF(Checks!$Z$581="","","Evidence: "&amp;Checks!$Z$581)&amp;IF(Checks!$AA$581="","",IF(Checks!$Z$581="","",CHAR(10))&amp;"CA: "&amp;Checks!$AA$581)</f>
        <v/>
      </c>
      <c r="G30" s="112" t="str">
        <f aca="false">IF(ISNUMBER(Checks!$AD$581),TEXT(Checks!$AD$581,"DD-MMM-YY HH:MM")&amp;" "&amp;Checks!$P$581,"")&amp;IF(Checks!$AE$581="","",CHAR(10)&amp;"Verifier: "&amp;Checks!$AE$581)&amp;IF(Checks!$T$581="","",CHAR(10)&amp;"PIC: "&amp;Checks!$T$581)</f>
        <v/>
      </c>
      <c r="H30" s="113" t="str">
        <f aca="false">IF(Checks!$AH$581="","",Checks!$AH$581)</f>
        <v>OPEN</v>
      </c>
    </row>
    <row r="31" customFormat="false" ht="114" hidden="false" customHeight="true" outlineLevel="0" collapsed="false">
      <c r="A31" s="112" t="str">
        <f aca="false">Checks!$A$582&amp;CHAR(10)&amp;IF(Checks!$I$582="","",Checks!$I$582&amp;": ")&amp;Checks!$J$582</f>
        <v>F18-T7-09
Uplift plan: Uplift plan confirmed with caterer vs STD Uplift Information</v>
      </c>
      <c r="B31" s="112" t="str">
        <f aca="false">Checks!$K$582&amp;IF(Checks!$O$582="","",IF(Checks!$K$582="","",CHAR(10))&amp;"Note: "&amp;Checks!$O$582)</f>
        <v>Service: 1.5 Meal (Meal); meal uplift stn KUL (ref lists KUL/KIX)</v>
      </c>
      <c r="C31" s="112" t="str">
        <f aca="false">Checks!$N$582&amp;CHAR(10)&amp;IF(ISNUMBER(Checks!$R$582),TEXT(Checks!$R$582,"DD-MMM-YY HH:MM"),"")&amp;" "&amp;Checks!$P$582</f>
        <v>Required
20-Oct-26 22:25 KUL</v>
      </c>
      <c r="D31" s="112" t="str">
        <f aca="false">IF(Checks!$U$582="","",Checks!$U$582)&amp;IF(Checks!$AB$582="","",CHAR(10)&amp;"CA: "&amp;Checks!$AB$582)</f>
        <v/>
      </c>
      <c r="E31" s="112" t="str">
        <f aca="false">IF(Checks!$V$582="","",Checks!$V$582)&amp;IF(Checks!$AC$582="","",IF(Checks!$V$582="","",CHAR(10))&amp;"N/A just.: "&amp;Checks!$AC$582)&amp;IF(Checks!$W$582="","",CHAR(10)&amp;"Batch: "&amp;Checks!$W$582)&amp;IF(AND(Checks!$X$582="",Checks!$Y$582=""),"",CHAR(10)&amp;"Exp: "&amp;Checks!$X$582&amp;"  /  Act: "&amp;Checks!$Y$582)</f>
        <v/>
      </c>
      <c r="F31" s="112" t="str">
        <f aca="false">IF(Checks!$Z$582="","","Evidence: "&amp;Checks!$Z$582)&amp;IF(Checks!$AA$582="","",IF(Checks!$Z$582="","",CHAR(10))&amp;"CA: "&amp;Checks!$AA$582)</f>
        <v/>
      </c>
      <c r="G31" s="112" t="str">
        <f aca="false">IF(ISNUMBER(Checks!$AD$582),TEXT(Checks!$AD$582,"DD-MMM-YY HH:MM")&amp;" "&amp;Checks!$P$582,"")&amp;IF(Checks!$AE$582="","",CHAR(10)&amp;"Verifier: "&amp;Checks!$AE$582)&amp;IF(Checks!$T$582="","",CHAR(10)&amp;"PIC: "&amp;Checks!$T$582)</f>
        <v/>
      </c>
      <c r="H31" s="113" t="str">
        <f aca="false">IF(Checks!$AH$582="","",Checks!$AH$582)</f>
        <v>OPEN</v>
      </c>
    </row>
    <row r="32" customFormat="false" ht="25.5" hidden="false" customHeight="true" outlineLevel="0" collapsed="false">
      <c r="A32" s="111"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Checks!$A$583&amp;CHAR(10)&amp;IF(Checks!$I$583="","",Checks!$I$583&amp;": ")&amp;Checks!$J$583</f>
        <v>F18-T24-01
Meal: Sensory test repeated on ACTUAL production batch for this flight</v>
      </c>
      <c r="B33" s="112" t="str">
        <f aca="false">Checks!$K$583&amp;IF(Checks!$O$583="","",IF(Checks!$K$583="","",CHAR(10))&amp;"Note: "&amp;Checks!$O$583)</f>
        <v>Batch ID, result, CA and acceptance mandatory</v>
      </c>
      <c r="C33" s="112" t="str">
        <f aca="false">Checks!$N$583&amp;CHAR(10)&amp;IF(ISNUMBER(Checks!$R$583),TEXT(Checks!$R$583,"DD-MMM-YY HH:MM"),"")&amp;" "&amp;Checks!$P$583</f>
        <v>Required
26-Oct-26 22:25 KUL</v>
      </c>
      <c r="D33" s="112" t="str">
        <f aca="false">IF(Checks!$U$583="","",Checks!$U$583)&amp;IF(Checks!$AB$583="","",CHAR(10)&amp;"CA: "&amp;Checks!$AB$583)</f>
        <v/>
      </c>
      <c r="E33" s="112" t="str">
        <f aca="false">IF(Checks!$V$583="","",Checks!$V$583)&amp;IF(Checks!$AC$583="","",IF(Checks!$V$583="","",CHAR(10))&amp;"N/A just.: "&amp;Checks!$AC$583)&amp;IF(Checks!$W$583="","",CHAR(10)&amp;"Batch: "&amp;Checks!$W$583)&amp;IF(AND(Checks!$X$583="",Checks!$Y$583=""),"",CHAR(10)&amp;"Exp: "&amp;Checks!$X$583&amp;"  /  Act: "&amp;Checks!$Y$583)</f>
        <v/>
      </c>
      <c r="F33" s="112" t="str">
        <f aca="false">IF(Checks!$Z$583="","","Evidence: "&amp;Checks!$Z$583)&amp;IF(Checks!$AA$583="","",IF(Checks!$Z$583="","",CHAR(10))&amp;"CA: "&amp;Checks!$AA$583)</f>
        <v/>
      </c>
      <c r="G33" s="112" t="str">
        <f aca="false">IF(ISNUMBER(Checks!$AD$583),TEXT(Checks!$AD$583,"DD-MMM-YY HH:MM")&amp;" "&amp;Checks!$P$583,"")&amp;IF(Checks!$AE$583="","",CHAR(10)&amp;"Verifier: "&amp;Checks!$AE$583)&amp;IF(Checks!$T$583="","",CHAR(10)&amp;"PIC: "&amp;Checks!$T$583)</f>
        <v/>
      </c>
      <c r="H33" s="113" t="str">
        <f aca="false">IF(Checks!$AH$583="","",Checks!$AH$583)</f>
        <v>OPEN</v>
      </c>
    </row>
    <row r="34" customFormat="false" ht="25.5" hidden="false" customHeight="true" outlineLevel="0" collapsed="false">
      <c r="A34" s="111"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1"/>
      <c r="C34" s="111"/>
      <c r="D34" s="111"/>
      <c r="E34" s="111"/>
      <c r="F34" s="111"/>
      <c r="G34" s="111"/>
      <c r="H34" s="111"/>
    </row>
    <row r="35" customFormat="false" ht="114" hidden="false" customHeight="true" outlineLevel="0" collapsed="false">
      <c r="A35" s="112" t="str">
        <f aca="false">Checks!$A$584&amp;CHAR(10)&amp;IF(Checks!$I$584="","",Checks!$I$584&amp;": ")&amp;Checks!$J$584</f>
        <v>F18-T12-01
Meal: Meal quality vs menu checklist</v>
      </c>
      <c r="B35" s="112" t="str">
        <f aca="false">Checks!$K$584&amp;IF(Checks!$O$584="","",IF(Checks!$K$584="","",CHAR(10))&amp;"Note: "&amp;Checks!$O$584)</f>
        <v>Note: Preparation check at caterer - does NOT confirm loading.</v>
      </c>
      <c r="C35" s="112" t="str">
        <f aca="false">Checks!$N$584&amp;CHAR(10)&amp;IF(ISNUMBER(Checks!$R$584),TEXT(Checks!$R$584,"DD-MMM-YY HH:MM"),"")&amp;" "&amp;Checks!$P$584</f>
        <v>Required
27-Oct-26 10:25 KUL</v>
      </c>
      <c r="D35" s="112" t="str">
        <f aca="false">IF(Checks!$U$584="","",Checks!$U$584)&amp;IF(Checks!$AB$584="","",CHAR(10)&amp;"CA: "&amp;Checks!$AB$584)</f>
        <v/>
      </c>
      <c r="E35" s="112" t="str">
        <f aca="false">IF(Checks!$V$584="","",Checks!$V$584)&amp;IF(Checks!$AC$584="","",IF(Checks!$V$584="","",CHAR(10))&amp;"N/A just.: "&amp;Checks!$AC$584)&amp;IF(Checks!$W$584="","",CHAR(10)&amp;"Batch: "&amp;Checks!$W$584)&amp;IF(AND(Checks!$X$584="",Checks!$Y$584=""),"",CHAR(10)&amp;"Exp: "&amp;Checks!$X$584&amp;"  /  Act: "&amp;Checks!$Y$584)</f>
        <v/>
      </c>
      <c r="F35" s="112" t="str">
        <f aca="false">IF(Checks!$Z$584="","","Evidence: "&amp;Checks!$Z$584)&amp;IF(Checks!$AA$584="","",IF(Checks!$Z$584="","",CHAR(10))&amp;"CA: "&amp;Checks!$AA$584)</f>
        <v/>
      </c>
      <c r="G35" s="112" t="str">
        <f aca="false">IF(ISNUMBER(Checks!$AD$584),TEXT(Checks!$AD$584,"DD-MMM-YY HH:MM")&amp;" "&amp;Checks!$P$584,"")&amp;IF(Checks!$AE$584="","",CHAR(10)&amp;"Verifier: "&amp;Checks!$AE$584)&amp;IF(Checks!$T$584="","",CHAR(10)&amp;"PIC: "&amp;Checks!$T$584)</f>
        <v/>
      </c>
      <c r="H35" s="113" t="str">
        <f aca="false">IF(Checks!$AH$584="","",Checks!$AH$584)</f>
        <v>OPEN</v>
      </c>
    </row>
    <row r="36" customFormat="false" ht="114" hidden="false" customHeight="true" outlineLevel="0" collapsed="false">
      <c r="A36" s="112" t="str">
        <f aca="false">Checks!$A$585&amp;CHAR(10)&amp;IF(Checks!$I$585="","",Checks!$I$585&amp;": ")&amp;Checks!$J$585</f>
        <v>F18-T12-02
Meal: Meal quantities vs menu checklist</v>
      </c>
      <c r="B36" s="112" t="str">
        <f aca="false">Checks!$K$585&amp;IF(Checks!$O$585="","",IF(Checks!$K$585="","",CHAR(10))&amp;"Note: "&amp;Checks!$O$585)</f>
        <v>Enter expected &amp; actual
Note: Preparation check at caterer - does NOT confirm loading.</v>
      </c>
      <c r="C36" s="112" t="str">
        <f aca="false">Checks!$N$585&amp;CHAR(10)&amp;IF(ISNUMBER(Checks!$R$585),TEXT(Checks!$R$585,"DD-MMM-YY HH:MM"),"")&amp;" "&amp;Checks!$P$585</f>
        <v>Required
27-Oct-26 10:25 KUL</v>
      </c>
      <c r="D36" s="112" t="str">
        <f aca="false">IF(Checks!$U$585="","",Checks!$U$585)&amp;IF(Checks!$AB$585="","",CHAR(10)&amp;"CA: "&amp;Checks!$AB$585)</f>
        <v/>
      </c>
      <c r="E36" s="112" t="str">
        <f aca="false">IF(Checks!$V$585="","",Checks!$V$585)&amp;IF(Checks!$AC$585="","",IF(Checks!$V$585="","",CHAR(10))&amp;"N/A just.: "&amp;Checks!$AC$585)&amp;IF(Checks!$W$585="","",CHAR(10)&amp;"Batch: "&amp;Checks!$W$585)&amp;IF(AND(Checks!$X$585="",Checks!$Y$585=""),"",CHAR(10)&amp;"Exp: "&amp;Checks!$X$585&amp;"  /  Act: "&amp;Checks!$Y$585)</f>
        <v/>
      </c>
      <c r="F36" s="112" t="str">
        <f aca="false">IF(Checks!$Z$585="","","Evidence: "&amp;Checks!$Z$585)&amp;IF(Checks!$AA$585="","",IF(Checks!$Z$585="","",CHAR(10))&amp;"CA: "&amp;Checks!$AA$585)</f>
        <v/>
      </c>
      <c r="G36" s="112" t="str">
        <f aca="false">IF(ISNUMBER(Checks!$AD$585),TEXT(Checks!$AD$585,"DD-MMM-YY HH:MM")&amp;" "&amp;Checks!$P$585,"")&amp;IF(Checks!$AE$585="","",CHAR(10)&amp;"Verifier: "&amp;Checks!$AE$585)&amp;IF(Checks!$T$585="","",CHAR(10)&amp;"PIC: "&amp;Checks!$T$585)</f>
        <v/>
      </c>
      <c r="H36" s="113" t="str">
        <f aca="false">IF(Checks!$AH$585="","",Checks!$AH$585)</f>
        <v>OPEN</v>
      </c>
    </row>
    <row r="37" customFormat="false" ht="114" hidden="false" customHeight="true" outlineLevel="0" collapsed="false">
      <c r="A37" s="112" t="str">
        <f aca="false">Checks!$A$586&amp;CHAR(10)&amp;IF(Checks!$I$586="","",Checks!$I$586&amp;": ")&amp;Checks!$J$586</f>
        <v>F18-T12-03
Equipment: Equipment cleanliness vs GLD</v>
      </c>
      <c r="B37" s="112" t="str">
        <f aca="false">Checks!$K$586&amp;IF(Checks!$O$586="","",IF(Checks!$K$586="","",CHAR(10))&amp;"Note: "&amp;Checks!$O$586)</f>
        <v>Note: Preparation check at caterer - does NOT confirm loading.</v>
      </c>
      <c r="C37" s="112" t="str">
        <f aca="false">Checks!$N$586&amp;CHAR(10)&amp;IF(ISNUMBER(Checks!$R$586),TEXT(Checks!$R$586,"DD-MMM-YY HH:MM"),"")&amp;" "&amp;Checks!$P$586</f>
        <v>Required
27-Oct-26 10:25 KUL</v>
      </c>
      <c r="D37" s="112" t="str">
        <f aca="false">IF(Checks!$U$586="","",Checks!$U$586)&amp;IF(Checks!$AB$586="","",CHAR(10)&amp;"CA: "&amp;Checks!$AB$586)</f>
        <v/>
      </c>
      <c r="E37" s="112" t="str">
        <f aca="false">IF(Checks!$V$586="","",Checks!$V$586)&amp;IF(Checks!$AC$586="","",IF(Checks!$V$586="","",CHAR(10))&amp;"N/A just.: "&amp;Checks!$AC$586)&amp;IF(Checks!$W$586="","",CHAR(10)&amp;"Batch: "&amp;Checks!$W$586)&amp;IF(AND(Checks!$X$586="",Checks!$Y$586=""),"",CHAR(10)&amp;"Exp: "&amp;Checks!$X$586&amp;"  /  Act: "&amp;Checks!$Y$586)</f>
        <v/>
      </c>
      <c r="F37" s="112" t="str">
        <f aca="false">IF(Checks!$Z$586="","","Evidence: "&amp;Checks!$Z$586)&amp;IF(Checks!$AA$586="","",IF(Checks!$Z$586="","",CHAR(10))&amp;"CA: "&amp;Checks!$AA$586)</f>
        <v/>
      </c>
      <c r="G37" s="112" t="str">
        <f aca="false">IF(ISNUMBER(Checks!$AD$586),TEXT(Checks!$AD$586,"DD-MMM-YY HH:MM")&amp;" "&amp;Checks!$P$586,"")&amp;IF(Checks!$AE$586="","",CHAR(10)&amp;"Verifier: "&amp;Checks!$AE$586)&amp;IF(Checks!$T$586="","",CHAR(10)&amp;"PIC: "&amp;Checks!$T$586)</f>
        <v/>
      </c>
      <c r="H37" s="113" t="str">
        <f aca="false">IF(Checks!$AH$586="","",Checks!$AH$586)</f>
        <v>OPEN</v>
      </c>
    </row>
    <row r="38" customFormat="false" ht="114" hidden="false" customHeight="true" outlineLevel="0" collapsed="false">
      <c r="A38" s="112" t="str">
        <f aca="false">Checks!$A$587&amp;CHAR(10)&amp;IF(Checks!$I$587="","",Checks!$I$587&amp;": ")&amp;Checks!$J$587</f>
        <v>F18-T12-04
Equipment: Equipment presentation vs GLD</v>
      </c>
      <c r="B38" s="112" t="str">
        <f aca="false">Checks!$K$587&amp;IF(Checks!$O$587="","",IF(Checks!$K$587="","",CHAR(10))&amp;"Note: "&amp;Checks!$O$587)</f>
        <v>Note: Preparation check at caterer - does NOT confirm loading.</v>
      </c>
      <c r="C38" s="112" t="str">
        <f aca="false">Checks!$N$587&amp;CHAR(10)&amp;IF(ISNUMBER(Checks!$R$587),TEXT(Checks!$R$587,"DD-MMM-YY HH:MM"),"")&amp;" "&amp;Checks!$P$587</f>
        <v>Required
27-Oct-26 10:25 KUL</v>
      </c>
      <c r="D38" s="112" t="str">
        <f aca="false">IF(Checks!$U$587="","",Checks!$U$587)&amp;IF(Checks!$AB$587="","",CHAR(10)&amp;"CA: "&amp;Checks!$AB$587)</f>
        <v/>
      </c>
      <c r="E38" s="112" t="str">
        <f aca="false">IF(Checks!$V$587="","",Checks!$V$587)&amp;IF(Checks!$AC$587="","",IF(Checks!$V$587="","",CHAR(10))&amp;"N/A just.: "&amp;Checks!$AC$587)&amp;IF(Checks!$W$587="","",CHAR(10)&amp;"Batch: "&amp;Checks!$W$587)&amp;IF(AND(Checks!$X$587="",Checks!$Y$587=""),"",CHAR(10)&amp;"Exp: "&amp;Checks!$X$587&amp;"  /  Act: "&amp;Checks!$Y$587)</f>
        <v/>
      </c>
      <c r="F38" s="112" t="str">
        <f aca="false">IF(Checks!$Z$587="","","Evidence: "&amp;Checks!$Z$587)&amp;IF(Checks!$AA$587="","",IF(Checks!$Z$587="","",CHAR(10))&amp;"CA: "&amp;Checks!$AA$587)</f>
        <v/>
      </c>
      <c r="G38" s="112" t="str">
        <f aca="false">IF(ISNUMBER(Checks!$AD$587),TEXT(Checks!$AD$587,"DD-MMM-YY HH:MM")&amp;" "&amp;Checks!$P$587,"")&amp;IF(Checks!$AE$587="","",CHAR(10)&amp;"Verifier: "&amp;Checks!$AE$587)&amp;IF(Checks!$T$587="","",CHAR(10)&amp;"PIC: "&amp;Checks!$T$587)</f>
        <v/>
      </c>
      <c r="H38" s="113" t="str">
        <f aca="false">IF(Checks!$AH$587="","",Checks!$AH$587)</f>
        <v>OPEN</v>
      </c>
    </row>
    <row r="39" customFormat="false" ht="114" hidden="false" customHeight="true" outlineLevel="0" collapsed="false">
      <c r="A39" s="112" t="str">
        <f aca="false">Checks!$A$588&amp;CHAR(10)&amp;IF(Checks!$I$588="","",Checks!$I$588&amp;": ")&amp;Checks!$J$588</f>
        <v>F18-T12-05
Equipment: Equipment serviceability vs GLD</v>
      </c>
      <c r="B39" s="112" t="str">
        <f aca="false">Checks!$K$588&amp;IF(Checks!$O$588="","",IF(Checks!$K$588="","",CHAR(10))&amp;"Note: "&amp;Checks!$O$588)</f>
        <v>Note: Preparation check at caterer - does NOT confirm loading.</v>
      </c>
      <c r="C39" s="112" t="str">
        <f aca="false">Checks!$N$588&amp;CHAR(10)&amp;IF(ISNUMBER(Checks!$R$588),TEXT(Checks!$R$588,"DD-MMM-YY HH:MM"),"")&amp;" "&amp;Checks!$P$588</f>
        <v>Required
27-Oct-26 10:25 KUL</v>
      </c>
      <c r="D39" s="112" t="str">
        <f aca="false">IF(Checks!$U$588="","",Checks!$U$588)&amp;IF(Checks!$AB$588="","",CHAR(10)&amp;"CA: "&amp;Checks!$AB$588)</f>
        <v/>
      </c>
      <c r="E39" s="112" t="str">
        <f aca="false">IF(Checks!$V$588="","",Checks!$V$588)&amp;IF(Checks!$AC$588="","",IF(Checks!$V$588="","",CHAR(10))&amp;"N/A just.: "&amp;Checks!$AC$588)&amp;IF(Checks!$W$588="","",CHAR(10)&amp;"Batch: "&amp;Checks!$W$588)&amp;IF(AND(Checks!$X$588="",Checks!$Y$588=""),"",CHAR(10)&amp;"Exp: "&amp;Checks!$X$588&amp;"  /  Act: "&amp;Checks!$Y$588)</f>
        <v/>
      </c>
      <c r="F39" s="112" t="str">
        <f aca="false">IF(Checks!$Z$588="","","Evidence: "&amp;Checks!$Z$588)&amp;IF(Checks!$AA$588="","",IF(Checks!$Z$588="","",CHAR(10))&amp;"CA: "&amp;Checks!$AA$588)</f>
        <v/>
      </c>
      <c r="G39" s="112" t="str">
        <f aca="false">IF(ISNUMBER(Checks!$AD$588),TEXT(Checks!$AD$588,"DD-MMM-YY HH:MM")&amp;" "&amp;Checks!$P$588,"")&amp;IF(Checks!$AE$588="","",CHAR(10)&amp;"Verifier: "&amp;Checks!$AE$588)&amp;IF(Checks!$T$588="","",CHAR(10)&amp;"PIC: "&amp;Checks!$T$588)</f>
        <v/>
      </c>
      <c r="H39" s="113" t="str">
        <f aca="false">IF(Checks!$AH$588="","",Checks!$AH$588)</f>
        <v>OPEN</v>
      </c>
    </row>
    <row r="40" customFormat="false" ht="201.75" hidden="false" customHeight="true" outlineLevel="0" collapsed="false">
      <c r="A40" s="112" t="str">
        <f aca="false">Checks!$A$589&amp;CHAR(10)&amp;IF(Checks!$I$589="","",Checks!$I$589&amp;": ")&amp;Checks!$J$589</f>
        <v>F18-T12-06
Equipment: Equipment quantities vs GLD</v>
      </c>
      <c r="B40" s="112"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2" t="str">
        <f aca="false">Checks!$N$589&amp;CHAR(10)&amp;IF(ISNUMBER(Checks!$R$589),TEXT(Checks!$R$589,"DD-MMM-YY HH:MM"),"")&amp;" "&amp;Checks!$P$589</f>
        <v>Required
27-Oct-26 10:25 KUL</v>
      </c>
      <c r="D40" s="112" t="str">
        <f aca="false">IF(Checks!$U$589="","",Checks!$U$589)&amp;IF(Checks!$AB$589="","",CHAR(10)&amp;"CA: "&amp;Checks!$AB$589)</f>
        <v/>
      </c>
      <c r="E40" s="112" t="str">
        <f aca="false">IF(Checks!$V$589="","",Checks!$V$589)&amp;IF(Checks!$AC$589="","",IF(Checks!$V$589="","",CHAR(10))&amp;"N/A just.: "&amp;Checks!$AC$589)&amp;IF(Checks!$W$589="","",CHAR(10)&amp;"Batch: "&amp;Checks!$W$589)&amp;IF(AND(Checks!$X$589="",Checks!$Y$589=""),"",CHAR(10)&amp;"Exp: "&amp;Checks!$X$589&amp;"  /  Act: "&amp;Checks!$Y$589)</f>
        <v/>
      </c>
      <c r="F40" s="112" t="str">
        <f aca="false">IF(Checks!$Z$589="","","Evidence: "&amp;Checks!$Z$589)&amp;IF(Checks!$AA$589="","",IF(Checks!$Z$589="","",CHAR(10))&amp;"CA: "&amp;Checks!$AA$589)</f>
        <v/>
      </c>
      <c r="G40" s="112" t="str">
        <f aca="false">IF(ISNUMBER(Checks!$AD$589),TEXT(Checks!$AD$589,"DD-MMM-YY HH:MM")&amp;" "&amp;Checks!$P$589,"")&amp;IF(Checks!$AE$589="","",CHAR(10)&amp;"Verifier: "&amp;Checks!$AE$589)&amp;IF(Checks!$T$589="","",CHAR(10)&amp;"PIC: "&amp;Checks!$T$589)</f>
        <v/>
      </c>
      <c r="H40" s="113" t="str">
        <f aca="false">IF(Checks!$AH$589="","",Checks!$AH$589)</f>
        <v>OPEN</v>
      </c>
    </row>
    <row r="41" customFormat="false" ht="114" hidden="false" customHeight="true" outlineLevel="0" collapsed="false">
      <c r="A41" s="112" t="str">
        <f aca="false">Checks!$A$590&amp;CHAR(10)&amp;IF(Checks!$I$590="","",Checks!$I$590&amp;": ")&amp;Checks!$J$590</f>
        <v>F18-T12-07
Equipment: Loading positions planned vs GLD</v>
      </c>
      <c r="B41" s="112" t="str">
        <f aca="false">Checks!$K$590&amp;IF(Checks!$O$590="","",IF(Checks!$K$590="","",CHAR(10))&amp;"Note: "&amp;Checks!$O$590)</f>
        <v>Note: Preparation check at caterer - does NOT confirm loading.</v>
      </c>
      <c r="C41" s="112" t="str">
        <f aca="false">Checks!$N$590&amp;CHAR(10)&amp;IF(ISNUMBER(Checks!$R$590),TEXT(Checks!$R$590,"DD-MMM-YY HH:MM"),"")&amp;" "&amp;Checks!$P$590</f>
        <v>Required
27-Oct-26 10:25 KUL</v>
      </c>
      <c r="D41" s="112" t="str">
        <f aca="false">IF(Checks!$U$590="","",Checks!$U$590)&amp;IF(Checks!$AB$590="","",CHAR(10)&amp;"CA: "&amp;Checks!$AB$590)</f>
        <v/>
      </c>
      <c r="E41" s="112" t="str">
        <f aca="false">IF(Checks!$V$590="","",Checks!$V$590)&amp;IF(Checks!$AC$590="","",IF(Checks!$V$590="","",CHAR(10))&amp;"N/A just.: "&amp;Checks!$AC$590)&amp;IF(Checks!$W$590="","",CHAR(10)&amp;"Batch: "&amp;Checks!$W$590)&amp;IF(AND(Checks!$X$590="",Checks!$Y$590=""),"",CHAR(10)&amp;"Exp: "&amp;Checks!$X$590&amp;"  /  Act: "&amp;Checks!$Y$590)</f>
        <v/>
      </c>
      <c r="F41" s="112" t="str">
        <f aca="false">IF(Checks!$Z$590="","","Evidence: "&amp;Checks!$Z$590)&amp;IF(Checks!$AA$590="","",IF(Checks!$Z$590="","",CHAR(10))&amp;"CA: "&amp;Checks!$AA$590)</f>
        <v/>
      </c>
      <c r="G41" s="112" t="str">
        <f aca="false">IF(ISNUMBER(Checks!$AD$590),TEXT(Checks!$AD$590,"DD-MMM-YY HH:MM")&amp;" "&amp;Checks!$P$590,"")&amp;IF(Checks!$AE$590="","",CHAR(10)&amp;"Verifier: "&amp;Checks!$AE$590)&amp;IF(Checks!$T$590="","",CHAR(10)&amp;"PIC: "&amp;Checks!$T$590)</f>
        <v/>
      </c>
      <c r="H41" s="113" t="str">
        <f aca="false">IF(Checks!$AH$590="","",Checks!$AH$590)</f>
        <v>OPEN</v>
      </c>
    </row>
    <row r="42" customFormat="false" ht="114" hidden="false" customHeight="true" outlineLevel="0" collapsed="false">
      <c r="A42" s="112" t="str">
        <f aca="false">Checks!$A$591&amp;CHAR(10)&amp;IF(Checks!$I$591="","",Checks!$I$591&amp;": ")&amp;Checks!$J$591</f>
        <v>F18-T12-08
Amenities: Slippers (BS/BC) - prepared</v>
      </c>
      <c r="B42" s="112" t="str">
        <f aca="false">Checks!$K$591&amp;IF(Checks!$O$591="","",IF(Checks!$K$591="","",CHAR(10))&amp;"Note: "&amp;Checks!$O$591)</f>
        <v>Available (ticked in reference)</v>
      </c>
      <c r="C42" s="112" t="str">
        <f aca="false">Checks!$N$591&amp;CHAR(10)&amp;IF(ISNUMBER(Checks!$R$591),TEXT(Checks!$R$591,"DD-MMM-YY HH:MM"),"")&amp;" "&amp;Checks!$P$591</f>
        <v>Required
27-Oct-26 10:25 KUL</v>
      </c>
      <c r="D42" s="112" t="str">
        <f aca="false">IF(Checks!$U$591="","",Checks!$U$591)&amp;IF(Checks!$AB$591="","",CHAR(10)&amp;"CA: "&amp;Checks!$AB$591)</f>
        <v/>
      </c>
      <c r="E42" s="112" t="str">
        <f aca="false">IF(Checks!$V$591="","",Checks!$V$591)&amp;IF(Checks!$AC$591="","",IF(Checks!$V$591="","",CHAR(10))&amp;"N/A just.: "&amp;Checks!$AC$591)&amp;IF(Checks!$W$591="","",CHAR(10)&amp;"Batch: "&amp;Checks!$W$591)&amp;IF(AND(Checks!$X$591="",Checks!$Y$591=""),"",CHAR(10)&amp;"Exp: "&amp;Checks!$X$591&amp;"  /  Act: "&amp;Checks!$Y$591)</f>
        <v/>
      </c>
      <c r="F42" s="112" t="str">
        <f aca="false">IF(Checks!$Z$591="","","Evidence: "&amp;Checks!$Z$591)&amp;IF(Checks!$AA$591="","",IF(Checks!$Z$591="","",CHAR(10))&amp;"CA: "&amp;Checks!$AA$591)</f>
        <v/>
      </c>
      <c r="G42" s="112" t="str">
        <f aca="false">IF(ISNUMBER(Checks!$AD$591),TEXT(Checks!$AD$591,"DD-MMM-YY HH:MM")&amp;" "&amp;Checks!$P$591,"")&amp;IF(Checks!$AE$591="","",CHAR(10)&amp;"Verifier: "&amp;Checks!$AE$591)&amp;IF(Checks!$T$591="","",CHAR(10)&amp;"PIC: "&amp;Checks!$T$591)</f>
        <v/>
      </c>
      <c r="H42" s="113" t="str">
        <f aca="false">IF(Checks!$AH$591="","",Checks!$AH$591)</f>
        <v>OPEN</v>
      </c>
    </row>
    <row r="43" customFormat="false" ht="114" hidden="false" customHeight="true" outlineLevel="0" collapsed="false">
      <c r="A43" s="112" t="str">
        <f aca="false">Checks!$A$592&amp;CHAR(10)&amp;IF(Checks!$I$592="","",Checks!$I$592&amp;": ")&amp;Checks!$J$592</f>
        <v>F18-T12-09
F&amp;B Linen: Towel - prepared</v>
      </c>
      <c r="B43" s="112" t="str">
        <f aca="false">Checks!$K$592&amp;IF(Checks!$O$592="","",IF(Checks!$K$592="","",CHAR(10))&amp;"Note: "&amp;Checks!$O$592)</f>
        <v>Available (ticked in reference)
Note: Reference gives no uplift stn for this item: preparation checked at the meal uplift stn (KUL) - confirm with caterer.</v>
      </c>
      <c r="C43" s="112" t="str">
        <f aca="false">Checks!$N$592&amp;CHAR(10)&amp;IF(ISNUMBER(Checks!$R$592),TEXT(Checks!$R$592,"DD-MMM-YY HH:MM"),"")&amp;" "&amp;Checks!$P$592</f>
        <v>Required
27-Oct-26 10:25 KUL</v>
      </c>
      <c r="D43" s="112" t="str">
        <f aca="false">IF(Checks!$U$592="","",Checks!$U$592)&amp;IF(Checks!$AB$592="","",CHAR(10)&amp;"CA: "&amp;Checks!$AB$592)</f>
        <v/>
      </c>
      <c r="E43" s="112" t="str">
        <f aca="false">IF(Checks!$V$592="","",Checks!$V$592)&amp;IF(Checks!$AC$592="","",IF(Checks!$V$592="","",CHAR(10))&amp;"N/A just.: "&amp;Checks!$AC$592)&amp;IF(Checks!$W$592="","",CHAR(10)&amp;"Batch: "&amp;Checks!$W$592)&amp;IF(AND(Checks!$X$592="",Checks!$Y$592=""),"",CHAR(10)&amp;"Exp: "&amp;Checks!$X$592&amp;"  /  Act: "&amp;Checks!$Y$592)</f>
        <v/>
      </c>
      <c r="F43" s="112" t="str">
        <f aca="false">IF(Checks!$Z$592="","","Evidence: "&amp;Checks!$Z$592)&amp;IF(Checks!$AA$592="","",IF(Checks!$Z$592="","",CHAR(10))&amp;"CA: "&amp;Checks!$AA$592)</f>
        <v/>
      </c>
      <c r="G43" s="112" t="str">
        <f aca="false">IF(ISNUMBER(Checks!$AD$592),TEXT(Checks!$AD$592,"DD-MMM-YY HH:MM")&amp;" "&amp;Checks!$P$592,"")&amp;IF(Checks!$AE$592="","",CHAR(10)&amp;"Verifier: "&amp;Checks!$AE$592)&amp;IF(Checks!$T$592="","",CHAR(10)&amp;"PIC: "&amp;Checks!$T$592)</f>
        <v/>
      </c>
      <c r="H43" s="113" t="str">
        <f aca="false">IF(Checks!$AH$592="","",Checks!$AH$592)</f>
        <v>OPEN</v>
      </c>
    </row>
    <row r="44" customFormat="false" ht="114" hidden="false" customHeight="true" outlineLevel="0" collapsed="false">
      <c r="A44" s="112" t="str">
        <f aca="false">Checks!$A$593&amp;CHAR(10)&amp;IF(Checks!$I$593="","",Checks!$I$593&amp;": ")&amp;Checks!$J$593</f>
        <v>F18-T12-10
F&amp;B Linen: Tray cloth - prepared</v>
      </c>
      <c r="B44" s="112" t="str">
        <f aca="false">Checks!$K$593&amp;IF(Checks!$O$593="","",IF(Checks!$K$593="","",CHAR(10))&amp;"Note: "&amp;Checks!$O$593)</f>
        <v>Available (ticked in reference)
Note: Reference gives no uplift stn for this item: preparation checked at the meal uplift stn (KUL) - confirm with caterer.</v>
      </c>
      <c r="C44" s="112" t="str">
        <f aca="false">Checks!$N$593&amp;CHAR(10)&amp;IF(ISNUMBER(Checks!$R$593),TEXT(Checks!$R$593,"DD-MMM-YY HH:MM"),"")&amp;" "&amp;Checks!$P$593</f>
        <v>Required
27-Oct-26 10:25 KUL</v>
      </c>
      <c r="D44" s="112" t="str">
        <f aca="false">IF(Checks!$U$593="","",Checks!$U$593)&amp;IF(Checks!$AB$593="","",CHAR(10)&amp;"CA: "&amp;Checks!$AB$593)</f>
        <v/>
      </c>
      <c r="E44" s="112" t="str">
        <f aca="false">IF(Checks!$V$593="","",Checks!$V$593)&amp;IF(Checks!$AC$593="","",IF(Checks!$V$593="","",CHAR(10))&amp;"N/A just.: "&amp;Checks!$AC$593)&amp;IF(Checks!$W$593="","",CHAR(10)&amp;"Batch: "&amp;Checks!$W$593)&amp;IF(AND(Checks!$X$593="",Checks!$Y$593=""),"",CHAR(10)&amp;"Exp: "&amp;Checks!$X$593&amp;"  /  Act: "&amp;Checks!$Y$593)</f>
        <v/>
      </c>
      <c r="F44" s="112" t="str">
        <f aca="false">IF(Checks!$Z$593="","","Evidence: "&amp;Checks!$Z$593)&amp;IF(Checks!$AA$593="","",IF(Checks!$Z$593="","",CHAR(10))&amp;"CA: "&amp;Checks!$AA$593)</f>
        <v/>
      </c>
      <c r="G44" s="112" t="str">
        <f aca="false">IF(ISNUMBER(Checks!$AD$593),TEXT(Checks!$AD$593,"DD-MMM-YY HH:MM")&amp;" "&amp;Checks!$P$593,"")&amp;IF(Checks!$AE$593="","",CHAR(10)&amp;"Verifier: "&amp;Checks!$AE$593)&amp;IF(Checks!$T$593="","",CHAR(10)&amp;"PIC: "&amp;Checks!$T$593)</f>
        <v/>
      </c>
      <c r="H44" s="113" t="str">
        <f aca="false">IF(Checks!$AH$593="","",Checks!$AH$593)</f>
        <v>OPEN</v>
      </c>
    </row>
    <row r="45" customFormat="false" ht="114" hidden="false" customHeight="true" outlineLevel="0" collapsed="false">
      <c r="A45" s="112" t="str">
        <f aca="false">Checks!$A$594&amp;CHAR(10)&amp;IF(Checks!$I$594="","",Checks!$I$594&amp;": ")&amp;Checks!$J$594</f>
        <v>F18-T12-11
F&amp;B Linen: Napkin - prepared</v>
      </c>
      <c r="B45" s="112" t="str">
        <f aca="false">Checks!$K$594&amp;IF(Checks!$O$594="","",IF(Checks!$K$594="","",CHAR(10))&amp;"Note: "&amp;Checks!$O$594)</f>
        <v>Available (ticked in reference)
Note: Reference gives no uplift stn for this item: preparation checked at the meal uplift stn (KUL) - confirm with caterer.</v>
      </c>
      <c r="C45" s="112" t="str">
        <f aca="false">Checks!$N$594&amp;CHAR(10)&amp;IF(ISNUMBER(Checks!$R$594),TEXT(Checks!$R$594,"DD-MMM-YY HH:MM"),"")&amp;" "&amp;Checks!$P$594</f>
        <v>Required
27-Oct-26 10:25 KUL</v>
      </c>
      <c r="D45" s="112" t="str">
        <f aca="false">IF(Checks!$U$594="","",Checks!$U$594)&amp;IF(Checks!$AB$594="","",CHAR(10)&amp;"CA: "&amp;Checks!$AB$594)</f>
        <v/>
      </c>
      <c r="E45" s="112" t="str">
        <f aca="false">IF(Checks!$V$594="","",Checks!$V$594)&amp;IF(Checks!$AC$594="","",IF(Checks!$V$594="","",CHAR(10))&amp;"N/A just.: "&amp;Checks!$AC$594)&amp;IF(Checks!$W$594="","",CHAR(10)&amp;"Batch: "&amp;Checks!$W$594)&amp;IF(AND(Checks!$X$594="",Checks!$Y$594=""),"",CHAR(10)&amp;"Exp: "&amp;Checks!$X$594&amp;"  /  Act: "&amp;Checks!$Y$594)</f>
        <v/>
      </c>
      <c r="F45" s="112" t="str">
        <f aca="false">IF(Checks!$Z$594="","","Evidence: "&amp;Checks!$Z$594)&amp;IF(Checks!$AA$594="","",IF(Checks!$Z$594="","",CHAR(10))&amp;"CA: "&amp;Checks!$AA$594)</f>
        <v/>
      </c>
      <c r="G45" s="112" t="str">
        <f aca="false">IF(ISNUMBER(Checks!$AD$594),TEXT(Checks!$AD$594,"DD-MMM-YY HH:MM")&amp;" "&amp;Checks!$P$594,"")&amp;IF(Checks!$AE$594="","",CHAR(10)&amp;"Verifier: "&amp;Checks!$AE$594)&amp;IF(Checks!$T$594="","",CHAR(10)&amp;"PIC: "&amp;Checks!$T$594)</f>
        <v/>
      </c>
      <c r="H45" s="113" t="str">
        <f aca="false">IF(Checks!$AH$594="","",Checks!$AH$594)</f>
        <v>OPEN</v>
      </c>
    </row>
    <row r="46" customFormat="false" ht="114" hidden="false" customHeight="true" outlineLevel="0" collapsed="false">
      <c r="A46" s="112" t="str">
        <f aca="false">Checks!$A$595&amp;CHAR(10)&amp;IF(Checks!$I$595="","",Checks!$I$595&amp;": ")&amp;Checks!$J$595</f>
        <v>F18-T12-12
F&amp;B Linen: Table cloth - prepared</v>
      </c>
      <c r="B46" s="112" t="str">
        <f aca="false">Checks!$K$595&amp;IF(Checks!$O$595="","",IF(Checks!$K$595="","",CHAR(10))&amp;"Note: "&amp;Checks!$O$595)</f>
        <v>Available (ticked in reference)
Note: Reference gives no uplift stn for this item: preparation checked at the meal uplift stn (KUL) - confirm with caterer.</v>
      </c>
      <c r="C46" s="112" t="str">
        <f aca="false">Checks!$N$595&amp;CHAR(10)&amp;IF(ISNUMBER(Checks!$R$595),TEXT(Checks!$R$595,"DD-MMM-YY HH:MM"),"")&amp;" "&amp;Checks!$P$595</f>
        <v>Required
27-Oct-26 10:25 KUL</v>
      </c>
      <c r="D46" s="112" t="str">
        <f aca="false">IF(Checks!$U$595="","",Checks!$U$595)&amp;IF(Checks!$AB$595="","",CHAR(10)&amp;"CA: "&amp;Checks!$AB$595)</f>
        <v/>
      </c>
      <c r="E46" s="112" t="str">
        <f aca="false">IF(Checks!$V$595="","",Checks!$V$595)&amp;IF(Checks!$AC$595="","",IF(Checks!$V$595="","",CHAR(10))&amp;"N/A just.: "&amp;Checks!$AC$595)&amp;IF(Checks!$W$595="","",CHAR(10)&amp;"Batch: "&amp;Checks!$W$595)&amp;IF(AND(Checks!$X$595="",Checks!$Y$595=""),"",CHAR(10)&amp;"Exp: "&amp;Checks!$X$595&amp;"  /  Act: "&amp;Checks!$Y$595)</f>
        <v/>
      </c>
      <c r="F46" s="112" t="str">
        <f aca="false">IF(Checks!$Z$595="","","Evidence: "&amp;Checks!$Z$595)&amp;IF(Checks!$AA$595="","",IF(Checks!$Z$595="","",CHAR(10))&amp;"CA: "&amp;Checks!$AA$595)</f>
        <v/>
      </c>
      <c r="G46" s="112" t="str">
        <f aca="false">IF(ISNUMBER(Checks!$AD$595),TEXT(Checks!$AD$595,"DD-MMM-YY HH:MM")&amp;" "&amp;Checks!$P$595,"")&amp;IF(Checks!$AE$595="","",CHAR(10)&amp;"Verifier: "&amp;Checks!$AE$595)&amp;IF(Checks!$T$595="","",CHAR(10)&amp;"PIC: "&amp;Checks!$T$595)</f>
        <v/>
      </c>
      <c r="H46" s="113" t="str">
        <f aca="false">IF(Checks!$AH$595="","",Checks!$AH$595)</f>
        <v>OPEN</v>
      </c>
    </row>
    <row r="47" customFormat="false" ht="114" hidden="false" customHeight="true" outlineLevel="0" collapsed="false">
      <c r="A47" s="112" t="str">
        <f aca="false">Checks!$A$596&amp;CHAR(10)&amp;IF(Checks!$I$596="","",Checks!$I$596&amp;": ")&amp;Checks!$J$596</f>
        <v>F18-T12-13
F&amp;B Linen: Bread linen (using table cloth) - prepared</v>
      </c>
      <c r="B47" s="112" t="str">
        <f aca="false">Checks!$K$596&amp;IF(Checks!$O$596="","",IF(Checks!$K$596="","",CHAR(10))&amp;"Note: "&amp;Checks!$O$596)</f>
        <v>Available (ticked in reference)
Note: Reference gives no uplift stn for this item: preparation checked at the meal uplift stn (KUL) - confirm with caterer.</v>
      </c>
      <c r="C47" s="112" t="str">
        <f aca="false">Checks!$N$596&amp;CHAR(10)&amp;IF(ISNUMBER(Checks!$R$596),TEXT(Checks!$R$596,"DD-MMM-YY HH:MM"),"")&amp;" "&amp;Checks!$P$596</f>
        <v>Required
27-Oct-26 10:25 KUL</v>
      </c>
      <c r="D47" s="112" t="str">
        <f aca="false">IF(Checks!$U$596="","",Checks!$U$596)&amp;IF(Checks!$AB$596="","",CHAR(10)&amp;"CA: "&amp;Checks!$AB$596)</f>
        <v/>
      </c>
      <c r="E47" s="112" t="str">
        <f aca="false">IF(Checks!$V$596="","",Checks!$V$596)&amp;IF(Checks!$AC$596="","",IF(Checks!$V$596="","",CHAR(10))&amp;"N/A just.: "&amp;Checks!$AC$596)&amp;IF(Checks!$W$596="","",CHAR(10)&amp;"Batch: "&amp;Checks!$W$596)&amp;IF(AND(Checks!$X$596="",Checks!$Y$596=""),"",CHAR(10)&amp;"Exp: "&amp;Checks!$X$596&amp;"  /  Act: "&amp;Checks!$Y$596)</f>
        <v/>
      </c>
      <c r="F47" s="112" t="str">
        <f aca="false">IF(Checks!$Z$596="","","Evidence: "&amp;Checks!$Z$596)&amp;IF(Checks!$AA$596="","",IF(Checks!$Z$596="","",CHAR(10))&amp;"CA: "&amp;Checks!$AA$596)</f>
        <v/>
      </c>
      <c r="G47" s="112" t="str">
        <f aca="false">IF(ISNUMBER(Checks!$AD$596),TEXT(Checks!$AD$596,"DD-MMM-YY HH:MM")&amp;" "&amp;Checks!$P$596,"")&amp;IF(Checks!$AE$596="","",CHAR(10)&amp;"Verifier: "&amp;Checks!$AE$596)&amp;IF(Checks!$T$596="","",CHAR(10)&amp;"PIC: "&amp;Checks!$T$596)</f>
        <v/>
      </c>
      <c r="H47" s="113" t="str">
        <f aca="false">IF(Checks!$AH$596="","",Checks!$AH$596)</f>
        <v>OPEN</v>
      </c>
    </row>
    <row r="48" customFormat="false" ht="124.5" hidden="false" customHeight="true" outlineLevel="0" collapsed="false">
      <c r="A48" s="112" t="str">
        <f aca="false">Checks!$A$597&amp;CHAR(10)&amp;IF(Checks!$I$597="","",Checks!$I$597&amp;": ")&amp;Checks!$J$597</f>
        <v>F18-T12-14
F&amp;B Linen: Trolley cloth - prepared</v>
      </c>
      <c r="B48" s="112"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2" t="str">
        <f aca="false">Checks!$N$597&amp;CHAR(10)&amp;IF(ISNUMBER(Checks!$R$597),TEXT(Checks!$R$597,"DD-MMM-YY HH:MM"),"")&amp;" "&amp;Checks!$P$597</f>
        <v>Required
27-Oct-26 10:25 KUL</v>
      </c>
      <c r="D48" s="112" t="str">
        <f aca="false">IF(Checks!$U$597="","",Checks!$U$597)&amp;IF(Checks!$AB$597="","",CHAR(10)&amp;"CA: "&amp;Checks!$AB$597)</f>
        <v/>
      </c>
      <c r="E48" s="112" t="str">
        <f aca="false">IF(Checks!$V$597="","",Checks!$V$597)&amp;IF(Checks!$AC$597="","",IF(Checks!$V$597="","",CHAR(10))&amp;"N/A just.: "&amp;Checks!$AC$597)&amp;IF(Checks!$W$597="","",CHAR(10)&amp;"Batch: "&amp;Checks!$W$597)&amp;IF(AND(Checks!$X$597="",Checks!$Y$597=""),"",CHAR(10)&amp;"Exp: "&amp;Checks!$X$597&amp;"  /  Act: "&amp;Checks!$Y$597)</f>
        <v/>
      </c>
      <c r="F48" s="112" t="str">
        <f aca="false">IF(Checks!$Z$597="","","Evidence: "&amp;Checks!$Z$597)&amp;IF(Checks!$AA$597="","",IF(Checks!$Z$597="","",CHAR(10))&amp;"CA: "&amp;Checks!$AA$597)</f>
        <v/>
      </c>
      <c r="G48" s="112" t="str">
        <f aca="false">IF(ISNUMBER(Checks!$AD$597),TEXT(Checks!$AD$597,"DD-MMM-YY HH:MM")&amp;" "&amp;Checks!$P$597,"")&amp;IF(Checks!$AE$597="","",CHAR(10)&amp;"Verifier: "&amp;Checks!$AE$597)&amp;IF(Checks!$T$597="","",CHAR(10)&amp;"PIC: "&amp;Checks!$T$597)</f>
        <v/>
      </c>
      <c r="H48" s="113" t="str">
        <f aca="false">IF(Checks!$AH$597="","",Checks!$AH$597)</f>
        <v>OPEN</v>
      </c>
    </row>
    <row r="49" customFormat="false" ht="114" hidden="false" customHeight="true" outlineLevel="0" collapsed="false">
      <c r="A49" s="112" t="str">
        <f aca="false">Checks!$A$598&amp;CHAR(10)&amp;IF(Checks!$I$598="","",Checks!$I$598&amp;": ")&amp;Checks!$J$598</f>
        <v>F18-T12-15
F&amp;B Linen: Linen bag - prepared</v>
      </c>
      <c r="B49" s="112" t="str">
        <f aca="false">Checks!$K$598&amp;IF(Checks!$O$598="","",IF(Checks!$K$598="","",CHAR(10))&amp;"Note: "&amp;Checks!$O$598)</f>
        <v>Available (ticked in reference)
Note: Reference gives no uplift stn for this item: preparation checked at the meal uplift stn (KUL) - confirm with caterer.</v>
      </c>
      <c r="C49" s="112" t="str">
        <f aca="false">Checks!$N$598&amp;CHAR(10)&amp;IF(ISNUMBER(Checks!$R$598),TEXT(Checks!$R$598,"DD-MMM-YY HH:MM"),"")&amp;" "&amp;Checks!$P$598</f>
        <v>Required
27-Oct-26 10:25 KUL</v>
      </c>
      <c r="D49" s="112" t="str">
        <f aca="false">IF(Checks!$U$598="","",Checks!$U$598)&amp;IF(Checks!$AB$598="","",CHAR(10)&amp;"CA: "&amp;Checks!$AB$598)</f>
        <v/>
      </c>
      <c r="E49" s="112" t="str">
        <f aca="false">IF(Checks!$V$598="","",Checks!$V$598)&amp;IF(Checks!$AC$598="","",IF(Checks!$V$598="","",CHAR(10))&amp;"N/A just.: "&amp;Checks!$AC$598)&amp;IF(Checks!$W$598="","",CHAR(10)&amp;"Batch: "&amp;Checks!$W$598)&amp;IF(AND(Checks!$X$598="",Checks!$Y$598=""),"",CHAR(10)&amp;"Exp: "&amp;Checks!$X$598&amp;"  /  Act: "&amp;Checks!$Y$598)</f>
        <v/>
      </c>
      <c r="F49" s="112" t="str">
        <f aca="false">IF(Checks!$Z$598="","","Evidence: "&amp;Checks!$Z$598)&amp;IF(Checks!$AA$598="","",IF(Checks!$Z$598="","",CHAR(10))&amp;"CA: "&amp;Checks!$AA$598)</f>
        <v/>
      </c>
      <c r="G49" s="112" t="str">
        <f aca="false">IF(ISNUMBER(Checks!$AD$598),TEXT(Checks!$AD$598,"DD-MMM-YY HH:MM")&amp;" "&amp;Checks!$P$598,"")&amp;IF(Checks!$AE$598="","",CHAR(10)&amp;"Verifier: "&amp;Checks!$AE$598)&amp;IF(Checks!$T$598="","",CHAR(10)&amp;"PIC: "&amp;Checks!$T$598)</f>
        <v/>
      </c>
      <c r="H49" s="113" t="str">
        <f aca="false">IF(Checks!$AH$598="","",Checks!$AH$598)</f>
        <v>OPEN</v>
      </c>
    </row>
    <row r="50" customFormat="false" ht="114" hidden="false" customHeight="true" outlineLevel="0" collapsed="false">
      <c r="A50" s="112" t="str">
        <f aca="false">Checks!$A$599&amp;CHAR(10)&amp;IF(Checks!$I$599="","",Checks!$I$599&amp;": ")&amp;Checks!$J$599</f>
        <v>F18-T12-16
Seat Linen: Seat pillow (BS &amp; BC) - prepared</v>
      </c>
      <c r="B50" s="112" t="str">
        <f aca="false">Checks!$K$599&amp;IF(Checks!$O$599="","",IF(Checks!$K$599="","",CHAR(10))&amp;"Note: "&amp;Checks!$O$599)</f>
        <v>Available 100% (ticked in reference)
Note: Reference gives no uplift stn for this item: preparation checked at the meal uplift stn (KUL) - confirm with caterer.</v>
      </c>
      <c r="C50" s="112" t="str">
        <f aca="false">Checks!$N$599&amp;CHAR(10)&amp;IF(ISNUMBER(Checks!$R$599),TEXT(Checks!$R$599,"DD-MMM-YY HH:MM"),"")&amp;" "&amp;Checks!$P$599</f>
        <v>Required
27-Oct-26 10:25 KUL</v>
      </c>
      <c r="D50" s="112" t="str">
        <f aca="false">IF(Checks!$U$599="","",Checks!$U$599)&amp;IF(Checks!$AB$599="","",CHAR(10)&amp;"CA: "&amp;Checks!$AB$599)</f>
        <v/>
      </c>
      <c r="E50" s="112" t="str">
        <f aca="false">IF(Checks!$V$599="","",Checks!$V$599)&amp;IF(Checks!$AC$599="","",IF(Checks!$V$599="","",CHAR(10))&amp;"N/A just.: "&amp;Checks!$AC$599)&amp;IF(Checks!$W$599="","",CHAR(10)&amp;"Batch: "&amp;Checks!$W$599)&amp;IF(AND(Checks!$X$599="",Checks!$Y$599=""),"",CHAR(10)&amp;"Exp: "&amp;Checks!$X$599&amp;"  /  Act: "&amp;Checks!$Y$599)</f>
        <v/>
      </c>
      <c r="F50" s="112" t="str">
        <f aca="false">IF(Checks!$Z$599="","","Evidence: "&amp;Checks!$Z$599)&amp;IF(Checks!$AA$599="","",IF(Checks!$Z$599="","",CHAR(10))&amp;"CA: "&amp;Checks!$AA$599)</f>
        <v/>
      </c>
      <c r="G50" s="112" t="str">
        <f aca="false">IF(ISNUMBER(Checks!$AD$599),TEXT(Checks!$AD$599,"DD-MMM-YY HH:MM")&amp;" "&amp;Checks!$P$599,"")&amp;IF(Checks!$AE$599="","",CHAR(10)&amp;"Verifier: "&amp;Checks!$AE$599)&amp;IF(Checks!$T$599="","",CHAR(10)&amp;"PIC: "&amp;Checks!$T$599)</f>
        <v/>
      </c>
      <c r="H50" s="113" t="str">
        <f aca="false">IF(Checks!$AH$599="","",Checks!$AH$599)</f>
        <v>OPEN</v>
      </c>
    </row>
    <row r="51" customFormat="false" ht="114" hidden="false" customHeight="true" outlineLevel="0" collapsed="false">
      <c r="A51" s="112" t="str">
        <f aca="false">Checks!$A$600&amp;CHAR(10)&amp;IF(Checks!$I$600="","",Checks!$I$600&amp;": ")&amp;Checks!$J$600</f>
        <v>F18-T12-17
Seat Linen: Duvet (BS &amp; BC) - prepared</v>
      </c>
      <c r="B51" s="112" t="str">
        <f aca="false">Checks!$K$600&amp;IF(Checks!$O$600="","",IF(Checks!$K$600="","",CHAR(10))&amp;"Note: "&amp;Checks!$O$600)</f>
        <v>Available 100% (ticked in reference)
Note: Reference gives no uplift stn for this item: preparation checked at the meal uplift stn (KUL) - confirm with caterer.</v>
      </c>
      <c r="C51" s="112" t="str">
        <f aca="false">Checks!$N$600&amp;CHAR(10)&amp;IF(ISNUMBER(Checks!$R$600),TEXT(Checks!$R$600,"DD-MMM-YY HH:MM"),"")&amp;" "&amp;Checks!$P$600</f>
        <v>Required
27-Oct-26 10:25 KUL</v>
      </c>
      <c r="D51" s="112" t="str">
        <f aca="false">IF(Checks!$U$600="","",Checks!$U$600)&amp;IF(Checks!$AB$600="","",CHAR(10)&amp;"CA: "&amp;Checks!$AB$600)</f>
        <v/>
      </c>
      <c r="E51" s="112" t="str">
        <f aca="false">IF(Checks!$V$600="","",Checks!$V$600)&amp;IF(Checks!$AC$600="","",IF(Checks!$V$600="","",CHAR(10))&amp;"N/A just.: "&amp;Checks!$AC$600)&amp;IF(Checks!$W$600="","",CHAR(10)&amp;"Batch: "&amp;Checks!$W$600)&amp;IF(AND(Checks!$X$600="",Checks!$Y$600=""),"",CHAR(10)&amp;"Exp: "&amp;Checks!$X$600&amp;"  /  Act: "&amp;Checks!$Y$600)</f>
        <v/>
      </c>
      <c r="F51" s="112" t="str">
        <f aca="false">IF(Checks!$Z$600="","","Evidence: "&amp;Checks!$Z$600)&amp;IF(Checks!$AA$600="","",IF(Checks!$Z$600="","",CHAR(10))&amp;"CA: "&amp;Checks!$AA$600)</f>
        <v/>
      </c>
      <c r="G51" s="112" t="str">
        <f aca="false">IF(ISNUMBER(Checks!$AD$600),TEXT(Checks!$AD$600,"DD-MMM-YY HH:MM")&amp;" "&amp;Checks!$P$600,"")&amp;IF(Checks!$AE$600="","",CHAR(10)&amp;"Verifier: "&amp;Checks!$AE$600)&amp;IF(Checks!$T$600="","",CHAR(10)&amp;"PIC: "&amp;Checks!$T$600)</f>
        <v/>
      </c>
      <c r="H51" s="113" t="str">
        <f aca="false">IF(Checks!$AH$600="","",Checks!$AH$600)</f>
        <v>OPEN</v>
      </c>
    </row>
    <row r="52" customFormat="false" ht="114" hidden="false" customHeight="true" outlineLevel="0" collapsed="false">
      <c r="A52" s="112" t="str">
        <f aca="false">Checks!$A$601&amp;CHAR(10)&amp;IF(Checks!$I$601="","",Checks!$I$601&amp;": ")&amp;Checks!$J$601</f>
        <v>F18-T12-18
Seat Linen: Mattress (BS &amp; BC) - prepared</v>
      </c>
      <c r="B52" s="112" t="str">
        <f aca="false">Checks!$K$601&amp;IF(Checks!$O$601="","",IF(Checks!$K$601="","",CHAR(10))&amp;"Note: "&amp;Checks!$O$601)</f>
        <v>Available 100% (ticked in reference)
Note: Reference gives no uplift stn for this item: preparation checked at the meal uplift stn (KUL) - confirm with caterer.</v>
      </c>
      <c r="C52" s="112" t="str">
        <f aca="false">Checks!$N$601&amp;CHAR(10)&amp;IF(ISNUMBER(Checks!$R$601),TEXT(Checks!$R$601,"DD-MMM-YY HH:MM"),"")&amp;" "&amp;Checks!$P$601</f>
        <v>Required
27-Oct-26 10:25 KUL</v>
      </c>
      <c r="D52" s="112" t="str">
        <f aca="false">IF(Checks!$U$601="","",Checks!$U$601)&amp;IF(Checks!$AB$601="","",CHAR(10)&amp;"CA: "&amp;Checks!$AB$601)</f>
        <v/>
      </c>
      <c r="E52" s="112" t="str">
        <f aca="false">IF(Checks!$V$601="","",Checks!$V$601)&amp;IF(Checks!$AC$601="","",IF(Checks!$V$601="","",CHAR(10))&amp;"N/A just.: "&amp;Checks!$AC$601)&amp;IF(Checks!$W$601="","",CHAR(10)&amp;"Batch: "&amp;Checks!$W$601)&amp;IF(AND(Checks!$X$601="",Checks!$Y$601=""),"",CHAR(10)&amp;"Exp: "&amp;Checks!$X$601&amp;"  /  Act: "&amp;Checks!$Y$601)</f>
        <v/>
      </c>
      <c r="F52" s="112" t="str">
        <f aca="false">IF(Checks!$Z$601="","","Evidence: "&amp;Checks!$Z$601)&amp;IF(Checks!$AA$601="","",IF(Checks!$Z$601="","",CHAR(10))&amp;"CA: "&amp;Checks!$AA$601)</f>
        <v/>
      </c>
      <c r="G52" s="112" t="str">
        <f aca="false">IF(ISNUMBER(Checks!$AD$601),TEXT(Checks!$AD$601,"DD-MMM-YY HH:MM")&amp;" "&amp;Checks!$P$601,"")&amp;IF(Checks!$AE$601="","",CHAR(10)&amp;"Verifier: "&amp;Checks!$AE$601)&amp;IF(Checks!$T$601="","",CHAR(10)&amp;"PIC: "&amp;Checks!$T$601)</f>
        <v/>
      </c>
      <c r="H52" s="113" t="str">
        <f aca="false">IF(Checks!$AH$601="","",Checks!$AH$601)</f>
        <v>OPEN</v>
      </c>
    </row>
    <row r="53" customFormat="false" ht="114" hidden="false" customHeight="true" outlineLevel="0" collapsed="false">
      <c r="A53" s="112" t="str">
        <f aca="false">Checks!$A$602&amp;CHAR(10)&amp;IF(Checks!$I$602="","",Checks!$I$602&amp;": ")&amp;Checks!$J$602</f>
        <v>F18-T12-19
Signature Drinks: Signature drink &amp; garnish (BC) - prepared</v>
      </c>
      <c r="B53" s="112" t="str">
        <f aca="false">Checks!$K$602&amp;IF(Checks!$O$602="","",IF(Checks!$K$602="","",CHAR(10))&amp;"Note: "&amp;Checks!$O$602)</f>
        <v>Available (ticked in reference)
Note: Signature drinks &amp; garnish uplifted from KUL (note D79).</v>
      </c>
      <c r="C53" s="112" t="str">
        <f aca="false">Checks!$N$602&amp;CHAR(10)&amp;IF(ISNUMBER(Checks!$R$602),TEXT(Checks!$R$602,"DD-MMM-YY HH:MM"),"")&amp;" "&amp;Checks!$P$602</f>
        <v>Required
27-Oct-26 10:25 KUL</v>
      </c>
      <c r="D53" s="112" t="str">
        <f aca="false">IF(Checks!$U$602="","",Checks!$U$602)&amp;IF(Checks!$AB$602="","",CHAR(10)&amp;"CA: "&amp;Checks!$AB$602)</f>
        <v/>
      </c>
      <c r="E53" s="112" t="str">
        <f aca="false">IF(Checks!$V$602="","",Checks!$V$602)&amp;IF(Checks!$AC$602="","",IF(Checks!$V$602="","",CHAR(10))&amp;"N/A just.: "&amp;Checks!$AC$602)&amp;IF(Checks!$W$602="","",CHAR(10)&amp;"Batch: "&amp;Checks!$W$602)&amp;IF(AND(Checks!$X$602="",Checks!$Y$602=""),"",CHAR(10)&amp;"Exp: "&amp;Checks!$X$602&amp;"  /  Act: "&amp;Checks!$Y$602)</f>
        <v/>
      </c>
      <c r="F53" s="112" t="str">
        <f aca="false">IF(Checks!$Z$602="","","Evidence: "&amp;Checks!$Z$602)&amp;IF(Checks!$AA$602="","",IF(Checks!$Z$602="","",CHAR(10))&amp;"CA: "&amp;Checks!$AA$602)</f>
        <v/>
      </c>
      <c r="G53" s="112" t="str">
        <f aca="false">IF(ISNUMBER(Checks!$AD$602),TEXT(Checks!$AD$602,"DD-MMM-YY HH:MM")&amp;" "&amp;Checks!$P$602,"")&amp;IF(Checks!$AE$602="","",CHAR(10)&amp;"Verifier: "&amp;Checks!$AE$602)&amp;IF(Checks!$T$602="","",CHAR(10)&amp;"PIC: "&amp;Checks!$T$602)</f>
        <v/>
      </c>
      <c r="H53" s="113" t="str">
        <f aca="false">IF(Checks!$AH$602="","",Checks!$AH$602)</f>
        <v>OPEN</v>
      </c>
    </row>
    <row r="54" customFormat="false" ht="114" hidden="false" customHeight="true" outlineLevel="0" collapsed="false">
      <c r="A54" s="112" t="str">
        <f aca="false">Checks!$A$603&amp;CHAR(10)&amp;IF(Checks!$I$603="","",Checks!$I$603&amp;": ")&amp;Checks!$J$603</f>
        <v>F18-T12-20
Sales Cart: Sales cart (caterer PASB) - prepared</v>
      </c>
      <c r="B54" s="112" t="str">
        <f aca="false">Checks!$K$603&amp;IF(Checks!$O$603="","",IF(Checks!$K$603="","",CHAR(10))&amp;"Note: "&amp;Checks!$O$603)</f>
        <v>Location 643 &amp; 947 (A333, full cart)
Note: Block 6.50 h &gt;= 4 h. Reference gives no uplift stn for this item: preparation checked at the meal uplift stn (KUL) - confirm with caterer.</v>
      </c>
      <c r="C54" s="112" t="str">
        <f aca="false">Checks!$N$603&amp;CHAR(10)&amp;IF(ISNUMBER(Checks!$R$603),TEXT(Checks!$R$603,"DD-MMM-YY HH:MM"),"")&amp;" "&amp;Checks!$P$603</f>
        <v>Required
27-Oct-26 10:25 KUL</v>
      </c>
      <c r="D54" s="112" t="str">
        <f aca="false">IF(Checks!$U$603="","",Checks!$U$603)&amp;IF(Checks!$AB$603="","",CHAR(10)&amp;"CA: "&amp;Checks!$AB$603)</f>
        <v/>
      </c>
      <c r="E54" s="112" t="str">
        <f aca="false">IF(Checks!$V$603="","",Checks!$V$603)&amp;IF(Checks!$AC$603="","",IF(Checks!$V$603="","",CHAR(10))&amp;"N/A just.: "&amp;Checks!$AC$603)&amp;IF(Checks!$W$603="","",CHAR(10)&amp;"Batch: "&amp;Checks!$W$603)&amp;IF(AND(Checks!$X$603="",Checks!$Y$603=""),"",CHAR(10)&amp;"Exp: "&amp;Checks!$X$603&amp;"  /  Act: "&amp;Checks!$Y$603)</f>
        <v/>
      </c>
      <c r="F54" s="112" t="str">
        <f aca="false">IF(Checks!$Z$603="","","Evidence: "&amp;Checks!$Z$603)&amp;IF(Checks!$AA$603="","",IF(Checks!$Z$603="","",CHAR(10))&amp;"CA: "&amp;Checks!$AA$603)</f>
        <v/>
      </c>
      <c r="G54" s="112" t="str">
        <f aca="false">IF(ISNUMBER(Checks!$AD$603),TEXT(Checks!$AD$603,"DD-MMM-YY HH:MM")&amp;" "&amp;Checks!$P$603,"")&amp;IF(Checks!$AE$603="","",CHAR(10)&amp;"Verifier: "&amp;Checks!$AE$603)&amp;IF(Checks!$T$603="","",CHAR(10)&amp;"PIC: "&amp;Checks!$T$603)</f>
        <v/>
      </c>
      <c r="H54" s="113" t="str">
        <f aca="false">IF(Checks!$AH$603="","",Checks!$AH$603)</f>
        <v>OPEN</v>
      </c>
    </row>
    <row r="55" customFormat="false" ht="25.5" hidden="false" customHeight="true" outlineLevel="0" collapsed="false">
      <c r="A55" s="111"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1"/>
      <c r="C55" s="111"/>
      <c r="D55" s="111"/>
      <c r="E55" s="111"/>
      <c r="F55" s="111"/>
      <c r="G55" s="111"/>
      <c r="H55" s="111"/>
    </row>
    <row r="56" customFormat="false" ht="114" hidden="false" customHeight="true" outlineLevel="0" collapsed="false">
      <c r="A56" s="112" t="str">
        <f aca="false">Checks!$A$604&amp;CHAR(10)&amp;IF(Checks!$I$604="","",Checks!$I$604&amp;": ")&amp;Checks!$J$604</f>
        <v>F18-UPL-01
Meal: Meals physically uplifted on board - quantity vs menu checklist</v>
      </c>
      <c r="B56" s="112" t="str">
        <f aca="false">Checks!$K$604&amp;IF(Checks!$O$604="","",IF(Checks!$K$604="","",CHAR(10))&amp;"Note: "&amp;Checks!$O$604)</f>
        <v>Enter expected &amp; actual
Note: Confirm on board before departure; completion time must fall inside the uplift window.</v>
      </c>
      <c r="C56" s="112" t="str">
        <f aca="false">Checks!$N$604&amp;CHAR(10)&amp;IF(ISNUMBER(Checks!$R$604),TEXT(Checks!$R$604,"DD-MMM-YY HH:MM"),"")&amp;" "&amp;Checks!$P$604</f>
        <v>Required
27-Oct-26 22:25 KUL</v>
      </c>
      <c r="D56" s="112" t="str">
        <f aca="false">IF(Checks!$U$604="","",Checks!$U$604)&amp;IF(Checks!$AB$604="","",CHAR(10)&amp;"CA: "&amp;Checks!$AB$604)</f>
        <v/>
      </c>
      <c r="E56" s="112" t="str">
        <f aca="false">IF(Checks!$V$604="","",Checks!$V$604)&amp;IF(Checks!$AC$604="","",IF(Checks!$V$604="","",CHAR(10))&amp;"N/A just.: "&amp;Checks!$AC$604)&amp;IF(Checks!$W$604="","",CHAR(10)&amp;"Batch: "&amp;Checks!$W$604)&amp;IF(AND(Checks!$X$604="",Checks!$Y$604=""),"",CHAR(10)&amp;"Exp: "&amp;Checks!$X$604&amp;"  /  Act: "&amp;Checks!$Y$604)</f>
        <v/>
      </c>
      <c r="F56" s="112" t="str">
        <f aca="false">IF(Checks!$Z$604="","","Evidence: "&amp;Checks!$Z$604)&amp;IF(Checks!$AA$604="","",IF(Checks!$Z$604="","",CHAR(10))&amp;"CA: "&amp;Checks!$AA$604)</f>
        <v/>
      </c>
      <c r="G56" s="112" t="str">
        <f aca="false">IF(ISNUMBER(Checks!$AD$604),TEXT(Checks!$AD$604,"DD-MMM-YY HH:MM")&amp;" "&amp;Checks!$P$604,"")&amp;IF(Checks!$AE$604="","",CHAR(10)&amp;"Verifier: "&amp;Checks!$AE$604)&amp;IF(Checks!$T$604="","",CHAR(10)&amp;"PIC: "&amp;Checks!$T$604)</f>
        <v/>
      </c>
      <c r="H56" s="113" t="str">
        <f aca="false">IF(Checks!$AH$604="","",Checks!$AH$604)</f>
        <v>OPEN</v>
      </c>
    </row>
    <row r="57" customFormat="false" ht="114" hidden="false" customHeight="true" outlineLevel="0" collapsed="false">
      <c r="A57" s="112" t="str">
        <f aca="false">Checks!$A$605&amp;CHAR(10)&amp;IF(Checks!$I$605="","",Checks!$I$605&amp;": ")&amp;Checks!$J$605</f>
        <v>F18-UPL-02
Equipment: Equipment physically loaded at GLD positions - quantity &amp; positions</v>
      </c>
      <c r="B57" s="112" t="str">
        <f aca="false">Checks!$K$605&amp;IF(Checks!$O$605="","",IF(Checks!$K$605="","",CHAR(10))&amp;"Note: "&amp;Checks!$O$605)</f>
        <v>Enter expected &amp; actual
Note: Confirm on board before departure; completion time must fall inside the uplift window.</v>
      </c>
      <c r="C57" s="112" t="str">
        <f aca="false">Checks!$N$605&amp;CHAR(10)&amp;IF(ISNUMBER(Checks!$R$605),TEXT(Checks!$R$605,"DD-MMM-YY HH:MM"),"")&amp;" "&amp;Checks!$P$605</f>
        <v>Required
27-Oct-26 22:25 KUL</v>
      </c>
      <c r="D57" s="112" t="str">
        <f aca="false">IF(Checks!$U$605="","",Checks!$U$605)&amp;IF(Checks!$AB$605="","",CHAR(10)&amp;"CA: "&amp;Checks!$AB$605)</f>
        <v/>
      </c>
      <c r="E57" s="112" t="str">
        <f aca="false">IF(Checks!$V$605="","",Checks!$V$605)&amp;IF(Checks!$AC$605="","",IF(Checks!$V$605="","",CHAR(10))&amp;"N/A just.: "&amp;Checks!$AC$605)&amp;IF(Checks!$W$605="","",CHAR(10)&amp;"Batch: "&amp;Checks!$W$605)&amp;IF(AND(Checks!$X$605="",Checks!$Y$605=""),"",CHAR(10)&amp;"Exp: "&amp;Checks!$X$605&amp;"  /  Act: "&amp;Checks!$Y$605)</f>
        <v/>
      </c>
      <c r="F57" s="112" t="str">
        <f aca="false">IF(Checks!$Z$605="","","Evidence: "&amp;Checks!$Z$605)&amp;IF(Checks!$AA$605="","",IF(Checks!$Z$605="","",CHAR(10))&amp;"CA: "&amp;Checks!$AA$605)</f>
        <v/>
      </c>
      <c r="G57" s="112" t="str">
        <f aca="false">IF(ISNUMBER(Checks!$AD$605),TEXT(Checks!$AD$605,"DD-MMM-YY HH:MM")&amp;" "&amp;Checks!$P$605,"")&amp;IF(Checks!$AE$605="","",CHAR(10)&amp;"Verifier: "&amp;Checks!$AE$605)&amp;IF(Checks!$T$605="","",CHAR(10)&amp;"PIC: "&amp;Checks!$T$605)</f>
        <v/>
      </c>
      <c r="H57" s="113" t="str">
        <f aca="false">IF(Checks!$AH$605="","",Checks!$AH$605)</f>
        <v>OPEN</v>
      </c>
    </row>
    <row r="58" customFormat="false" ht="114" hidden="false" customHeight="true" outlineLevel="0" collapsed="false">
      <c r="A58" s="112" t="str">
        <f aca="false">Checks!$A$606&amp;CHAR(10)&amp;IF(Checks!$I$606="","",Checks!$I$606&amp;": ")&amp;Checks!$J$606</f>
        <v>F18-UPL-03
Amenities: Slippers (BS/BC) - on board</v>
      </c>
      <c r="B58" s="112" t="str">
        <f aca="false">Checks!$K$606&amp;IF(Checks!$O$606="","",IF(Checks!$K$606="","",CHAR(10))&amp;"Note: "&amp;Checks!$O$606)</f>
        <v>Available (ticked in reference)</v>
      </c>
      <c r="C58" s="112" t="str">
        <f aca="false">Checks!$N$606&amp;CHAR(10)&amp;IF(ISNUMBER(Checks!$R$606),TEXT(Checks!$R$606,"DD-MMM-YY HH:MM"),"")&amp;" "&amp;Checks!$P$606</f>
        <v>Required
27-Oct-26 22:25 KUL</v>
      </c>
      <c r="D58" s="112" t="str">
        <f aca="false">IF(Checks!$U$606="","",Checks!$U$606)&amp;IF(Checks!$AB$606="","",CHAR(10)&amp;"CA: "&amp;Checks!$AB$606)</f>
        <v/>
      </c>
      <c r="E58" s="112" t="str">
        <f aca="false">IF(Checks!$V$606="","",Checks!$V$606)&amp;IF(Checks!$AC$606="","",IF(Checks!$V$606="","",CHAR(10))&amp;"N/A just.: "&amp;Checks!$AC$606)&amp;IF(Checks!$W$606="","",CHAR(10)&amp;"Batch: "&amp;Checks!$W$606)&amp;IF(AND(Checks!$X$606="",Checks!$Y$606=""),"",CHAR(10)&amp;"Exp: "&amp;Checks!$X$606&amp;"  /  Act: "&amp;Checks!$Y$606)</f>
        <v/>
      </c>
      <c r="F58" s="112" t="str">
        <f aca="false">IF(Checks!$Z$606="","","Evidence: "&amp;Checks!$Z$606)&amp;IF(Checks!$AA$606="","",IF(Checks!$Z$606="","",CHAR(10))&amp;"CA: "&amp;Checks!$AA$606)</f>
        <v/>
      </c>
      <c r="G58" s="112" t="str">
        <f aca="false">IF(ISNUMBER(Checks!$AD$606),TEXT(Checks!$AD$606,"DD-MMM-YY HH:MM")&amp;" "&amp;Checks!$P$606,"")&amp;IF(Checks!$AE$606="","",CHAR(10)&amp;"Verifier: "&amp;Checks!$AE$606)&amp;IF(Checks!$T$606="","",CHAR(10)&amp;"PIC: "&amp;Checks!$T$606)</f>
        <v/>
      </c>
      <c r="H58" s="113" t="str">
        <f aca="false">IF(Checks!$AH$606="","",Checks!$AH$606)</f>
        <v>OPEN</v>
      </c>
    </row>
    <row r="59" customFormat="false" ht="114" hidden="false" customHeight="true" outlineLevel="0" collapsed="false">
      <c r="A59" s="112" t="str">
        <f aca="false">Checks!$A$607&amp;CHAR(10)&amp;IF(Checks!$I$607="","",Checks!$I$607&amp;": ")&amp;Checks!$J$607</f>
        <v>F18-UPL-04
F&amp;B Linen: Towel - on board</v>
      </c>
      <c r="B59" s="112" t="str">
        <f aca="false">Checks!$K$607&amp;IF(Checks!$O$607="","",IF(Checks!$K$607="","",CHAR(10))&amp;"Note: "&amp;Checks!$O$607)</f>
        <v>Available (ticked in reference)</v>
      </c>
      <c r="C59" s="112" t="str">
        <f aca="false">Checks!$N$607&amp;CHAR(10)&amp;IF(ISNUMBER(Checks!$R$607),TEXT(Checks!$R$607,"DD-MMM-YY HH:MM"),"")&amp;" "&amp;Checks!$P$607</f>
        <v>Required
27-Oct-26 22:25 KUL</v>
      </c>
      <c r="D59" s="112" t="str">
        <f aca="false">IF(Checks!$U$607="","",Checks!$U$607)&amp;IF(Checks!$AB$607="","",CHAR(10)&amp;"CA: "&amp;Checks!$AB$607)</f>
        <v/>
      </c>
      <c r="E59" s="112" t="str">
        <f aca="false">IF(Checks!$V$607="","",Checks!$V$607)&amp;IF(Checks!$AC$607="","",IF(Checks!$V$607="","",CHAR(10))&amp;"N/A just.: "&amp;Checks!$AC$607)&amp;IF(Checks!$W$607="","",CHAR(10)&amp;"Batch: "&amp;Checks!$W$607)&amp;IF(AND(Checks!$X$607="",Checks!$Y$607=""),"",CHAR(10)&amp;"Exp: "&amp;Checks!$X$607&amp;"  /  Act: "&amp;Checks!$Y$607)</f>
        <v/>
      </c>
      <c r="F59" s="112" t="str">
        <f aca="false">IF(Checks!$Z$607="","","Evidence: "&amp;Checks!$Z$607)&amp;IF(Checks!$AA$607="","",IF(Checks!$Z$607="","",CHAR(10))&amp;"CA: "&amp;Checks!$AA$607)</f>
        <v/>
      </c>
      <c r="G59" s="112" t="str">
        <f aca="false">IF(ISNUMBER(Checks!$AD$607),TEXT(Checks!$AD$607,"DD-MMM-YY HH:MM")&amp;" "&amp;Checks!$P$607,"")&amp;IF(Checks!$AE$607="","",CHAR(10)&amp;"Verifier: "&amp;Checks!$AE$607)&amp;IF(Checks!$T$607="","",CHAR(10)&amp;"PIC: "&amp;Checks!$T$607)</f>
        <v/>
      </c>
      <c r="H59" s="113" t="str">
        <f aca="false">IF(Checks!$AH$607="","",Checks!$AH$607)</f>
        <v>OPEN</v>
      </c>
    </row>
    <row r="60" customFormat="false" ht="114" hidden="false" customHeight="true" outlineLevel="0" collapsed="false">
      <c r="A60" s="112" t="str">
        <f aca="false">Checks!$A$608&amp;CHAR(10)&amp;IF(Checks!$I$608="","",Checks!$I$608&amp;": ")&amp;Checks!$J$608</f>
        <v>F18-UPL-05
F&amp;B Linen: Tray cloth - on board</v>
      </c>
      <c r="B60" s="112" t="str">
        <f aca="false">Checks!$K$608&amp;IF(Checks!$O$608="","",IF(Checks!$K$608="","",CHAR(10))&amp;"Note: "&amp;Checks!$O$608)</f>
        <v>Available (ticked in reference)</v>
      </c>
      <c r="C60" s="112" t="str">
        <f aca="false">Checks!$N$608&amp;CHAR(10)&amp;IF(ISNUMBER(Checks!$R$608),TEXT(Checks!$R$608,"DD-MMM-YY HH:MM"),"")&amp;" "&amp;Checks!$P$608</f>
        <v>Required
27-Oct-26 22:25 KUL</v>
      </c>
      <c r="D60" s="112" t="str">
        <f aca="false">IF(Checks!$U$608="","",Checks!$U$608)&amp;IF(Checks!$AB$608="","",CHAR(10)&amp;"CA: "&amp;Checks!$AB$608)</f>
        <v/>
      </c>
      <c r="E60" s="112" t="str">
        <f aca="false">IF(Checks!$V$608="","",Checks!$V$608)&amp;IF(Checks!$AC$608="","",IF(Checks!$V$608="","",CHAR(10))&amp;"N/A just.: "&amp;Checks!$AC$608)&amp;IF(Checks!$W$608="","",CHAR(10)&amp;"Batch: "&amp;Checks!$W$608)&amp;IF(AND(Checks!$X$608="",Checks!$Y$608=""),"",CHAR(10)&amp;"Exp: "&amp;Checks!$X$608&amp;"  /  Act: "&amp;Checks!$Y$608)</f>
        <v/>
      </c>
      <c r="F60" s="112" t="str">
        <f aca="false">IF(Checks!$Z$608="","","Evidence: "&amp;Checks!$Z$608)&amp;IF(Checks!$AA$608="","",IF(Checks!$Z$608="","",CHAR(10))&amp;"CA: "&amp;Checks!$AA$608)</f>
        <v/>
      </c>
      <c r="G60" s="112" t="str">
        <f aca="false">IF(ISNUMBER(Checks!$AD$608),TEXT(Checks!$AD$608,"DD-MMM-YY HH:MM")&amp;" "&amp;Checks!$P$608,"")&amp;IF(Checks!$AE$608="","",CHAR(10)&amp;"Verifier: "&amp;Checks!$AE$608)&amp;IF(Checks!$T$608="","",CHAR(10)&amp;"PIC: "&amp;Checks!$T$608)</f>
        <v/>
      </c>
      <c r="H60" s="113" t="str">
        <f aca="false">IF(Checks!$AH$608="","",Checks!$AH$608)</f>
        <v>OPEN</v>
      </c>
    </row>
    <row r="61" customFormat="false" ht="114" hidden="false" customHeight="true" outlineLevel="0" collapsed="false">
      <c r="A61" s="112" t="str">
        <f aca="false">Checks!$A$609&amp;CHAR(10)&amp;IF(Checks!$I$609="","",Checks!$I$609&amp;": ")&amp;Checks!$J$609</f>
        <v>F18-UPL-06
F&amp;B Linen: Napkin - on board</v>
      </c>
      <c r="B61" s="112" t="str">
        <f aca="false">Checks!$K$609&amp;IF(Checks!$O$609="","",IF(Checks!$K$609="","",CHAR(10))&amp;"Note: "&amp;Checks!$O$609)</f>
        <v>Available (ticked in reference)</v>
      </c>
      <c r="C61" s="112" t="str">
        <f aca="false">Checks!$N$609&amp;CHAR(10)&amp;IF(ISNUMBER(Checks!$R$609),TEXT(Checks!$R$609,"DD-MMM-YY HH:MM"),"")&amp;" "&amp;Checks!$P$609</f>
        <v>Required
27-Oct-26 22:25 KUL</v>
      </c>
      <c r="D61" s="112" t="str">
        <f aca="false">IF(Checks!$U$609="","",Checks!$U$609)&amp;IF(Checks!$AB$609="","",CHAR(10)&amp;"CA: "&amp;Checks!$AB$609)</f>
        <v/>
      </c>
      <c r="E61" s="112" t="str">
        <f aca="false">IF(Checks!$V$609="","",Checks!$V$609)&amp;IF(Checks!$AC$609="","",IF(Checks!$V$609="","",CHAR(10))&amp;"N/A just.: "&amp;Checks!$AC$609)&amp;IF(Checks!$W$609="","",CHAR(10)&amp;"Batch: "&amp;Checks!$W$609)&amp;IF(AND(Checks!$X$609="",Checks!$Y$609=""),"",CHAR(10)&amp;"Exp: "&amp;Checks!$X$609&amp;"  /  Act: "&amp;Checks!$Y$609)</f>
        <v/>
      </c>
      <c r="F61" s="112" t="str">
        <f aca="false">IF(Checks!$Z$609="","","Evidence: "&amp;Checks!$Z$609)&amp;IF(Checks!$AA$609="","",IF(Checks!$Z$609="","",CHAR(10))&amp;"CA: "&amp;Checks!$AA$609)</f>
        <v/>
      </c>
      <c r="G61" s="112" t="str">
        <f aca="false">IF(ISNUMBER(Checks!$AD$609),TEXT(Checks!$AD$609,"DD-MMM-YY HH:MM")&amp;" "&amp;Checks!$P$609,"")&amp;IF(Checks!$AE$609="","",CHAR(10)&amp;"Verifier: "&amp;Checks!$AE$609)&amp;IF(Checks!$T$609="","",CHAR(10)&amp;"PIC: "&amp;Checks!$T$609)</f>
        <v/>
      </c>
      <c r="H61" s="113" t="str">
        <f aca="false">IF(Checks!$AH$609="","",Checks!$AH$609)</f>
        <v>OPEN</v>
      </c>
    </row>
    <row r="62" customFormat="false" ht="114" hidden="false" customHeight="true" outlineLevel="0" collapsed="false">
      <c r="A62" s="112" t="str">
        <f aca="false">Checks!$A$610&amp;CHAR(10)&amp;IF(Checks!$I$610="","",Checks!$I$610&amp;": ")&amp;Checks!$J$610</f>
        <v>F18-UPL-07
F&amp;B Linen: Table cloth - on board</v>
      </c>
      <c r="B62" s="112" t="str">
        <f aca="false">Checks!$K$610&amp;IF(Checks!$O$610="","",IF(Checks!$K$610="","",CHAR(10))&amp;"Note: "&amp;Checks!$O$610)</f>
        <v>Available (ticked in reference)</v>
      </c>
      <c r="C62" s="112" t="str">
        <f aca="false">Checks!$N$610&amp;CHAR(10)&amp;IF(ISNUMBER(Checks!$R$610),TEXT(Checks!$R$610,"DD-MMM-YY HH:MM"),"")&amp;" "&amp;Checks!$P$610</f>
        <v>Required
27-Oct-26 22:25 KUL</v>
      </c>
      <c r="D62" s="112" t="str">
        <f aca="false">IF(Checks!$U$610="","",Checks!$U$610)&amp;IF(Checks!$AB$610="","",CHAR(10)&amp;"CA: "&amp;Checks!$AB$610)</f>
        <v/>
      </c>
      <c r="E62" s="112" t="str">
        <f aca="false">IF(Checks!$V$610="","",Checks!$V$610)&amp;IF(Checks!$AC$610="","",IF(Checks!$V$610="","",CHAR(10))&amp;"N/A just.: "&amp;Checks!$AC$610)&amp;IF(Checks!$W$610="","",CHAR(10)&amp;"Batch: "&amp;Checks!$W$610)&amp;IF(AND(Checks!$X$610="",Checks!$Y$610=""),"",CHAR(10)&amp;"Exp: "&amp;Checks!$X$610&amp;"  /  Act: "&amp;Checks!$Y$610)</f>
        <v/>
      </c>
      <c r="F62" s="112" t="str">
        <f aca="false">IF(Checks!$Z$610="","","Evidence: "&amp;Checks!$Z$610)&amp;IF(Checks!$AA$610="","",IF(Checks!$Z$610="","",CHAR(10))&amp;"CA: "&amp;Checks!$AA$610)</f>
        <v/>
      </c>
      <c r="G62" s="112" t="str">
        <f aca="false">IF(ISNUMBER(Checks!$AD$610),TEXT(Checks!$AD$610,"DD-MMM-YY HH:MM")&amp;" "&amp;Checks!$P$610,"")&amp;IF(Checks!$AE$610="","",CHAR(10)&amp;"Verifier: "&amp;Checks!$AE$610)&amp;IF(Checks!$T$610="","",CHAR(10)&amp;"PIC: "&amp;Checks!$T$610)</f>
        <v/>
      </c>
      <c r="H62" s="113" t="str">
        <f aca="false">IF(Checks!$AH$610="","",Checks!$AH$610)</f>
        <v>OPEN</v>
      </c>
    </row>
    <row r="63" customFormat="false" ht="114" hidden="false" customHeight="true" outlineLevel="0" collapsed="false">
      <c r="A63" s="112" t="str">
        <f aca="false">Checks!$A$611&amp;CHAR(10)&amp;IF(Checks!$I$611="","",Checks!$I$611&amp;": ")&amp;Checks!$J$611</f>
        <v>F18-UPL-08
F&amp;B Linen: Bread linen (using table cloth) - on board</v>
      </c>
      <c r="B63" s="112" t="str">
        <f aca="false">Checks!$K$611&amp;IF(Checks!$O$611="","",IF(Checks!$K$611="","",CHAR(10))&amp;"Note: "&amp;Checks!$O$611)</f>
        <v>Available (ticked in reference)</v>
      </c>
      <c r="C63" s="112" t="str">
        <f aca="false">Checks!$N$611&amp;CHAR(10)&amp;IF(ISNUMBER(Checks!$R$611),TEXT(Checks!$R$611,"DD-MMM-YY HH:MM"),"")&amp;" "&amp;Checks!$P$611</f>
        <v>Required
27-Oct-26 22:25 KUL</v>
      </c>
      <c r="D63" s="112" t="str">
        <f aca="false">IF(Checks!$U$611="","",Checks!$U$611)&amp;IF(Checks!$AB$611="","",CHAR(10)&amp;"CA: "&amp;Checks!$AB$611)</f>
        <v/>
      </c>
      <c r="E63" s="112" t="str">
        <f aca="false">IF(Checks!$V$611="","",Checks!$V$611)&amp;IF(Checks!$AC$611="","",IF(Checks!$V$611="","",CHAR(10))&amp;"N/A just.: "&amp;Checks!$AC$611)&amp;IF(Checks!$W$611="","",CHAR(10)&amp;"Batch: "&amp;Checks!$W$611)&amp;IF(AND(Checks!$X$611="",Checks!$Y$611=""),"",CHAR(10)&amp;"Exp: "&amp;Checks!$X$611&amp;"  /  Act: "&amp;Checks!$Y$611)</f>
        <v/>
      </c>
      <c r="F63" s="112" t="str">
        <f aca="false">IF(Checks!$Z$611="","","Evidence: "&amp;Checks!$Z$611)&amp;IF(Checks!$AA$611="","",IF(Checks!$Z$611="","",CHAR(10))&amp;"CA: "&amp;Checks!$AA$611)</f>
        <v/>
      </c>
      <c r="G63" s="112" t="str">
        <f aca="false">IF(ISNUMBER(Checks!$AD$611),TEXT(Checks!$AD$611,"DD-MMM-YY HH:MM")&amp;" "&amp;Checks!$P$611,"")&amp;IF(Checks!$AE$611="","",CHAR(10)&amp;"Verifier: "&amp;Checks!$AE$611)&amp;IF(Checks!$T$611="","",CHAR(10)&amp;"PIC: "&amp;Checks!$T$611)</f>
        <v/>
      </c>
      <c r="H63" s="113" t="str">
        <f aca="false">IF(Checks!$AH$611="","",Checks!$AH$611)</f>
        <v>OPEN</v>
      </c>
    </row>
    <row r="64" customFormat="false" ht="114" hidden="false" customHeight="true" outlineLevel="0" collapsed="false">
      <c r="A64" s="112" t="str">
        <f aca="false">Checks!$A$612&amp;CHAR(10)&amp;IF(Checks!$I$612="","",Checks!$I$612&amp;": ")&amp;Checks!$J$612</f>
        <v>F18-UPL-09
F&amp;B Linen: Trolley cloth - on board</v>
      </c>
      <c r="B64" s="112" t="str">
        <f aca="false">SUBSTITUTE(Checks!$K$612&amp;IF(Checks!$O$612="","",IF(Checks!$K$612="","",CHAR(10))&amp;"Note: "&amp;Checks!$O$612),"F&amp;B LINEN!","Ref: F&amp;B LINEN!")</f>
        <v>Wide body: Top/Middle &amp; Bottom
Note: Per note Ref: F&amp;B LINEN!B79:C80.</v>
      </c>
      <c r="C64" s="112" t="str">
        <f aca="false">Checks!$N$612&amp;CHAR(10)&amp;IF(ISNUMBER(Checks!$R$612),TEXT(Checks!$R$612,"DD-MMM-YY HH:MM"),"")&amp;" "&amp;Checks!$P$612</f>
        <v>Required
27-Oct-26 22:25 KUL</v>
      </c>
      <c r="D64" s="112" t="str">
        <f aca="false">IF(Checks!$U$612="","",Checks!$U$612)&amp;IF(Checks!$AB$612="","",CHAR(10)&amp;"CA: "&amp;Checks!$AB$612)</f>
        <v/>
      </c>
      <c r="E64" s="112" t="str">
        <f aca="false">IF(Checks!$V$612="","",Checks!$V$612)&amp;IF(Checks!$AC$612="","",IF(Checks!$V$612="","",CHAR(10))&amp;"N/A just.: "&amp;Checks!$AC$612)&amp;IF(Checks!$W$612="","",CHAR(10)&amp;"Batch: "&amp;Checks!$W$612)&amp;IF(AND(Checks!$X$612="",Checks!$Y$612=""),"",CHAR(10)&amp;"Exp: "&amp;Checks!$X$612&amp;"  /  Act: "&amp;Checks!$Y$612)</f>
        <v/>
      </c>
      <c r="F64" s="112" t="str">
        <f aca="false">IF(Checks!$Z$612="","","Evidence: "&amp;Checks!$Z$612)&amp;IF(Checks!$AA$612="","",IF(Checks!$Z$612="","",CHAR(10))&amp;"CA: "&amp;Checks!$AA$612)</f>
        <v/>
      </c>
      <c r="G64" s="112" t="str">
        <f aca="false">IF(ISNUMBER(Checks!$AD$612),TEXT(Checks!$AD$612,"DD-MMM-YY HH:MM")&amp;" "&amp;Checks!$P$612,"")&amp;IF(Checks!$AE$612="","",CHAR(10)&amp;"Verifier: "&amp;Checks!$AE$612)&amp;IF(Checks!$T$612="","",CHAR(10)&amp;"PIC: "&amp;Checks!$T$612)</f>
        <v/>
      </c>
      <c r="H64" s="113" t="str">
        <f aca="false">IF(Checks!$AH$612="","",Checks!$AH$612)</f>
        <v>OPEN</v>
      </c>
    </row>
    <row r="65" customFormat="false" ht="114" hidden="false" customHeight="true" outlineLevel="0" collapsed="false">
      <c r="A65" s="112" t="str">
        <f aca="false">Checks!$A$613&amp;CHAR(10)&amp;IF(Checks!$I$613="","",Checks!$I$613&amp;": ")&amp;Checks!$J$613</f>
        <v>F18-UPL-10
F&amp;B Linen: Linen bag - on board</v>
      </c>
      <c r="B65" s="112" t="str">
        <f aca="false">Checks!$K$613&amp;IF(Checks!$O$613="","",IF(Checks!$K$613="","",CHAR(10))&amp;"Note: "&amp;Checks!$O$613)</f>
        <v>Available (ticked in reference)</v>
      </c>
      <c r="C65" s="112" t="str">
        <f aca="false">Checks!$N$613&amp;CHAR(10)&amp;IF(ISNUMBER(Checks!$R$613),TEXT(Checks!$R$613,"DD-MMM-YY HH:MM"),"")&amp;" "&amp;Checks!$P$613</f>
        <v>Required
27-Oct-26 22:25 KUL</v>
      </c>
      <c r="D65" s="112" t="str">
        <f aca="false">IF(Checks!$U$613="","",Checks!$U$613)&amp;IF(Checks!$AB$613="","",CHAR(10)&amp;"CA: "&amp;Checks!$AB$613)</f>
        <v/>
      </c>
      <c r="E65" s="112" t="str">
        <f aca="false">IF(Checks!$V$613="","",Checks!$V$613)&amp;IF(Checks!$AC$613="","",IF(Checks!$V$613="","",CHAR(10))&amp;"N/A just.: "&amp;Checks!$AC$613)&amp;IF(Checks!$W$613="","",CHAR(10)&amp;"Batch: "&amp;Checks!$W$613)&amp;IF(AND(Checks!$X$613="",Checks!$Y$613=""),"",CHAR(10)&amp;"Exp: "&amp;Checks!$X$613&amp;"  /  Act: "&amp;Checks!$Y$613)</f>
        <v/>
      </c>
      <c r="F65" s="112" t="str">
        <f aca="false">IF(Checks!$Z$613="","","Evidence: "&amp;Checks!$Z$613)&amp;IF(Checks!$AA$613="","",IF(Checks!$Z$613="","",CHAR(10))&amp;"CA: "&amp;Checks!$AA$613)</f>
        <v/>
      </c>
      <c r="G65" s="112" t="str">
        <f aca="false">IF(ISNUMBER(Checks!$AD$613),TEXT(Checks!$AD$613,"DD-MMM-YY HH:MM")&amp;" "&amp;Checks!$P$613,"")&amp;IF(Checks!$AE$613="","",CHAR(10)&amp;"Verifier: "&amp;Checks!$AE$613)&amp;IF(Checks!$T$613="","",CHAR(10)&amp;"PIC: "&amp;Checks!$T$613)</f>
        <v/>
      </c>
      <c r="H65" s="113" t="str">
        <f aca="false">IF(Checks!$AH$613="","",Checks!$AH$613)</f>
        <v>OPEN</v>
      </c>
    </row>
    <row r="66" customFormat="false" ht="114" hidden="false" customHeight="true" outlineLevel="0" collapsed="false">
      <c r="A66" s="112" t="str">
        <f aca="false">Checks!$A$614&amp;CHAR(10)&amp;IF(Checks!$I$614="","",Checks!$I$614&amp;": ")&amp;Checks!$J$614</f>
        <v>F18-UPL-11
Seat Linen: Seat pillow (BS &amp; BC) - on board</v>
      </c>
      <c r="B66" s="112" t="str">
        <f aca="false">Checks!$K$614&amp;IF(Checks!$O$614="","",IF(Checks!$K$614="","",CHAR(10))&amp;"Note: "&amp;Checks!$O$614)</f>
        <v>Available 100% (ticked in reference)</v>
      </c>
      <c r="C66" s="112" t="str">
        <f aca="false">Checks!$N$614&amp;CHAR(10)&amp;IF(ISNUMBER(Checks!$R$614),TEXT(Checks!$R$614,"DD-MMM-YY HH:MM"),"")&amp;" "&amp;Checks!$P$614</f>
        <v>Required
27-Oct-26 22:25 KUL</v>
      </c>
      <c r="D66" s="112" t="str">
        <f aca="false">IF(Checks!$U$614="","",Checks!$U$614)&amp;IF(Checks!$AB$614="","",CHAR(10)&amp;"CA: "&amp;Checks!$AB$614)</f>
        <v/>
      </c>
      <c r="E66" s="112" t="str">
        <f aca="false">IF(Checks!$V$614="","",Checks!$V$614)&amp;IF(Checks!$AC$614="","",IF(Checks!$V$614="","",CHAR(10))&amp;"N/A just.: "&amp;Checks!$AC$614)&amp;IF(Checks!$W$614="","",CHAR(10)&amp;"Batch: "&amp;Checks!$W$614)&amp;IF(AND(Checks!$X$614="",Checks!$Y$614=""),"",CHAR(10)&amp;"Exp: "&amp;Checks!$X$614&amp;"  /  Act: "&amp;Checks!$Y$614)</f>
        <v/>
      </c>
      <c r="F66" s="112" t="str">
        <f aca="false">IF(Checks!$Z$614="","","Evidence: "&amp;Checks!$Z$614)&amp;IF(Checks!$AA$614="","",IF(Checks!$Z$614="","",CHAR(10))&amp;"CA: "&amp;Checks!$AA$614)</f>
        <v/>
      </c>
      <c r="G66" s="112" t="str">
        <f aca="false">IF(ISNUMBER(Checks!$AD$614),TEXT(Checks!$AD$614,"DD-MMM-YY HH:MM")&amp;" "&amp;Checks!$P$614,"")&amp;IF(Checks!$AE$614="","",CHAR(10)&amp;"Verifier: "&amp;Checks!$AE$614)&amp;IF(Checks!$T$614="","",CHAR(10)&amp;"PIC: "&amp;Checks!$T$614)</f>
        <v/>
      </c>
      <c r="H66" s="113" t="str">
        <f aca="false">IF(Checks!$AH$614="","",Checks!$AH$614)</f>
        <v>OPEN</v>
      </c>
    </row>
    <row r="67" customFormat="false" ht="114" hidden="false" customHeight="true" outlineLevel="0" collapsed="false">
      <c r="A67" s="112" t="str">
        <f aca="false">Checks!$A$615&amp;CHAR(10)&amp;IF(Checks!$I$615="","",Checks!$I$615&amp;": ")&amp;Checks!$J$615</f>
        <v>F18-UPL-12
Seat Linen: Duvet (BS &amp; BC) - on board</v>
      </c>
      <c r="B67" s="112" t="str">
        <f aca="false">Checks!$K$615&amp;IF(Checks!$O$615="","",IF(Checks!$K$615="","",CHAR(10))&amp;"Note: "&amp;Checks!$O$615)</f>
        <v>Available 100% (ticked in reference)</v>
      </c>
      <c r="C67" s="112" t="str">
        <f aca="false">Checks!$N$615&amp;CHAR(10)&amp;IF(ISNUMBER(Checks!$R$615),TEXT(Checks!$R$615,"DD-MMM-YY HH:MM"),"")&amp;" "&amp;Checks!$P$615</f>
        <v>Required
27-Oct-26 22:25 KUL</v>
      </c>
      <c r="D67" s="112" t="str">
        <f aca="false">IF(Checks!$U$615="","",Checks!$U$615)&amp;IF(Checks!$AB$615="","",CHAR(10)&amp;"CA: "&amp;Checks!$AB$615)</f>
        <v/>
      </c>
      <c r="E67" s="112" t="str">
        <f aca="false">IF(Checks!$V$615="","",Checks!$V$615)&amp;IF(Checks!$AC$615="","",IF(Checks!$V$615="","",CHAR(10))&amp;"N/A just.: "&amp;Checks!$AC$615)&amp;IF(Checks!$W$615="","",CHAR(10)&amp;"Batch: "&amp;Checks!$W$615)&amp;IF(AND(Checks!$X$615="",Checks!$Y$615=""),"",CHAR(10)&amp;"Exp: "&amp;Checks!$X$615&amp;"  /  Act: "&amp;Checks!$Y$615)</f>
        <v/>
      </c>
      <c r="F67" s="112" t="str">
        <f aca="false">IF(Checks!$Z$615="","","Evidence: "&amp;Checks!$Z$615)&amp;IF(Checks!$AA$615="","",IF(Checks!$Z$615="","",CHAR(10))&amp;"CA: "&amp;Checks!$AA$615)</f>
        <v/>
      </c>
      <c r="G67" s="112" t="str">
        <f aca="false">IF(ISNUMBER(Checks!$AD$615),TEXT(Checks!$AD$615,"DD-MMM-YY HH:MM")&amp;" "&amp;Checks!$P$615,"")&amp;IF(Checks!$AE$615="","",CHAR(10)&amp;"Verifier: "&amp;Checks!$AE$615)&amp;IF(Checks!$T$615="","",CHAR(10)&amp;"PIC: "&amp;Checks!$T$615)</f>
        <v/>
      </c>
      <c r="H67" s="113" t="str">
        <f aca="false">IF(Checks!$AH$615="","",Checks!$AH$615)</f>
        <v>OPEN</v>
      </c>
    </row>
    <row r="68" customFormat="false" ht="114" hidden="false" customHeight="true" outlineLevel="0" collapsed="false">
      <c r="A68" s="112" t="str">
        <f aca="false">Checks!$A$616&amp;CHAR(10)&amp;IF(Checks!$I$616="","",Checks!$I$616&amp;": ")&amp;Checks!$J$616</f>
        <v>F18-UPL-13
Seat Linen: Mattress (BS &amp; BC) - on board</v>
      </c>
      <c r="B68" s="112" t="str">
        <f aca="false">Checks!$K$616&amp;IF(Checks!$O$616="","",IF(Checks!$K$616="","",CHAR(10))&amp;"Note: "&amp;Checks!$O$616)</f>
        <v>Available 100% (ticked in reference)</v>
      </c>
      <c r="C68" s="112" t="str">
        <f aca="false">Checks!$N$616&amp;CHAR(10)&amp;IF(ISNUMBER(Checks!$R$616),TEXT(Checks!$R$616,"DD-MMM-YY HH:MM"),"")&amp;" "&amp;Checks!$P$616</f>
        <v>Required
27-Oct-26 22:25 KUL</v>
      </c>
      <c r="D68" s="112" t="str">
        <f aca="false">IF(Checks!$U$616="","",Checks!$U$616)&amp;IF(Checks!$AB$616="","",CHAR(10)&amp;"CA: "&amp;Checks!$AB$616)</f>
        <v/>
      </c>
      <c r="E68" s="112" t="str">
        <f aca="false">IF(Checks!$V$616="","",Checks!$V$616)&amp;IF(Checks!$AC$616="","",IF(Checks!$V$616="","",CHAR(10))&amp;"N/A just.: "&amp;Checks!$AC$616)&amp;IF(Checks!$W$616="","",CHAR(10)&amp;"Batch: "&amp;Checks!$W$616)&amp;IF(AND(Checks!$X$616="",Checks!$Y$616=""),"",CHAR(10)&amp;"Exp: "&amp;Checks!$X$616&amp;"  /  Act: "&amp;Checks!$Y$616)</f>
        <v/>
      </c>
      <c r="F68" s="112" t="str">
        <f aca="false">IF(Checks!$Z$616="","","Evidence: "&amp;Checks!$Z$616)&amp;IF(Checks!$AA$616="","",IF(Checks!$Z$616="","",CHAR(10))&amp;"CA: "&amp;Checks!$AA$616)</f>
        <v/>
      </c>
      <c r="G68" s="112" t="str">
        <f aca="false">IF(ISNUMBER(Checks!$AD$616),TEXT(Checks!$AD$616,"DD-MMM-YY HH:MM")&amp;" "&amp;Checks!$P$616,"")&amp;IF(Checks!$AE$616="","",CHAR(10)&amp;"Verifier: "&amp;Checks!$AE$616)&amp;IF(Checks!$T$616="","",CHAR(10)&amp;"PIC: "&amp;Checks!$T$616)</f>
        <v/>
      </c>
      <c r="H68" s="113" t="str">
        <f aca="false">IF(Checks!$AH$616="","",Checks!$AH$616)</f>
        <v>OPEN</v>
      </c>
    </row>
    <row r="69" customFormat="false" ht="114" hidden="false" customHeight="true" outlineLevel="0" collapsed="false">
      <c r="A69" s="112" t="str">
        <f aca="false">Checks!$A$617&amp;CHAR(10)&amp;IF(Checks!$I$617="","",Checks!$I$617&amp;": ")&amp;Checks!$J$617</f>
        <v>F18-UPL-14
Signature Drinks: Signature drink &amp; garnish (BC) - on board</v>
      </c>
      <c r="B69" s="112" t="str">
        <f aca="false">Checks!$K$617&amp;IF(Checks!$O$617="","",IF(Checks!$K$617="","",CHAR(10))&amp;"Note: "&amp;Checks!$O$617)</f>
        <v>Available (ticked in reference)
Note: Signature drinks &amp; garnish uplifted from KUL (note D79).</v>
      </c>
      <c r="C69" s="112" t="str">
        <f aca="false">Checks!$N$617&amp;CHAR(10)&amp;IF(ISNUMBER(Checks!$R$617),TEXT(Checks!$R$617,"DD-MMM-YY HH:MM"),"")&amp;" "&amp;Checks!$P$617</f>
        <v>Required
27-Oct-26 22:25 KUL</v>
      </c>
      <c r="D69" s="112" t="str">
        <f aca="false">IF(Checks!$U$617="","",Checks!$U$617)&amp;IF(Checks!$AB$617="","",CHAR(10)&amp;"CA: "&amp;Checks!$AB$617)</f>
        <v/>
      </c>
      <c r="E69" s="112" t="str">
        <f aca="false">IF(Checks!$V$617="","",Checks!$V$617)&amp;IF(Checks!$AC$617="","",IF(Checks!$V$617="","",CHAR(10))&amp;"N/A just.: "&amp;Checks!$AC$617)&amp;IF(Checks!$W$617="","",CHAR(10)&amp;"Batch: "&amp;Checks!$W$617)&amp;IF(AND(Checks!$X$617="",Checks!$Y$617=""),"",CHAR(10)&amp;"Exp: "&amp;Checks!$X$617&amp;"  /  Act: "&amp;Checks!$Y$617)</f>
        <v/>
      </c>
      <c r="F69" s="112" t="str">
        <f aca="false">IF(Checks!$Z$617="","","Evidence: "&amp;Checks!$Z$617)&amp;IF(Checks!$AA$617="","",IF(Checks!$Z$617="","",CHAR(10))&amp;"CA: "&amp;Checks!$AA$617)</f>
        <v/>
      </c>
      <c r="G69" s="112" t="str">
        <f aca="false">IF(ISNUMBER(Checks!$AD$617),TEXT(Checks!$AD$617,"DD-MMM-YY HH:MM")&amp;" "&amp;Checks!$P$617,"")&amp;IF(Checks!$AE$617="","",CHAR(10)&amp;"Verifier: "&amp;Checks!$AE$617)&amp;IF(Checks!$T$617="","",CHAR(10)&amp;"PIC: "&amp;Checks!$T$617)</f>
        <v/>
      </c>
      <c r="H69" s="113" t="str">
        <f aca="false">IF(Checks!$AH$617="","",Checks!$AH$617)</f>
        <v>OPEN</v>
      </c>
    </row>
    <row r="70" customFormat="false" ht="114" hidden="false" customHeight="true" outlineLevel="0" collapsed="false">
      <c r="A70" s="112" t="str">
        <f aca="false">Checks!$A$618&amp;CHAR(10)&amp;IF(Checks!$I$618="","",Checks!$I$618&amp;": ")&amp;Checks!$J$618</f>
        <v>F18-UPL-15
Sales Cart: Sales cart (caterer PASB) - on board</v>
      </c>
      <c r="B70" s="112" t="str">
        <f aca="false">Checks!$K$618&amp;IF(Checks!$O$618="","",IF(Checks!$K$618="","",CHAR(10))&amp;"Note: "&amp;Checks!$O$618)</f>
        <v>Location 643 &amp; 947 (A333, full cart)
Note: Block 6.50 h &gt;= 4 h.</v>
      </c>
      <c r="C70" s="112" t="str">
        <f aca="false">Checks!$N$618&amp;CHAR(10)&amp;IF(ISNUMBER(Checks!$R$618),TEXT(Checks!$R$618,"DD-MMM-YY HH:MM"),"")&amp;" "&amp;Checks!$P$618</f>
        <v>Required
27-Oct-26 22:25 KUL</v>
      </c>
      <c r="D70" s="112" t="str">
        <f aca="false">IF(Checks!$U$618="","",Checks!$U$618)&amp;IF(Checks!$AB$618="","",CHAR(10)&amp;"CA: "&amp;Checks!$AB$618)</f>
        <v/>
      </c>
      <c r="E70" s="112" t="str">
        <f aca="false">IF(Checks!$V$618="","",Checks!$V$618)&amp;IF(Checks!$AC$618="","",IF(Checks!$V$618="","",CHAR(10))&amp;"N/A just.: "&amp;Checks!$AC$618)&amp;IF(Checks!$W$618="","",CHAR(10)&amp;"Batch: "&amp;Checks!$W$618)&amp;IF(AND(Checks!$X$618="",Checks!$Y$618=""),"",CHAR(10)&amp;"Exp: "&amp;Checks!$X$618&amp;"  /  Act: "&amp;Checks!$Y$618)</f>
        <v/>
      </c>
      <c r="F70" s="112" t="str">
        <f aca="false">IF(Checks!$Z$618="","","Evidence: "&amp;Checks!$Z$618)&amp;IF(Checks!$AA$618="","",IF(Checks!$Z$618="","",CHAR(10))&amp;"CA: "&amp;Checks!$AA$618)</f>
        <v/>
      </c>
      <c r="G70" s="112" t="str">
        <f aca="false">IF(ISNUMBER(Checks!$AD$618),TEXT(Checks!$AD$618,"DD-MMM-YY HH:MM")&amp;" "&amp;Checks!$P$618,"")&amp;IF(Checks!$AE$618="","",CHAR(10)&amp;"Verifier: "&amp;Checks!$AE$618)&amp;IF(Checks!$T$618="","",CHAR(10)&amp;"PIC: "&amp;Checks!$T$618)</f>
        <v/>
      </c>
      <c r="H70" s="113" t="str">
        <f aca="false">IF(Checks!$AH$618="","",Checks!$AH$618)</f>
        <v>OPEN</v>
      </c>
    </row>
    <row r="72" customFormat="false" ht="24" hidden="false" customHeight="true" outlineLevel="0" collapsed="false">
      <c r="A72" s="114" t="s">
        <v>1647</v>
      </c>
      <c r="B72" s="114"/>
      <c r="C72" s="114"/>
      <c r="D72" s="114"/>
      <c r="E72" s="114" t="s">
        <v>1648</v>
      </c>
      <c r="F72" s="114"/>
      <c r="G72" s="114"/>
      <c r="H72" s="114"/>
    </row>
    <row r="73" customFormat="false" ht="21.75" hidden="false" customHeight="true" outlineLevel="0" collapsed="false">
      <c r="A73" s="115"/>
      <c r="B73" s="115"/>
      <c r="C73" s="115"/>
      <c r="D73" s="115"/>
      <c r="E73" s="115"/>
      <c r="F73" s="115"/>
      <c r="G73" s="115"/>
      <c r="H73" s="115"/>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0">
    <cfRule type="expression" priority="17" aboveAverage="0" equalAverage="0" bottom="0" percent="0" rank="0" text="" dxfId="34">
      <formula>LEFT($H23,3)="N/A"</formula>
    </cfRule>
  </conditionalFormatting>
  <conditionalFormatting sqref="D23:D7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F19  "&amp;Flights!$F$23&amp;"  "&amp;TEXT(Flights!$D$23,"DD-MMM-YY")&amp;" ("&amp;Flights!$E$23&amp;")  "&amp;Flights!$G$23&amp;" → "&amp;Flights!$H$23&amp;"  |  Class "&amp;Flights!$K$23</f>
        <v>SKYTRAX 2026 CATERING READINESS CHECKLIST  |  F19  MH0053  29-Oct-26 (THU)  KIX → KUL  |  Class EY</v>
      </c>
      <c r="B1" s="90"/>
      <c r="C1" s="90"/>
      <c r="D1" s="90"/>
      <c r="E1" s="90"/>
      <c r="F1" s="90"/>
      <c r="G1" s="90"/>
      <c r="H1" s="90"/>
    </row>
    <row r="2" customFormat="false" ht="12.75" hidden="false" customHeight="true" outlineLevel="0" collapsed="false">
      <c r="A2" s="91" t="s">
        <v>1602</v>
      </c>
      <c r="B2" s="92" t="str">
        <f aca="false">Flights!$F$23&amp;"   "&amp;TEXT(Flights!$D$23,"DD-MMM-YY")&amp;" ("&amp;Flights!$E$23&amp;")"</f>
        <v>MH0053   29-Oct-26 (THU)</v>
      </c>
      <c r="C2" s="92"/>
      <c r="D2" s="92"/>
      <c r="E2" s="93" t="s">
        <v>1603</v>
      </c>
      <c r="F2" s="94" t="str">
        <f aca="false">Flights!$AT$23</f>
        <v>NOT READY – DOCUMENTS</v>
      </c>
      <c r="G2" s="94"/>
      <c r="H2" s="94"/>
    </row>
    <row r="3" customFormat="false" ht="24" hidden="false" customHeight="true" outlineLevel="0" collapsed="false">
      <c r="A3" s="91" t="s">
        <v>1604</v>
      </c>
      <c r="B3" s="92" t="str">
        <f aca="false">Flights!$G$23&amp;" → "&amp;Flights!$H$23&amp;"   Class "&amp;Flights!$K$23&amp;"   Seat "&amp;Flights!$O$23</f>
        <v>KIX → KUL   Class EY   Seat 9C</v>
      </c>
      <c r="C3" s="92"/>
      <c r="D3" s="92"/>
      <c r="E3" s="93" t="s">
        <v>66</v>
      </c>
      <c r="F3" s="93" t="s">
        <v>1605</v>
      </c>
      <c r="G3" s="93" t="s">
        <v>1606</v>
      </c>
      <c r="H3" s="93"/>
    </row>
    <row r="4" customFormat="false" ht="24" hidden="false" customHeight="true" outlineLevel="0" collapsed="false">
      <c r="A4" s="91" t="s">
        <v>1607</v>
      </c>
      <c r="B4" s="92" t="str">
        <f aca="false">IF(ISNUMBER(Flights!$I$23),TEXT(Flights!$I$23,"DD-MMM-YY HH:MM"),"")&amp;" "&amp;Flights!$G$23&amp;"  →  "&amp;IF(ISNUMBER(Flights!$J$23),TEXT(Flights!$J$23,"DD-MMM-YY HH:MM"),"")&amp;" "&amp;Flights!$H$23</f>
        <v>29-Oct-26 09:40 KIX  →  29-Oct-26 16:45 KUL</v>
      </c>
      <c r="C4" s="92"/>
      <c r="D4" s="92"/>
      <c r="E4" s="91" t="s">
        <v>1608</v>
      </c>
      <c r="F4" s="95" t="str">
        <f aca="false">IF(ISNUMBER(Flights!$AG$23),TEXT(Flights!$AG$23,"DD-MMM-YY HH:MM"),"")&amp;" "&amp;Flights!$V$23</f>
        <v>22-Oct-26 09:40 KIX</v>
      </c>
      <c r="G4" s="96" t="n">
        <f aca="false">Flights!$AJ$23</f>
        <v>0</v>
      </c>
      <c r="H4" s="96"/>
    </row>
    <row r="5" customFormat="false" ht="24" hidden="false" customHeight="true" outlineLevel="0" collapsed="false">
      <c r="A5" s="91" t="s">
        <v>1609</v>
      </c>
      <c r="B5" s="92" t="str">
        <f aca="false">Flights!$L$23&amp;" – "&amp;Flights!$M$23</f>
        <v>A333 – A330-300 (A333)</v>
      </c>
      <c r="C5" s="92"/>
      <c r="D5" s="92"/>
      <c r="E5" s="91" t="s">
        <v>1610</v>
      </c>
      <c r="F5" s="95" t="str">
        <f aca="false">IF(ISNUMBER(Flights!$AH$23),TEXT(Flights!$AH$23,"DD-MMM-YY HH:MM"),"")&amp;" "&amp;Flights!$V$23</f>
        <v>28-Oct-26 09:40 KIX</v>
      </c>
      <c r="G5" s="96" t="n">
        <f aca="false">Flights!$AK$23</f>
        <v>0</v>
      </c>
      <c r="H5" s="96"/>
    </row>
    <row r="6" customFormat="false" ht="24" hidden="false" customHeight="true" outlineLevel="0" collapsed="false">
      <c r="A6" s="91" t="s">
        <v>1611</v>
      </c>
      <c r="B6" s="92" t="str">
        <f aca="false">IF(TRIM(Flights!$N$23)="","__________________",Flights!$N$23)</f>
        <v>__________________</v>
      </c>
      <c r="C6" s="92"/>
      <c r="D6" s="92"/>
      <c r="E6" s="91" t="s">
        <v>1612</v>
      </c>
      <c r="F6" s="95" t="str">
        <f aca="false">IF(ISNUMBER(Flights!$AI$23),TEXT(Flights!$AI$23,"DD-MMM-YY HH:MM"),"")&amp;" "&amp;Flights!$V$23&amp;IF(Flights!$AI$23=Flights!$AH$23,"  (= T-24H due)","")</f>
        <v>28-Oct-26 21:40 KIX</v>
      </c>
      <c r="G6" s="96" t="n">
        <f aca="false">Flights!$AL$23</f>
        <v>0</v>
      </c>
      <c r="H6" s="96"/>
    </row>
    <row r="7" customFormat="false" ht="24" hidden="false" customHeight="true" outlineLevel="0" collapsed="false">
      <c r="A7" s="91" t="s">
        <v>1613</v>
      </c>
      <c r="B7" s="92" t="str">
        <f aca="false">Flights!$T$23</f>
        <v>1.5 Meal (Meal)</v>
      </c>
      <c r="C7" s="92"/>
      <c r="D7" s="92"/>
      <c r="E7" s="91" t="s">
        <v>1614</v>
      </c>
      <c r="F7" s="95" t="str">
        <f aca="false">"STD "&amp;IF(ISNUMBER(Flights!$I$23),TEXT(Flights!$I$23,"DD-MMM-YY HH:MM"),"")&amp;" "&amp;Flights!$G$23&amp;" (dep stn)"</f>
        <v>STD 29-Oct-26 09:40 KIX (dep stn)</v>
      </c>
      <c r="G7" s="96" t="n">
        <f aca="false">Flights!$AM$23</f>
        <v>0</v>
      </c>
      <c r="H7" s="96"/>
    </row>
    <row r="8" customFormat="false" ht="12.75" hidden="false" customHeight="true" outlineLevel="0" collapsed="false">
      <c r="A8" s="91" t="s">
        <v>148</v>
      </c>
      <c r="B8" s="92" t="str">
        <f aca="false">Flights!$V$23&amp;"   (reference uplift stns: "&amp;Flights!$U$23&amp;")"</f>
        <v>KIX   (reference uplift stns: KUL/KIX)</v>
      </c>
      <c r="C8" s="92"/>
      <c r="D8" s="92"/>
      <c r="E8" s="91" t="s">
        <v>1615</v>
      </c>
      <c r="F8" s="97" t="s">
        <v>1616</v>
      </c>
      <c r="G8" s="96" t="n">
        <f aca="false">Flights!$AN$23</f>
        <v>0</v>
      </c>
      <c r="H8" s="96"/>
    </row>
    <row r="9" customFormat="false" ht="12.75" hidden="false" customHeight="true" outlineLevel="0" collapsed="false">
      <c r="A9" s="91" t="s">
        <v>1617</v>
      </c>
      <c r="B9" s="92" t="str">
        <f aca="false">TRIM(Flights!$P$23&amp;"  "&amp;Flights!$Q$23)</f>
        <v>-</v>
      </c>
      <c r="C9" s="92"/>
      <c r="D9" s="92"/>
      <c r="E9" s="91" t="s">
        <v>1618</v>
      </c>
      <c r="F9" s="98" t="n">
        <f aca="false">Flights!$AP$23</f>
        <v>0</v>
      </c>
      <c r="G9" s="98" t="n">
        <f aca="false">Flights!$AQ$23</f>
        <v>0</v>
      </c>
      <c r="H9" s="98" t="n">
        <f aca="false">Flights!$AU$23</f>
        <v>0</v>
      </c>
    </row>
    <row r="10" customFormat="false" ht="24" hidden="false" customHeight="true" outlineLevel="0" collapsed="false">
      <c r="A10" s="91" t="s">
        <v>1619</v>
      </c>
      <c r="B10" s="92" t="str">
        <f aca="false">IF(TRIM(Flights!$X$23)="","__________________",Flights!$X$23)</f>
        <v>__________________</v>
      </c>
      <c r="C10" s="92"/>
      <c r="D10" s="92"/>
      <c r="E10" s="91" t="s">
        <v>1620</v>
      </c>
      <c r="F10" s="98" t="n">
        <f aca="false">Flights!$AO$23</f>
        <v>24</v>
      </c>
      <c r="G10" s="98" t="n">
        <f aca="false">Flights!$AS$23</f>
        <v>2</v>
      </c>
      <c r="H10" s="98" t="n">
        <f aca="false">Flights!$AR$23</f>
        <v>2</v>
      </c>
    </row>
    <row r="11" customFormat="false" ht="21" hidden="false" customHeight="true" outlineLevel="0" collapsed="false">
      <c r="A11" s="91" t="s">
        <v>1621</v>
      </c>
      <c r="B11" s="92" t="str">
        <f aca="false">IF(TRIM(Flights!$Y$23)="","__________________",Flights!$Y$23)</f>
        <v>__________________</v>
      </c>
      <c r="C11" s="92"/>
      <c r="D11" s="92"/>
      <c r="E11" s="91" t="s">
        <v>1622</v>
      </c>
      <c r="F11" s="98" t="str">
        <f aca="false">Flights!$AV$23&amp;" / "&amp;Flights!$AW$23</f>
        <v>0 / 24</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IF(Documents!$F$23="","",Documents!$F$23)</f>
        <v/>
      </c>
      <c r="C14" s="97" t="str">
        <f aca="false">IF(Documents!$G$23="","",Documents!$G$23)&amp;IF(ISNUMBER(Documents!$H$23),"  "&amp;TEXT(Documents!$H$23,"DD-MMM-YY"),"")</f>
        <v/>
      </c>
      <c r="D14" s="97"/>
      <c r="E14" s="105" t="str">
        <f aca="false">IF(Documents!$J$23="OUTSTANDING","OUTSTANDING – attach before T-7D (due "&amp;IF(ISNUMBER(Flights!$AG$23),TEXT(Flights!$AG$23,"DD-MMM-YY HH:MM"),"")&amp;" "&amp;Flights!$V$23&amp;")",IF(Documents!$J$23="","Status not recorded",Documents!$J$23))</f>
        <v>OUTSTANDING – attach before T-7D (due 22-Oct-26 09:40 KIX)</v>
      </c>
      <c r="F14" s="106" t="str">
        <f aca="false">"Staple behind this sheet as page A1."&amp;IF(Documents!$I$23="",""," Location: "&amp;Documents!$I$23)</f>
        <v>Staple behind this sheet as page A1.</v>
      </c>
      <c r="G14" s="106"/>
      <c r="H14" s="106"/>
    </row>
    <row r="15" customFormat="false" ht="36" hidden="false" customHeight="true" outlineLevel="0" collapsed="false">
      <c r="A15" s="91" t="s">
        <v>1633</v>
      </c>
      <c r="B15" s="92" t="str">
        <f aca="false">IF(Documents!$K$23="","",Documents!$K$23)</f>
        <v/>
      </c>
      <c r="C15" s="97" t="str">
        <f aca="false">IF(Documents!$L$23="","",Documents!$L$23)&amp;IF(ISNUMBER(Documents!$M$23),"  "&amp;TEXT(Documents!$M$23,"DD-MMM-YY"),"")</f>
        <v/>
      </c>
      <c r="D15" s="97"/>
      <c r="E15" s="105" t="str">
        <f aca="false">IF(Documents!$O$23="OUTSTANDING","OUTSTANDING – attach before T-7D (due "&amp;IF(ISNUMBER(Flights!$AG$23),TEXT(Flights!$AG$23,"DD-MMM-YY HH:MM"),"")&amp;" "&amp;Flights!$V$23&amp;")",IF(Documents!$O$23="","Status not recorded",Documents!$O$23))</f>
        <v>OUTSTANDING – attach before T-7D (due 22-Oct-26 09:40 KIX)</v>
      </c>
      <c r="F15" s="106" t="str">
        <f aca="false">"Staple behind this sheet as page A2."&amp;IF(Documents!$N$23="",""," Location: "&amp;Documents!$N$23)</f>
        <v>Staple behind this sheet as page A2.</v>
      </c>
      <c r="G15" s="106"/>
      <c r="H15" s="106"/>
    </row>
    <row r="16" customFormat="false" ht="22.5" hidden="false" customHeight="true" outlineLevel="0" collapsed="false">
      <c r="A16" s="91" t="s">
        <v>1634</v>
      </c>
      <c r="B16" s="107" t="str">
        <f aca="false">IF(Documents!$Q$23="","",Documents!$Q$23)</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"&amp;IF(TRIM(Flights!$Y$23)="","__________________",Flights!$Y$23)</f>
        <v>Name: __________________</v>
      </c>
      <c r="B18" s="92"/>
      <c r="C18" s="92" t="str">
        <f aca="false">"Name: __________________"</f>
        <v>Name: __________________</v>
      </c>
      <c r="D18" s="92"/>
      <c r="E18" s="92"/>
      <c r="F18" s="92" t="str">
        <f aca="false">"Name: __________________"&amp;"   Station: "&amp;Flights!$V$23</f>
        <v>Name: __________________   Station: KIX</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Checks!$A$619&amp;CHAR(10)&amp;IF(Checks!$I$619="","",Checks!$I$619&amp;": ")&amp;Checks!$J$619</f>
        <v>F19-T7-01
Meal: Meal sensory testing completed for this flight's menu cycle (assessed class)</v>
      </c>
      <c r="B23" s="112" t="str">
        <f aca="false">Checks!$K$619&amp;IF(Checks!$O$619="","",IF(Checks!$K$619="","",CHAR(10))&amp;"Note: "&amp;Checks!$O$619)</f>
        <v>Record panel result / score in Result</v>
      </c>
      <c r="C23" s="112" t="str">
        <f aca="false">Checks!$N$619&amp;CHAR(10)&amp;IF(ISNUMBER(Checks!$R$619),TEXT(Checks!$R$619,"DD-MMM-YY HH:MM"),"")&amp;" "&amp;Checks!$P$619</f>
        <v>Required
22-Oct-26 09:40 KIX</v>
      </c>
      <c r="D23" s="112" t="str">
        <f aca="false">IF(Checks!$U$619="","",Checks!$U$619)&amp;IF(Checks!$AB$619="","",CHAR(10)&amp;"CA: "&amp;Checks!$AB$619)</f>
        <v/>
      </c>
      <c r="E23" s="112" t="str">
        <f aca="false">IF(Checks!$V$619="","",Checks!$V$619)&amp;IF(Checks!$AC$619="","",IF(Checks!$V$619="","",CHAR(10))&amp;"N/A just.: "&amp;Checks!$AC$619)&amp;IF(Checks!$W$619="","",CHAR(10)&amp;"Batch: "&amp;Checks!$W$619)&amp;IF(AND(Checks!$X$619="",Checks!$Y$619=""),"",CHAR(10)&amp;"Exp: "&amp;Checks!$X$619&amp;"  /  Act: "&amp;Checks!$Y$619)</f>
        <v/>
      </c>
      <c r="F23" s="112" t="str">
        <f aca="false">IF(Checks!$Z$619="","","Evidence: "&amp;Checks!$Z$619)&amp;IF(Checks!$AA$619="","",IF(Checks!$Z$619="","",CHAR(10))&amp;"CA: "&amp;Checks!$AA$619)</f>
        <v/>
      </c>
      <c r="G23" s="112" t="str">
        <f aca="false">IF(ISNUMBER(Checks!$AD$619),TEXT(Checks!$AD$619,"DD-MMM-YY HH:MM")&amp;" "&amp;Checks!$P$619,"")&amp;IF(Checks!$AE$619="","",CHAR(10)&amp;"Verifier: "&amp;Checks!$AE$619)&amp;IF(Checks!$T$619="","",CHAR(10)&amp;"PIC: "&amp;Checks!$T$619)</f>
        <v/>
      </c>
      <c r="H23" s="113" t="str">
        <f aca="false">IF(Checks!$AH$619="","",Checks!$AH$619)</f>
        <v>OPEN</v>
      </c>
    </row>
    <row r="24" customFormat="false" ht="114" hidden="false" customHeight="true" outlineLevel="0" collapsed="false">
      <c r="A24" s="112" t="str">
        <f aca="false">Checks!$A$620&amp;CHAR(10)&amp;IF(Checks!$I$620="","",Checks!$I$620&amp;": ")&amp;Checks!$J$620</f>
        <v>F19-T7-02
Menu: Printed menu cards confirmed (content, cycle, language, quantity)</v>
      </c>
      <c r="B24" s="112" t="str">
        <f aca="false">Checks!$K$620&amp;IF(Checks!$O$620="","",IF(Checks!$K$620="","",CHAR(10))&amp;"Note: "&amp;Checks!$O$620)</f>
        <v>Menu card matches approved menu for this flight</v>
      </c>
      <c r="C24" s="112" t="str">
        <f aca="false">Checks!$N$620&amp;CHAR(10)&amp;IF(ISNUMBER(Checks!$R$620),TEXT(Checks!$R$620,"DD-MMM-YY HH:MM"),"")&amp;" "&amp;Checks!$P$620</f>
        <v>Required
22-Oct-26 09:40 KIX</v>
      </c>
      <c r="D24" s="112" t="str">
        <f aca="false">IF(Checks!$U$620="","",Checks!$U$620)&amp;IF(Checks!$AB$620="","",CHAR(10)&amp;"CA: "&amp;Checks!$AB$620)</f>
        <v/>
      </c>
      <c r="E24" s="112" t="str">
        <f aca="false">IF(Checks!$V$620="","",Checks!$V$620)&amp;IF(Checks!$AC$620="","",IF(Checks!$V$620="","",CHAR(10))&amp;"N/A just.: "&amp;Checks!$AC$620)&amp;IF(Checks!$W$620="","",CHAR(10)&amp;"Batch: "&amp;Checks!$W$620)&amp;IF(AND(Checks!$X$620="",Checks!$Y$620=""),"",CHAR(10)&amp;"Exp: "&amp;Checks!$X$620&amp;"  /  Act: "&amp;Checks!$Y$620)</f>
        <v/>
      </c>
      <c r="F24" s="112" t="str">
        <f aca="false">IF(Checks!$Z$620="","","Evidence: "&amp;Checks!$Z$620)&amp;IF(Checks!$AA$620="","",IF(Checks!$Z$620="","",CHAR(10))&amp;"CA: "&amp;Checks!$AA$620)</f>
        <v/>
      </c>
      <c r="G24" s="112" t="str">
        <f aca="false">IF(ISNUMBER(Checks!$AD$620),TEXT(Checks!$AD$620,"DD-MMM-YY HH:MM")&amp;" "&amp;Checks!$P$620,"")&amp;IF(Checks!$AE$620="","",CHAR(10)&amp;"Verifier: "&amp;Checks!$AE$620)&amp;IF(Checks!$T$620="","",CHAR(10)&amp;"PIC: "&amp;Checks!$T$620)</f>
        <v/>
      </c>
      <c r="H24" s="113" t="str">
        <f aca="false">IF(Checks!$AH$620="","",Checks!$AH$620)</f>
        <v>OPEN</v>
      </c>
    </row>
    <row r="25" customFormat="false" ht="114" hidden="false" customHeight="true" outlineLevel="0" collapsed="false">
      <c r="A25" s="112" t="str">
        <f aca="false">Checks!$A$621&amp;CHAR(10)&amp;IF(Checks!$I$621="","",Checks!$I$621&amp;": ")&amp;Checks!$J$621</f>
        <v>F19-T7-03
IFE: Digital menu in IFE confirmed (A339 only)</v>
      </c>
      <c r="B25" s="112" t="str">
        <f aca="false">Checks!$K$621&amp;IF(Checks!$O$621="","",IF(Checks!$K$621="","",CHAR(10))&amp;"Note: "&amp;Checks!$O$621)</f>
        <v>Applies when fleet = A339
Note: Digital IFE menu applies to A339 only (user brief). Applicability follows the Fleet cell on Flights.</v>
      </c>
      <c r="C25" s="112" t="str">
        <f aca="false">Checks!$N$621&amp;CHAR(10)&amp;IF(ISNUMBER(Checks!$R$621),TEXT(Checks!$R$621,"DD-MMM-YY HH:MM"),"")&amp;" "&amp;Checks!$P$621</f>
        <v>N/A – rule
22-Oct-26 09:40 KIX</v>
      </c>
      <c r="D25" s="112" t="str">
        <f aca="false">IF(Checks!$U$621="","",Checks!$U$621)&amp;IF(Checks!$AB$621="","",CHAR(10)&amp;"CA: "&amp;Checks!$AB$621)</f>
        <v/>
      </c>
      <c r="E25" s="112" t="str">
        <f aca="false">IF(Checks!$V$621="","",Checks!$V$621)&amp;IF(Checks!$AC$621="","",IF(Checks!$V$621="","",CHAR(10))&amp;"N/A just.: "&amp;Checks!$AC$621)&amp;IF(Checks!$W$621="","",CHAR(10)&amp;"Batch: "&amp;Checks!$W$621)&amp;IF(AND(Checks!$X$621="",Checks!$Y$621=""),"",CHAR(10)&amp;"Exp: "&amp;Checks!$X$621&amp;"  /  Act: "&amp;Checks!$Y$621)</f>
        <v/>
      </c>
      <c r="F25" s="112" t="str">
        <f aca="false">IF(Checks!$Z$621="","","Evidence: "&amp;Checks!$Z$621)&amp;IF(Checks!$AA$621="","",IF(Checks!$Z$621="","",CHAR(10))&amp;"CA: "&amp;Checks!$AA$621)</f>
        <v/>
      </c>
      <c r="G25" s="112" t="str">
        <f aca="false">IF(ISNUMBER(Checks!$AD$621),TEXT(Checks!$AD$621,"DD-MMM-YY HH:MM")&amp;" "&amp;Checks!$P$621,"")&amp;IF(Checks!$AE$621="","",CHAR(10)&amp;"Verifier: "&amp;Checks!$AE$621)&amp;IF(Checks!$T$621="","",CHAR(10)&amp;"PIC: "&amp;Checks!$T$621)</f>
        <v/>
      </c>
      <c r="H25" s="113" t="str">
        <f aca="false">IF(Checks!$AH$621="","",Checks!$AH$621)</f>
        <v>N/A – RULE</v>
      </c>
    </row>
    <row r="26" customFormat="false" ht="114" hidden="false" customHeight="true" outlineLevel="0" collapsed="false">
      <c r="A26" s="112" t="str">
        <f aca="false">Checks!$A$622&amp;CHAR(10)&amp;IF(Checks!$I$622="","",Checks!$I$622&amp;": ")&amp;Checks!$J$622</f>
        <v>F19-T7-04
Staffing: Experienced catering officer assigned to this flight</v>
      </c>
      <c r="B26" s="112" t="str">
        <f aca="false">Checks!$K$622&amp;IF(Checks!$O$622="","",IF(Checks!$K$622="","",CHAR(10))&amp;"Note: "&amp;Checks!$O$622)</f>
        <v>Record officer name in Result</v>
      </c>
      <c r="C26" s="112" t="str">
        <f aca="false">Checks!$N$622&amp;CHAR(10)&amp;IF(ISNUMBER(Checks!$R$622),TEXT(Checks!$R$622,"DD-MMM-YY HH:MM"),"")&amp;" "&amp;Checks!$P$622</f>
        <v>Required
22-Oct-26 09:40 KIX</v>
      </c>
      <c r="D26" s="112" t="str">
        <f aca="false">IF(Checks!$U$622="","",Checks!$U$622)&amp;IF(Checks!$AB$622="","",CHAR(10)&amp;"CA: "&amp;Checks!$AB$622)</f>
        <v/>
      </c>
      <c r="E26" s="112" t="str">
        <f aca="false">IF(Checks!$V$622="","",Checks!$V$622)&amp;IF(Checks!$AC$622="","",IF(Checks!$V$622="","",CHAR(10))&amp;"N/A just.: "&amp;Checks!$AC$622)&amp;IF(Checks!$W$622="","",CHAR(10)&amp;"Batch: "&amp;Checks!$W$622)&amp;IF(AND(Checks!$X$622="",Checks!$Y$622=""),"",CHAR(10)&amp;"Exp: "&amp;Checks!$X$622&amp;"  /  Act: "&amp;Checks!$Y$622)</f>
        <v/>
      </c>
      <c r="F26" s="112" t="str">
        <f aca="false">IF(Checks!$Z$622="","","Evidence: "&amp;Checks!$Z$622)&amp;IF(Checks!$AA$622="","",IF(Checks!$Z$622="","",CHAR(10))&amp;"CA: "&amp;Checks!$AA$622)</f>
        <v/>
      </c>
      <c r="G26" s="112" t="str">
        <f aca="false">IF(ISNUMBER(Checks!$AD$622),TEXT(Checks!$AD$622,"DD-MMM-YY HH:MM")&amp;" "&amp;Checks!$P$622,"")&amp;IF(Checks!$AE$622="","",CHAR(10)&amp;"Verifier: "&amp;Checks!$AE$622)&amp;IF(Checks!$T$622="","",CHAR(10)&amp;"PIC: "&amp;Checks!$T$622)</f>
        <v/>
      </c>
      <c r="H26" s="113" t="str">
        <f aca="false">IF(Checks!$AH$622="","",Checks!$AH$622)</f>
        <v>OPEN</v>
      </c>
    </row>
    <row r="27" customFormat="false" ht="114" hidden="false" customHeight="true" outlineLevel="0" collapsed="false">
      <c r="A27" s="112" t="str">
        <f aca="false">Checks!$A$623&amp;CHAR(10)&amp;IF(Checks!$I$623="","",Checks!$I$623&amp;": ")&amp;Checks!$J$623</f>
        <v>F19-T7-05
ISOP: All latest applicable ISOP revisions communicated to caterer</v>
      </c>
      <c r="B27" s="112" t="str">
        <f aca="false">Checks!$K$623&amp;IF(Checks!$O$623="","",IF(Checks!$K$623="","",CHAR(10))&amp;"Note: "&amp;Checks!$O$623)</f>
        <v>List revision numbers in Result (see ISOP register)</v>
      </c>
      <c r="C27" s="112" t="str">
        <f aca="false">Checks!$N$623&amp;CHAR(10)&amp;IF(ISNUMBER(Checks!$R$623),TEXT(Checks!$R$623,"DD-MMM-YY HH:MM"),"")&amp;" "&amp;Checks!$P$623</f>
        <v>Required
22-Oct-26 09:40 KIX</v>
      </c>
      <c r="D27" s="112" t="str">
        <f aca="false">IF(Checks!$U$623="","",Checks!$U$623)&amp;IF(Checks!$AB$623="","",CHAR(10)&amp;"CA: "&amp;Checks!$AB$623)</f>
        <v/>
      </c>
      <c r="E27" s="112" t="str">
        <f aca="false">IF(Checks!$V$623="","",Checks!$V$623)&amp;IF(Checks!$AC$623="","",IF(Checks!$V$623="","",CHAR(10))&amp;"N/A just.: "&amp;Checks!$AC$623)&amp;IF(Checks!$W$623="","",CHAR(10)&amp;"Batch: "&amp;Checks!$W$623)&amp;IF(AND(Checks!$X$623="",Checks!$Y$623=""),"",CHAR(10)&amp;"Exp: "&amp;Checks!$X$623&amp;"  /  Act: "&amp;Checks!$Y$623)</f>
        <v/>
      </c>
      <c r="F27" s="112" t="str">
        <f aca="false">IF(Checks!$Z$623="","","Evidence: "&amp;Checks!$Z$623)&amp;IF(Checks!$AA$623="","",IF(Checks!$Z$623="","",CHAR(10))&amp;"CA: "&amp;Checks!$AA$623)</f>
        <v/>
      </c>
      <c r="G27" s="112" t="str">
        <f aca="false">IF(ISNUMBER(Checks!$AD$623),TEXT(Checks!$AD$623,"DD-MMM-YY HH:MM")&amp;" "&amp;Checks!$P$623,"")&amp;IF(Checks!$AE$623="","",CHAR(10)&amp;"Verifier: "&amp;Checks!$AE$623)&amp;IF(Checks!$T$623="","",CHAR(10)&amp;"PIC: "&amp;Checks!$T$623)</f>
        <v/>
      </c>
      <c r="H27" s="113" t="str">
        <f aca="false">IF(Checks!$AH$623="","",Checks!$AH$623)</f>
        <v>OPEN</v>
      </c>
    </row>
    <row r="28" customFormat="false" ht="114" hidden="false" customHeight="true" outlineLevel="0" collapsed="false">
      <c r="A28" s="112" t="str">
        <f aca="false">Checks!$A$624&amp;CHAR(10)&amp;IF(Checks!$I$624="","",Checks!$I$624&amp;": ")&amp;Checks!$J$624</f>
        <v>F19-T7-06
ISOP: Caterer acknowledgement of ISOP revisions recorded</v>
      </c>
      <c r="B28" s="112" t="str">
        <f aca="false">Checks!$K$624&amp;IF(Checks!$O$624="","",IF(Checks!$K$624="","",CHAR(10))&amp;"Note: "&amp;Checks!$O$624)</f>
        <v>Record acknowledgement ref in Evidence</v>
      </c>
      <c r="C28" s="112" t="str">
        <f aca="false">Checks!$N$624&amp;CHAR(10)&amp;IF(ISNUMBER(Checks!$R$624),TEXT(Checks!$R$624,"DD-MMM-YY HH:MM"),"")&amp;" "&amp;Checks!$P$624</f>
        <v>Required
22-Oct-26 09:40 KIX</v>
      </c>
      <c r="D28" s="112" t="str">
        <f aca="false">IF(Checks!$U$624="","",Checks!$U$624)&amp;IF(Checks!$AB$624="","",CHAR(10)&amp;"CA: "&amp;Checks!$AB$624)</f>
        <v/>
      </c>
      <c r="E28" s="112" t="str">
        <f aca="false">IF(Checks!$V$624="","",Checks!$V$624)&amp;IF(Checks!$AC$624="","",IF(Checks!$V$624="","",CHAR(10))&amp;"N/A just.: "&amp;Checks!$AC$624)&amp;IF(Checks!$W$624="","",CHAR(10)&amp;"Batch: "&amp;Checks!$W$624)&amp;IF(AND(Checks!$X$624="",Checks!$Y$624=""),"",CHAR(10)&amp;"Exp: "&amp;Checks!$X$624&amp;"  /  Act: "&amp;Checks!$Y$624)</f>
        <v/>
      </c>
      <c r="F28" s="112" t="str">
        <f aca="false">IF(Checks!$Z$624="","","Evidence: "&amp;Checks!$Z$624)&amp;IF(Checks!$AA$624="","",IF(Checks!$Z$624="","",CHAR(10))&amp;"CA: "&amp;Checks!$AA$624)</f>
        <v/>
      </c>
      <c r="G28" s="112" t="str">
        <f aca="false">IF(ISNUMBER(Checks!$AD$624),TEXT(Checks!$AD$624,"DD-MMM-YY HH:MM")&amp;" "&amp;Checks!$P$624,"")&amp;IF(Checks!$AE$624="","",CHAR(10)&amp;"Verifier: "&amp;Checks!$AE$624)&amp;IF(Checks!$T$624="","",CHAR(10)&amp;"PIC: "&amp;Checks!$T$624)</f>
        <v/>
      </c>
      <c r="H28" s="113" t="str">
        <f aca="false">IF(Checks!$AH$624="","",Checks!$AH$624)</f>
        <v>OPEN</v>
      </c>
    </row>
    <row r="29" customFormat="false" ht="114" hidden="false" customHeight="true" outlineLevel="0" collapsed="false">
      <c r="A29" s="112" t="str">
        <f aca="false">Checks!$A$625&amp;CHAR(10)&amp;IF(Checks!$I$625="","",Checks!$I$625&amp;": ")&amp;Checks!$J$625</f>
        <v>F19-T7-07
Documents: Galley loading diagram (GLD) received, revision recorded &amp; attached</v>
      </c>
      <c r="B29" s="112" t="str">
        <f aca="false">Checks!$K$625&amp;IF(Checks!$O$625="","",IF(Checks!$K$625="","",CHAR(10))&amp;"Note: "&amp;Checks!$O$625)</f>
        <v>Documents sheet row complete</v>
      </c>
      <c r="C29" s="112" t="str">
        <f aca="false">Checks!$N$625&amp;CHAR(10)&amp;IF(ISNUMBER(Checks!$R$625),TEXT(Checks!$R$625,"DD-MMM-YY HH:MM"),"")&amp;" "&amp;Checks!$P$625</f>
        <v>Required
22-Oct-26 09:40 KIX</v>
      </c>
      <c r="D29" s="112" t="str">
        <f aca="false">IF(Checks!$U$625="","",Checks!$U$625)&amp;IF(Checks!$AB$625="","",CHAR(10)&amp;"CA: "&amp;Checks!$AB$625)</f>
        <v/>
      </c>
      <c r="E29" s="112" t="str">
        <f aca="false">IF(Checks!$V$625="","",Checks!$V$625)&amp;IF(Checks!$AC$625="","",IF(Checks!$V$625="","",CHAR(10))&amp;"N/A just.: "&amp;Checks!$AC$625)&amp;IF(Checks!$W$625="","",CHAR(10)&amp;"Batch: "&amp;Checks!$W$625)&amp;IF(AND(Checks!$X$625="",Checks!$Y$625=""),"",CHAR(10)&amp;"Exp: "&amp;Checks!$X$625&amp;"  /  Act: "&amp;Checks!$Y$625)</f>
        <v/>
      </c>
      <c r="F29" s="112" t="str">
        <f aca="false">IF(Checks!$Z$625="","","Evidence: "&amp;Checks!$Z$625)&amp;IF(Checks!$AA$625="","",IF(Checks!$Z$625="","",CHAR(10))&amp;"CA: "&amp;Checks!$AA$625)</f>
        <v/>
      </c>
      <c r="G29" s="112" t="str">
        <f aca="false">IF(ISNUMBER(Checks!$AD$625),TEXT(Checks!$AD$625,"DD-MMM-YY HH:MM")&amp;" "&amp;Checks!$P$625,"")&amp;IF(Checks!$AE$625="","",CHAR(10)&amp;"Verifier: "&amp;Checks!$AE$625)&amp;IF(Checks!$T$625="","",CHAR(10)&amp;"PIC: "&amp;Checks!$T$625)</f>
        <v/>
      </c>
      <c r="H29" s="113" t="str">
        <f aca="false">IF(Checks!$AH$625="","",Checks!$AH$625)</f>
        <v>OPEN</v>
      </c>
    </row>
    <row r="30" customFormat="false" ht="114" hidden="false" customHeight="true" outlineLevel="0" collapsed="false">
      <c r="A30" s="112" t="str">
        <f aca="false">Checks!$A$626&amp;CHAR(10)&amp;IF(Checks!$I$626="","",Checks!$I$626&amp;": ")&amp;Checks!$J$626</f>
        <v>F19-T7-08
Documents: Menu checklist received, revision recorded &amp; attached</v>
      </c>
      <c r="B30" s="112" t="str">
        <f aca="false">Checks!$K$626&amp;IF(Checks!$O$626="","",IF(Checks!$K$626="","",CHAR(10))&amp;"Note: "&amp;Checks!$O$626)</f>
        <v>Documents sheet row complete</v>
      </c>
      <c r="C30" s="112" t="str">
        <f aca="false">Checks!$N$626&amp;CHAR(10)&amp;IF(ISNUMBER(Checks!$R$626),TEXT(Checks!$R$626,"DD-MMM-YY HH:MM"),"")&amp;" "&amp;Checks!$P$626</f>
        <v>Required
22-Oct-26 09:40 KIX</v>
      </c>
      <c r="D30" s="112" t="str">
        <f aca="false">IF(Checks!$U$626="","",Checks!$U$626)&amp;IF(Checks!$AB$626="","",CHAR(10)&amp;"CA: "&amp;Checks!$AB$626)</f>
        <v/>
      </c>
      <c r="E30" s="112" t="str">
        <f aca="false">IF(Checks!$V$626="","",Checks!$V$626)&amp;IF(Checks!$AC$626="","",IF(Checks!$V$626="","",CHAR(10))&amp;"N/A just.: "&amp;Checks!$AC$626)&amp;IF(Checks!$W$626="","",CHAR(10)&amp;"Batch: "&amp;Checks!$W$626)&amp;IF(AND(Checks!$X$626="",Checks!$Y$626=""),"",CHAR(10)&amp;"Exp: "&amp;Checks!$X$626&amp;"  /  Act: "&amp;Checks!$Y$626)</f>
        <v/>
      </c>
      <c r="F30" s="112" t="str">
        <f aca="false">IF(Checks!$Z$626="","","Evidence: "&amp;Checks!$Z$626)&amp;IF(Checks!$AA$626="","",IF(Checks!$Z$626="","",CHAR(10))&amp;"CA: "&amp;Checks!$AA$626)</f>
        <v/>
      </c>
      <c r="G30" s="112" t="str">
        <f aca="false">IF(ISNUMBER(Checks!$AD$626),TEXT(Checks!$AD$626,"DD-MMM-YY HH:MM")&amp;" "&amp;Checks!$P$626,"")&amp;IF(Checks!$AE$626="","",CHAR(10)&amp;"Verifier: "&amp;Checks!$AE$626)&amp;IF(Checks!$T$626="","",CHAR(10)&amp;"PIC: "&amp;Checks!$T$626)</f>
        <v/>
      </c>
      <c r="H30" s="113" t="str">
        <f aca="false">IF(Checks!$AH$626="","",Checks!$AH$626)</f>
        <v>OPEN</v>
      </c>
    </row>
    <row r="31" customFormat="false" ht="114" hidden="false" customHeight="true" outlineLevel="0" collapsed="false">
      <c r="A31" s="112" t="str">
        <f aca="false">Checks!$A$627&amp;CHAR(10)&amp;IF(Checks!$I$627="","",Checks!$I$627&amp;": ")&amp;Checks!$J$627</f>
        <v>F19-T7-09
Uplift plan: Uplift plan confirmed with caterer vs STD Uplift Information</v>
      </c>
      <c r="B31" s="112" t="str">
        <f aca="false">Checks!$K$627&amp;IF(Checks!$O$627="","",IF(Checks!$K$627="","",CHAR(10))&amp;"Note: "&amp;Checks!$O$627)</f>
        <v>Service: 1.5 Meal (Meal); meal uplift stn KIX (ref lists KUL/KIX)</v>
      </c>
      <c r="C31" s="112" t="str">
        <f aca="false">Checks!$N$627&amp;CHAR(10)&amp;IF(ISNUMBER(Checks!$R$627),TEXT(Checks!$R$627,"DD-MMM-YY HH:MM"),"")&amp;" "&amp;Checks!$P$627</f>
        <v>Required
22-Oct-26 09:40 KIX</v>
      </c>
      <c r="D31" s="112" t="str">
        <f aca="false">IF(Checks!$U$627="","",Checks!$U$627)&amp;IF(Checks!$AB$627="","",CHAR(10)&amp;"CA: "&amp;Checks!$AB$627)</f>
        <v/>
      </c>
      <c r="E31" s="112" t="str">
        <f aca="false">IF(Checks!$V$627="","",Checks!$V$627)&amp;IF(Checks!$AC$627="","",IF(Checks!$V$627="","",CHAR(10))&amp;"N/A just.: "&amp;Checks!$AC$627)&amp;IF(Checks!$W$627="","",CHAR(10)&amp;"Batch: "&amp;Checks!$W$627)&amp;IF(AND(Checks!$X$627="",Checks!$Y$627=""),"",CHAR(10)&amp;"Exp: "&amp;Checks!$X$627&amp;"  /  Act: "&amp;Checks!$Y$627)</f>
        <v/>
      </c>
      <c r="F31" s="112" t="str">
        <f aca="false">IF(Checks!$Z$627="","","Evidence: "&amp;Checks!$Z$627)&amp;IF(Checks!$AA$627="","",IF(Checks!$Z$627="","",CHAR(10))&amp;"CA: "&amp;Checks!$AA$627)</f>
        <v/>
      </c>
      <c r="G31" s="112" t="str">
        <f aca="false">IF(ISNUMBER(Checks!$AD$627),TEXT(Checks!$AD$627,"DD-MMM-YY HH:MM")&amp;" "&amp;Checks!$P$627,"")&amp;IF(Checks!$AE$627="","",CHAR(10)&amp;"Verifier: "&amp;Checks!$AE$627)&amp;IF(Checks!$T$627="","",CHAR(10)&amp;"PIC: "&amp;Checks!$T$627)</f>
        <v/>
      </c>
      <c r="H31" s="113" t="str">
        <f aca="false">IF(Checks!$AH$627="","",Checks!$AH$627)</f>
        <v>OPEN</v>
      </c>
    </row>
    <row r="32" customFormat="false" ht="25.5" hidden="false" customHeight="true" outlineLevel="0" collapsed="false">
      <c r="A32" s="111"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Checks!$A$628&amp;CHAR(10)&amp;IF(Checks!$I$628="","",Checks!$I$628&amp;": ")&amp;Checks!$J$628</f>
        <v>F19-T24-01
Meal: Sensory test repeated on ACTUAL production batch for this flight</v>
      </c>
      <c r="B33" s="112" t="str">
        <f aca="false">Checks!$K$628&amp;IF(Checks!$O$628="","",IF(Checks!$K$628="","",CHAR(10))&amp;"Note: "&amp;Checks!$O$628)</f>
        <v>Batch ID, result, CA and acceptance mandatory</v>
      </c>
      <c r="C33" s="112" t="str">
        <f aca="false">Checks!$N$628&amp;CHAR(10)&amp;IF(ISNUMBER(Checks!$R$628),TEXT(Checks!$R$628,"DD-MMM-YY HH:MM"),"")&amp;" "&amp;Checks!$P$628</f>
        <v>Required
28-Oct-26 09:40 KIX</v>
      </c>
      <c r="D33" s="112" t="str">
        <f aca="false">IF(Checks!$U$628="","",Checks!$U$628)&amp;IF(Checks!$AB$628="","",CHAR(10)&amp;"CA: "&amp;Checks!$AB$628)</f>
        <v/>
      </c>
      <c r="E33" s="112" t="str">
        <f aca="false">IF(Checks!$V$628="","",Checks!$V$628)&amp;IF(Checks!$AC$628="","",IF(Checks!$V$628="","",CHAR(10))&amp;"N/A just.: "&amp;Checks!$AC$628)&amp;IF(Checks!$W$628="","",CHAR(10)&amp;"Batch: "&amp;Checks!$W$628)&amp;IF(AND(Checks!$X$628="",Checks!$Y$628=""),"",CHAR(10)&amp;"Exp: "&amp;Checks!$X$628&amp;"  /  Act: "&amp;Checks!$Y$628)</f>
        <v/>
      </c>
      <c r="F33" s="112" t="str">
        <f aca="false">IF(Checks!$Z$628="","","Evidence: "&amp;Checks!$Z$628)&amp;IF(Checks!$AA$628="","",IF(Checks!$Z$628="","",CHAR(10))&amp;"CA: "&amp;Checks!$AA$628)</f>
        <v/>
      </c>
      <c r="G33" s="112" t="str">
        <f aca="false">IF(ISNUMBER(Checks!$AD$628),TEXT(Checks!$AD$628,"DD-MMM-YY HH:MM")&amp;" "&amp;Checks!$P$628,"")&amp;IF(Checks!$AE$628="","",CHAR(10)&amp;"Verifier: "&amp;Checks!$AE$628)&amp;IF(Checks!$T$628="","",CHAR(10)&amp;"PIC: "&amp;Checks!$T$628)</f>
        <v/>
      </c>
      <c r="H33" s="113" t="str">
        <f aca="false">IF(Checks!$AH$628="","",Checks!$AH$628)</f>
        <v>OPEN</v>
      </c>
    </row>
    <row r="34" customFormat="false" ht="25.5" hidden="false" customHeight="true" outlineLevel="0" collapsed="false">
      <c r="A34" s="111"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1"/>
      <c r="C34" s="111"/>
      <c r="D34" s="111"/>
      <c r="E34" s="111"/>
      <c r="F34" s="111"/>
      <c r="G34" s="111"/>
      <c r="H34" s="111"/>
    </row>
    <row r="35" customFormat="false" ht="114" hidden="false" customHeight="true" outlineLevel="0" collapsed="false">
      <c r="A35" s="112" t="str">
        <f aca="false">Checks!$A$629&amp;CHAR(10)&amp;IF(Checks!$I$629="","",Checks!$I$629&amp;": ")&amp;Checks!$J$629</f>
        <v>F19-T12-01
Meal: Meal quality vs menu checklist</v>
      </c>
      <c r="B35" s="112" t="str">
        <f aca="false">Checks!$K$629&amp;IF(Checks!$O$629="","",IF(Checks!$K$629="","",CHAR(10))&amp;"Note: "&amp;Checks!$O$629)</f>
        <v>Note: Preparation check at caterer - does NOT confirm loading.</v>
      </c>
      <c r="C35" s="112" t="str">
        <f aca="false">Checks!$N$629&amp;CHAR(10)&amp;IF(ISNUMBER(Checks!$R$629),TEXT(Checks!$R$629,"DD-MMM-YY HH:MM"),"")&amp;" "&amp;Checks!$P$629</f>
        <v>Required
28-Oct-26 21:40 KIX</v>
      </c>
      <c r="D35" s="112" t="str">
        <f aca="false">IF(Checks!$U$629="","",Checks!$U$629)&amp;IF(Checks!$AB$629="","",CHAR(10)&amp;"CA: "&amp;Checks!$AB$629)</f>
        <v/>
      </c>
      <c r="E35" s="112" t="str">
        <f aca="false">IF(Checks!$V$629="","",Checks!$V$629)&amp;IF(Checks!$AC$629="","",IF(Checks!$V$629="","",CHAR(10))&amp;"N/A just.: "&amp;Checks!$AC$629)&amp;IF(Checks!$W$629="","",CHAR(10)&amp;"Batch: "&amp;Checks!$W$629)&amp;IF(AND(Checks!$X$629="",Checks!$Y$629=""),"",CHAR(10)&amp;"Exp: "&amp;Checks!$X$629&amp;"  /  Act: "&amp;Checks!$Y$629)</f>
        <v/>
      </c>
      <c r="F35" s="112" t="str">
        <f aca="false">IF(Checks!$Z$629="","","Evidence: "&amp;Checks!$Z$629)&amp;IF(Checks!$AA$629="","",IF(Checks!$Z$629="","",CHAR(10))&amp;"CA: "&amp;Checks!$AA$629)</f>
        <v/>
      </c>
      <c r="G35" s="112" t="str">
        <f aca="false">IF(ISNUMBER(Checks!$AD$629),TEXT(Checks!$AD$629,"DD-MMM-YY HH:MM")&amp;" "&amp;Checks!$P$629,"")&amp;IF(Checks!$AE$629="","",CHAR(10)&amp;"Verifier: "&amp;Checks!$AE$629)&amp;IF(Checks!$T$629="","",CHAR(10)&amp;"PIC: "&amp;Checks!$T$629)</f>
        <v/>
      </c>
      <c r="H35" s="113" t="str">
        <f aca="false">IF(Checks!$AH$629="","",Checks!$AH$629)</f>
        <v>OPEN</v>
      </c>
    </row>
    <row r="36" customFormat="false" ht="114" hidden="false" customHeight="true" outlineLevel="0" collapsed="false">
      <c r="A36" s="112" t="str">
        <f aca="false">Checks!$A$630&amp;CHAR(10)&amp;IF(Checks!$I$630="","",Checks!$I$630&amp;": ")&amp;Checks!$J$630</f>
        <v>F19-T12-02
Meal: Meal quantities vs menu checklist</v>
      </c>
      <c r="B36" s="112" t="str">
        <f aca="false">Checks!$K$630&amp;IF(Checks!$O$630="","",IF(Checks!$K$630="","",CHAR(10))&amp;"Note: "&amp;Checks!$O$630)</f>
        <v>Enter expected &amp; actual
Note: Preparation check at caterer - does NOT confirm loading.</v>
      </c>
      <c r="C36" s="112" t="str">
        <f aca="false">Checks!$N$630&amp;CHAR(10)&amp;IF(ISNUMBER(Checks!$R$630),TEXT(Checks!$R$630,"DD-MMM-YY HH:MM"),"")&amp;" "&amp;Checks!$P$630</f>
        <v>Required
28-Oct-26 21:40 KIX</v>
      </c>
      <c r="D36" s="112" t="str">
        <f aca="false">IF(Checks!$U$630="","",Checks!$U$630)&amp;IF(Checks!$AB$630="","",CHAR(10)&amp;"CA: "&amp;Checks!$AB$630)</f>
        <v/>
      </c>
      <c r="E36" s="112" t="str">
        <f aca="false">IF(Checks!$V$630="","",Checks!$V$630)&amp;IF(Checks!$AC$630="","",IF(Checks!$V$630="","",CHAR(10))&amp;"N/A just.: "&amp;Checks!$AC$630)&amp;IF(Checks!$W$630="","",CHAR(10)&amp;"Batch: "&amp;Checks!$W$630)&amp;IF(AND(Checks!$X$630="",Checks!$Y$630=""),"",CHAR(10)&amp;"Exp: "&amp;Checks!$X$630&amp;"  /  Act: "&amp;Checks!$Y$630)</f>
        <v/>
      </c>
      <c r="F36" s="112" t="str">
        <f aca="false">IF(Checks!$Z$630="","","Evidence: "&amp;Checks!$Z$630)&amp;IF(Checks!$AA$630="","",IF(Checks!$Z$630="","",CHAR(10))&amp;"CA: "&amp;Checks!$AA$630)</f>
        <v/>
      </c>
      <c r="G36" s="112" t="str">
        <f aca="false">IF(ISNUMBER(Checks!$AD$630),TEXT(Checks!$AD$630,"DD-MMM-YY HH:MM")&amp;" "&amp;Checks!$P$630,"")&amp;IF(Checks!$AE$630="","",CHAR(10)&amp;"Verifier: "&amp;Checks!$AE$630)&amp;IF(Checks!$T$630="","",CHAR(10)&amp;"PIC: "&amp;Checks!$T$630)</f>
        <v/>
      </c>
      <c r="H36" s="113" t="str">
        <f aca="false">IF(Checks!$AH$630="","",Checks!$AH$630)</f>
        <v>OPEN</v>
      </c>
    </row>
    <row r="37" customFormat="false" ht="114" hidden="false" customHeight="true" outlineLevel="0" collapsed="false">
      <c r="A37" s="112" t="str">
        <f aca="false">Checks!$A$631&amp;CHAR(10)&amp;IF(Checks!$I$631="","",Checks!$I$631&amp;": ")&amp;Checks!$J$631</f>
        <v>F19-T12-03
Equipment: Equipment cleanliness vs GLD</v>
      </c>
      <c r="B37" s="112" t="str">
        <f aca="false">Checks!$K$631&amp;IF(Checks!$O$631="","",IF(Checks!$K$631="","",CHAR(10))&amp;"Note: "&amp;Checks!$O$631)</f>
        <v>Note: Preparation check at caterer - does NOT confirm loading.</v>
      </c>
      <c r="C37" s="112" t="str">
        <f aca="false">Checks!$N$631&amp;CHAR(10)&amp;IF(ISNUMBER(Checks!$R$631),TEXT(Checks!$R$631,"DD-MMM-YY HH:MM"),"")&amp;" "&amp;Checks!$P$631</f>
        <v>Required
28-Oct-26 21:40 KIX</v>
      </c>
      <c r="D37" s="112" t="str">
        <f aca="false">IF(Checks!$U$631="","",Checks!$U$631)&amp;IF(Checks!$AB$631="","",CHAR(10)&amp;"CA: "&amp;Checks!$AB$631)</f>
        <v/>
      </c>
      <c r="E37" s="112" t="str">
        <f aca="false">IF(Checks!$V$631="","",Checks!$V$631)&amp;IF(Checks!$AC$631="","",IF(Checks!$V$631="","",CHAR(10))&amp;"N/A just.: "&amp;Checks!$AC$631)&amp;IF(Checks!$W$631="","",CHAR(10)&amp;"Batch: "&amp;Checks!$W$631)&amp;IF(AND(Checks!$X$631="",Checks!$Y$631=""),"",CHAR(10)&amp;"Exp: "&amp;Checks!$X$631&amp;"  /  Act: "&amp;Checks!$Y$631)</f>
        <v/>
      </c>
      <c r="F37" s="112" t="str">
        <f aca="false">IF(Checks!$Z$631="","","Evidence: "&amp;Checks!$Z$631)&amp;IF(Checks!$AA$631="","",IF(Checks!$Z$631="","",CHAR(10))&amp;"CA: "&amp;Checks!$AA$631)</f>
        <v/>
      </c>
      <c r="G37" s="112" t="str">
        <f aca="false">IF(ISNUMBER(Checks!$AD$631),TEXT(Checks!$AD$631,"DD-MMM-YY HH:MM")&amp;" "&amp;Checks!$P$631,"")&amp;IF(Checks!$AE$631="","",CHAR(10)&amp;"Verifier: "&amp;Checks!$AE$631)&amp;IF(Checks!$T$631="","",CHAR(10)&amp;"PIC: "&amp;Checks!$T$631)</f>
        <v/>
      </c>
      <c r="H37" s="113" t="str">
        <f aca="false">IF(Checks!$AH$631="","",Checks!$AH$631)</f>
        <v>OPEN</v>
      </c>
    </row>
    <row r="38" customFormat="false" ht="114" hidden="false" customHeight="true" outlineLevel="0" collapsed="false">
      <c r="A38" s="112" t="str">
        <f aca="false">Checks!$A$632&amp;CHAR(10)&amp;IF(Checks!$I$632="","",Checks!$I$632&amp;": ")&amp;Checks!$J$632</f>
        <v>F19-T12-04
Equipment: Equipment presentation vs GLD</v>
      </c>
      <c r="B38" s="112" t="str">
        <f aca="false">Checks!$K$632&amp;IF(Checks!$O$632="","",IF(Checks!$K$632="","",CHAR(10))&amp;"Note: "&amp;Checks!$O$632)</f>
        <v>Note: Preparation check at caterer - does NOT confirm loading.</v>
      </c>
      <c r="C38" s="112" t="str">
        <f aca="false">Checks!$N$632&amp;CHAR(10)&amp;IF(ISNUMBER(Checks!$R$632),TEXT(Checks!$R$632,"DD-MMM-YY HH:MM"),"")&amp;" "&amp;Checks!$P$632</f>
        <v>Required
28-Oct-26 21:40 KIX</v>
      </c>
      <c r="D38" s="112" t="str">
        <f aca="false">IF(Checks!$U$632="","",Checks!$U$632)&amp;IF(Checks!$AB$632="","",CHAR(10)&amp;"CA: "&amp;Checks!$AB$632)</f>
        <v/>
      </c>
      <c r="E38" s="112" t="str">
        <f aca="false">IF(Checks!$V$632="","",Checks!$V$632)&amp;IF(Checks!$AC$632="","",IF(Checks!$V$632="","",CHAR(10))&amp;"N/A just.: "&amp;Checks!$AC$632)&amp;IF(Checks!$W$632="","",CHAR(10)&amp;"Batch: "&amp;Checks!$W$632)&amp;IF(AND(Checks!$X$632="",Checks!$Y$632=""),"",CHAR(10)&amp;"Exp: "&amp;Checks!$X$632&amp;"  /  Act: "&amp;Checks!$Y$632)</f>
        <v/>
      </c>
      <c r="F38" s="112" t="str">
        <f aca="false">IF(Checks!$Z$632="","","Evidence: "&amp;Checks!$Z$632)&amp;IF(Checks!$AA$632="","",IF(Checks!$Z$632="","",CHAR(10))&amp;"CA: "&amp;Checks!$AA$632)</f>
        <v/>
      </c>
      <c r="G38" s="112" t="str">
        <f aca="false">IF(ISNUMBER(Checks!$AD$632),TEXT(Checks!$AD$632,"DD-MMM-YY HH:MM")&amp;" "&amp;Checks!$P$632,"")&amp;IF(Checks!$AE$632="","",CHAR(10)&amp;"Verifier: "&amp;Checks!$AE$632)&amp;IF(Checks!$T$632="","",CHAR(10)&amp;"PIC: "&amp;Checks!$T$632)</f>
        <v/>
      </c>
      <c r="H38" s="113" t="str">
        <f aca="false">IF(Checks!$AH$632="","",Checks!$AH$632)</f>
        <v>OPEN</v>
      </c>
    </row>
    <row r="39" customFormat="false" ht="114" hidden="false" customHeight="true" outlineLevel="0" collapsed="false">
      <c r="A39" s="112" t="str">
        <f aca="false">Checks!$A$633&amp;CHAR(10)&amp;IF(Checks!$I$633="","",Checks!$I$633&amp;": ")&amp;Checks!$J$633</f>
        <v>F19-T12-05
Equipment: Equipment serviceability vs GLD</v>
      </c>
      <c r="B39" s="112" t="str">
        <f aca="false">Checks!$K$633&amp;IF(Checks!$O$633="","",IF(Checks!$K$633="","",CHAR(10))&amp;"Note: "&amp;Checks!$O$633)</f>
        <v>Note: Preparation check at caterer - does NOT confirm loading.</v>
      </c>
      <c r="C39" s="112" t="str">
        <f aca="false">Checks!$N$633&amp;CHAR(10)&amp;IF(ISNUMBER(Checks!$R$633),TEXT(Checks!$R$633,"DD-MMM-YY HH:MM"),"")&amp;" "&amp;Checks!$P$633</f>
        <v>Required
28-Oct-26 21:40 KIX</v>
      </c>
      <c r="D39" s="112" t="str">
        <f aca="false">IF(Checks!$U$633="","",Checks!$U$633)&amp;IF(Checks!$AB$633="","",CHAR(10)&amp;"CA: "&amp;Checks!$AB$633)</f>
        <v/>
      </c>
      <c r="E39" s="112" t="str">
        <f aca="false">IF(Checks!$V$633="","",Checks!$V$633)&amp;IF(Checks!$AC$633="","",IF(Checks!$V$633="","",CHAR(10))&amp;"N/A just.: "&amp;Checks!$AC$633)&amp;IF(Checks!$W$633="","",CHAR(10)&amp;"Batch: "&amp;Checks!$W$633)&amp;IF(AND(Checks!$X$633="",Checks!$Y$633=""),"",CHAR(10)&amp;"Exp: "&amp;Checks!$X$633&amp;"  /  Act: "&amp;Checks!$Y$633)</f>
        <v/>
      </c>
      <c r="F39" s="112" t="str">
        <f aca="false">IF(Checks!$Z$633="","","Evidence: "&amp;Checks!$Z$633)&amp;IF(Checks!$AA$633="","",IF(Checks!$Z$633="","",CHAR(10))&amp;"CA: "&amp;Checks!$AA$633)</f>
        <v/>
      </c>
      <c r="G39" s="112" t="str">
        <f aca="false">IF(ISNUMBER(Checks!$AD$633),TEXT(Checks!$AD$633,"DD-MMM-YY HH:MM")&amp;" "&amp;Checks!$P$633,"")&amp;IF(Checks!$AE$633="","",CHAR(10)&amp;"Verifier: "&amp;Checks!$AE$633)&amp;IF(Checks!$T$633="","",CHAR(10)&amp;"PIC: "&amp;Checks!$T$633)</f>
        <v/>
      </c>
      <c r="H39" s="113" t="str">
        <f aca="false">IF(Checks!$AH$633="","",Checks!$AH$633)</f>
        <v>OPEN</v>
      </c>
    </row>
    <row r="40" customFormat="false" ht="201.75" hidden="false" customHeight="true" outlineLevel="0" collapsed="false">
      <c r="A40" s="112" t="str">
        <f aca="false">Checks!$A$634&amp;CHAR(10)&amp;IF(Checks!$I$634="","",Checks!$I$634&amp;": ")&amp;Checks!$J$634</f>
        <v>F19-T12-06
Equipment: Equipment quantities vs GLD</v>
      </c>
      <c r="B40" s="112"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2" t="str">
        <f aca="false">Checks!$N$634&amp;CHAR(10)&amp;IF(ISNUMBER(Checks!$R$634),TEXT(Checks!$R$634,"DD-MMM-YY HH:MM"),"")&amp;" "&amp;Checks!$P$634</f>
        <v>Required
28-Oct-26 21:40 KIX</v>
      </c>
      <c r="D40" s="112" t="str">
        <f aca="false">IF(Checks!$U$634="","",Checks!$U$634)&amp;IF(Checks!$AB$634="","",CHAR(10)&amp;"CA: "&amp;Checks!$AB$634)</f>
        <v/>
      </c>
      <c r="E40" s="112" t="str">
        <f aca="false">IF(Checks!$V$634="","",Checks!$V$634)&amp;IF(Checks!$AC$634="","",IF(Checks!$V$634="","",CHAR(10))&amp;"N/A just.: "&amp;Checks!$AC$634)&amp;IF(Checks!$W$634="","",CHAR(10)&amp;"Batch: "&amp;Checks!$W$634)&amp;IF(AND(Checks!$X$634="",Checks!$Y$634=""),"",CHAR(10)&amp;"Exp: "&amp;Checks!$X$634&amp;"  /  Act: "&amp;Checks!$Y$634)</f>
        <v/>
      </c>
      <c r="F40" s="112" t="str">
        <f aca="false">IF(Checks!$Z$634="","","Evidence: "&amp;Checks!$Z$634)&amp;IF(Checks!$AA$634="","",IF(Checks!$Z$634="","",CHAR(10))&amp;"CA: "&amp;Checks!$AA$634)</f>
        <v/>
      </c>
      <c r="G40" s="112" t="str">
        <f aca="false">IF(ISNUMBER(Checks!$AD$634),TEXT(Checks!$AD$634,"DD-MMM-YY HH:MM")&amp;" "&amp;Checks!$P$634,"")&amp;IF(Checks!$AE$634="","",CHAR(10)&amp;"Verifier: "&amp;Checks!$AE$634)&amp;IF(Checks!$T$634="","",CHAR(10)&amp;"PIC: "&amp;Checks!$T$634)</f>
        <v/>
      </c>
      <c r="H40" s="113" t="str">
        <f aca="false">IF(Checks!$AH$634="","",Checks!$AH$634)</f>
        <v>OPEN</v>
      </c>
    </row>
    <row r="41" customFormat="false" ht="114" hidden="false" customHeight="true" outlineLevel="0" collapsed="false">
      <c r="A41" s="112" t="str">
        <f aca="false">Checks!$A$635&amp;CHAR(10)&amp;IF(Checks!$I$635="","",Checks!$I$635&amp;": ")&amp;Checks!$J$635</f>
        <v>F19-T12-07
Equipment: Loading positions planned vs GLD</v>
      </c>
      <c r="B41" s="112" t="str">
        <f aca="false">Checks!$K$635&amp;IF(Checks!$O$635="","",IF(Checks!$K$635="","",CHAR(10))&amp;"Note: "&amp;Checks!$O$635)</f>
        <v>Note: Preparation check at caterer - does NOT confirm loading.</v>
      </c>
      <c r="C41" s="112" t="str">
        <f aca="false">Checks!$N$635&amp;CHAR(10)&amp;IF(ISNUMBER(Checks!$R$635),TEXT(Checks!$R$635,"DD-MMM-YY HH:MM"),"")&amp;" "&amp;Checks!$P$635</f>
        <v>Required
28-Oct-26 21:40 KIX</v>
      </c>
      <c r="D41" s="112" t="str">
        <f aca="false">IF(Checks!$U$635="","",Checks!$U$635)&amp;IF(Checks!$AB$635="","",CHAR(10)&amp;"CA: "&amp;Checks!$AB$635)</f>
        <v/>
      </c>
      <c r="E41" s="112" t="str">
        <f aca="false">IF(Checks!$V$635="","",Checks!$V$635)&amp;IF(Checks!$AC$635="","",IF(Checks!$V$635="","",CHAR(10))&amp;"N/A just.: "&amp;Checks!$AC$635)&amp;IF(Checks!$W$635="","",CHAR(10)&amp;"Batch: "&amp;Checks!$W$635)&amp;IF(AND(Checks!$X$635="",Checks!$Y$635=""),"",CHAR(10)&amp;"Exp: "&amp;Checks!$X$635&amp;"  /  Act: "&amp;Checks!$Y$635)</f>
        <v/>
      </c>
      <c r="F41" s="112" t="str">
        <f aca="false">IF(Checks!$Z$635="","","Evidence: "&amp;Checks!$Z$635)&amp;IF(Checks!$AA$635="","",IF(Checks!$Z$635="","",CHAR(10))&amp;"CA: "&amp;Checks!$AA$635)</f>
        <v/>
      </c>
      <c r="G41" s="112" t="str">
        <f aca="false">IF(ISNUMBER(Checks!$AD$635),TEXT(Checks!$AD$635,"DD-MMM-YY HH:MM")&amp;" "&amp;Checks!$P$635,"")&amp;IF(Checks!$AE$635="","",CHAR(10)&amp;"Verifier: "&amp;Checks!$AE$635)&amp;IF(Checks!$T$635="","",CHAR(10)&amp;"PIC: "&amp;Checks!$T$635)</f>
        <v/>
      </c>
      <c r="H41" s="113" t="str">
        <f aca="false">IF(Checks!$AH$635="","",Checks!$AH$635)</f>
        <v>OPEN</v>
      </c>
    </row>
    <row r="42" customFormat="false" ht="114" hidden="false" customHeight="true" outlineLevel="0" collapsed="false">
      <c r="A42" s="112" t="str">
        <f aca="false">Checks!$A$636&amp;CHAR(10)&amp;IF(Checks!$I$636="","",Checks!$I$636&amp;": ")&amp;Checks!$J$636</f>
        <v>F19-T12-08
Seat Linen: Seat pillow (EY) - prepared</v>
      </c>
      <c r="B42" s="112" t="str">
        <f aca="false">Checks!$K$636&amp;IF(Checks!$O$636="","",IF(Checks!$K$636="","",CHAR(10))&amp;"Note: "&amp;Checks!$O$636)</f>
        <v>Available 100% (ticked in reference)
Note: Reference gives no uplift stn for this item: preparation checked at the meal uplift stn (KIX) - confirm with caterer.</v>
      </c>
      <c r="C42" s="112" t="str">
        <f aca="false">Checks!$N$636&amp;CHAR(10)&amp;IF(ISNUMBER(Checks!$R$636),TEXT(Checks!$R$636,"DD-MMM-YY HH:MM"),"")&amp;" "&amp;Checks!$P$636</f>
        <v>Required
28-Oct-26 21:40 KIX</v>
      </c>
      <c r="D42" s="112" t="str">
        <f aca="false">IF(Checks!$U$636="","",Checks!$U$636)&amp;IF(Checks!$AB$636="","",CHAR(10)&amp;"CA: "&amp;Checks!$AB$636)</f>
        <v/>
      </c>
      <c r="E42" s="112" t="str">
        <f aca="false">IF(Checks!$V$636="","",Checks!$V$636)&amp;IF(Checks!$AC$636="","",IF(Checks!$V$636="","",CHAR(10))&amp;"N/A just.: "&amp;Checks!$AC$636)&amp;IF(Checks!$W$636="","",CHAR(10)&amp;"Batch: "&amp;Checks!$W$636)&amp;IF(AND(Checks!$X$636="",Checks!$Y$636=""),"",CHAR(10)&amp;"Exp: "&amp;Checks!$X$636&amp;"  /  Act: "&amp;Checks!$Y$636)</f>
        <v/>
      </c>
      <c r="F42" s="112" t="str">
        <f aca="false">IF(Checks!$Z$636="","","Evidence: "&amp;Checks!$Z$636)&amp;IF(Checks!$AA$636="","",IF(Checks!$Z$636="","",CHAR(10))&amp;"CA: "&amp;Checks!$AA$636)</f>
        <v/>
      </c>
      <c r="G42" s="112" t="str">
        <f aca="false">IF(ISNUMBER(Checks!$AD$636),TEXT(Checks!$AD$636,"DD-MMM-YY HH:MM")&amp;" "&amp;Checks!$P$636,"")&amp;IF(Checks!$AE$636="","",CHAR(10)&amp;"Verifier: "&amp;Checks!$AE$636)&amp;IF(Checks!$T$636="","",CHAR(10)&amp;"PIC: "&amp;Checks!$T$636)</f>
        <v/>
      </c>
      <c r="H42" s="113" t="str">
        <f aca="false">IF(Checks!$AH$636="","",Checks!$AH$636)</f>
        <v>OPEN</v>
      </c>
    </row>
    <row r="43" customFormat="false" ht="213" hidden="false" customHeight="true" outlineLevel="0" collapsed="false">
      <c r="A43" s="112" t="str">
        <f aca="false">Checks!$A$637&amp;CHAR(10)&amp;IF(Checks!$I$637="","",Checks!$I$637&amp;": ")&amp;Checks!$J$637</f>
        <v>F19-T12-09
Seat Linen: Blanket (EY) - prepared</v>
      </c>
      <c r="B43" s="112"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2" t="str">
        <f aca="false">Checks!$N$637&amp;CHAR(10)&amp;IF(ISNUMBER(Checks!$R$637),TEXT(Checks!$R$637,"DD-MMM-YY HH:MM"),"")&amp;" "&amp;Checks!$P$637</f>
        <v>Required
28-Oct-26 21:40 KIX</v>
      </c>
      <c r="D43" s="112" t="str">
        <f aca="false">IF(Checks!$U$637="","",Checks!$U$637)&amp;IF(Checks!$AB$637="","",CHAR(10)&amp;"CA: "&amp;Checks!$AB$637)</f>
        <v/>
      </c>
      <c r="E43" s="112" t="str">
        <f aca="false">IF(Checks!$V$637="","",Checks!$V$637)&amp;IF(Checks!$AC$637="","",IF(Checks!$V$637="","",CHAR(10))&amp;"N/A just.: "&amp;Checks!$AC$637)&amp;IF(Checks!$W$637="","",CHAR(10)&amp;"Batch: "&amp;Checks!$W$637)&amp;IF(AND(Checks!$X$637="",Checks!$Y$637=""),"",CHAR(10)&amp;"Exp: "&amp;Checks!$X$637&amp;"  /  Act: "&amp;Checks!$Y$637)</f>
        <v>
Exp: 280  /  Act: </v>
      </c>
      <c r="F43" s="112" t="str">
        <f aca="false">IF(Checks!$Z$637="","","Evidence: "&amp;Checks!$Z$637)&amp;IF(Checks!$AA$637="","",IF(Checks!$Z$637="","",CHAR(10))&amp;"CA: "&amp;Checks!$AA$637)</f>
        <v/>
      </c>
      <c r="G43" s="112" t="str">
        <f aca="false">IF(ISNUMBER(Checks!$AD$637),TEXT(Checks!$AD$637,"DD-MMM-YY HH:MM")&amp;" "&amp;Checks!$P$637,"")&amp;IF(Checks!$AE$637="","",CHAR(10)&amp;"Verifier: "&amp;Checks!$AE$637)&amp;IF(Checks!$T$637="","",CHAR(10)&amp;"PIC: "&amp;Checks!$T$637)</f>
        <v/>
      </c>
      <c r="H43" s="113" t="str">
        <f aca="false">IF(Checks!$AH$637="","",Checks!$AH$637)</f>
        <v>OPEN</v>
      </c>
    </row>
    <row r="44" customFormat="false" ht="201.75" hidden="false" customHeight="true" outlineLevel="0" collapsed="false">
      <c r="A44" s="112" t="str">
        <f aca="false">Checks!$A$638&amp;CHAR(10)&amp;IF(Checks!$I$638="","",Checks!$I$638&amp;": ")&amp;Checks!$J$638</f>
        <v>F19-T12-10
Sales Cart: Sales cart (caterer PASB) - prepared</v>
      </c>
      <c r="B44" s="112"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2" t="str">
        <f aca="false">Checks!$N$638&amp;CHAR(10)&amp;IF(ISNUMBER(Checks!$R$638),TEXT(Checks!$R$638,"DD-MMM-YY HH:MM"),"")&amp;" "&amp;Checks!$P$638</f>
        <v>Clarification required
28-Oct-26 21:40 KIX</v>
      </c>
      <c r="D44" s="112" t="str">
        <f aca="false">IF(Checks!$U$638="","",Checks!$U$638)&amp;IF(Checks!$AB$638="","",CHAR(10)&amp;"CA: "&amp;Checks!$AB$638)</f>
        <v/>
      </c>
      <c r="E44" s="112" t="str">
        <f aca="false">IF(Checks!$V$638="","",Checks!$V$638)&amp;IF(Checks!$AC$638="","",IF(Checks!$V$638="","",CHAR(10))&amp;"N/A just.: "&amp;Checks!$AC$638)&amp;IF(Checks!$W$638="","",CHAR(10)&amp;"Batch: "&amp;Checks!$W$638)&amp;IF(AND(Checks!$X$638="",Checks!$Y$638=""),"",CHAR(10)&amp;"Exp: "&amp;Checks!$X$638&amp;"  /  Act: "&amp;Checks!$Y$638)</f>
        <v/>
      </c>
      <c r="F44" s="112" t="str">
        <f aca="false">IF(Checks!$Z$638="","","Evidence: "&amp;Checks!$Z$638)&amp;IF(Checks!$AA$638="","",IF(Checks!$Z$638="","",CHAR(10))&amp;"CA: "&amp;Checks!$AA$638)</f>
        <v/>
      </c>
      <c r="G44" s="112" t="str">
        <f aca="false">IF(ISNUMBER(Checks!$AD$638),TEXT(Checks!$AD$638,"DD-MMM-YY HH:MM")&amp;" "&amp;Checks!$P$638,"")&amp;IF(Checks!$AE$638="","",CHAR(10)&amp;"Verifier: "&amp;Checks!$AE$638)&amp;IF(Checks!$T$638="","",CHAR(10)&amp;"PIC: "&amp;Checks!$T$638)</f>
        <v/>
      </c>
      <c r="H44" s="113" t="str">
        <f aca="false">IF(Checks!$AH$638="","",Checks!$AH$638)</f>
        <v>OPEN – CLARIFICATION</v>
      </c>
    </row>
    <row r="45" customFormat="false" ht="25.5" hidden="false" customHeight="true" outlineLevel="0" collapsed="false">
      <c r="A45" s="111"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1"/>
      <c r="C45" s="111"/>
      <c r="D45" s="111"/>
      <c r="E45" s="111"/>
      <c r="F45" s="111"/>
      <c r="G45" s="111"/>
      <c r="H45" s="111"/>
    </row>
    <row r="46" customFormat="false" ht="114" hidden="false" customHeight="true" outlineLevel="0" collapsed="false">
      <c r="A46" s="112" t="str">
        <f aca="false">Checks!$A$639&amp;CHAR(10)&amp;IF(Checks!$I$639="","",Checks!$I$639&amp;": ")&amp;Checks!$J$639</f>
        <v>F19-UPL-01
Meal: Meals physically uplifted on board - quantity vs menu checklist</v>
      </c>
      <c r="B46" s="112" t="str">
        <f aca="false">Checks!$K$639&amp;IF(Checks!$O$639="","",IF(Checks!$K$639="","",CHAR(10))&amp;"Note: "&amp;Checks!$O$639)</f>
        <v>Enter expected &amp; actual
Note: Confirm on board before departure; completion time must fall inside the uplift window.</v>
      </c>
      <c r="C46" s="112" t="str">
        <f aca="false">Checks!$N$639&amp;CHAR(10)&amp;IF(ISNUMBER(Checks!$R$639),TEXT(Checks!$R$639,"DD-MMM-YY HH:MM"),"")&amp;" "&amp;Checks!$P$639</f>
        <v>Required
29-Oct-26 09:40 KIX</v>
      </c>
      <c r="D46" s="112" t="str">
        <f aca="false">IF(Checks!$U$639="","",Checks!$U$639)&amp;IF(Checks!$AB$639="","",CHAR(10)&amp;"CA: "&amp;Checks!$AB$639)</f>
        <v/>
      </c>
      <c r="E46" s="112" t="str">
        <f aca="false">IF(Checks!$V$639="","",Checks!$V$639)&amp;IF(Checks!$AC$639="","",IF(Checks!$V$639="","",CHAR(10))&amp;"N/A just.: "&amp;Checks!$AC$639)&amp;IF(Checks!$W$639="","",CHAR(10)&amp;"Batch: "&amp;Checks!$W$639)&amp;IF(AND(Checks!$X$639="",Checks!$Y$639=""),"",CHAR(10)&amp;"Exp: "&amp;Checks!$X$639&amp;"  /  Act: "&amp;Checks!$Y$639)</f>
        <v/>
      </c>
      <c r="F46" s="112" t="str">
        <f aca="false">IF(Checks!$Z$639="","","Evidence: "&amp;Checks!$Z$639)&amp;IF(Checks!$AA$639="","",IF(Checks!$Z$639="","",CHAR(10))&amp;"CA: "&amp;Checks!$AA$639)</f>
        <v/>
      </c>
      <c r="G46" s="112" t="str">
        <f aca="false">IF(ISNUMBER(Checks!$AD$639),TEXT(Checks!$AD$639,"DD-MMM-YY HH:MM")&amp;" "&amp;Checks!$P$639,"")&amp;IF(Checks!$AE$639="","",CHAR(10)&amp;"Verifier: "&amp;Checks!$AE$639)&amp;IF(Checks!$T$639="","",CHAR(10)&amp;"PIC: "&amp;Checks!$T$639)</f>
        <v/>
      </c>
      <c r="H46" s="113" t="str">
        <f aca="false">IF(Checks!$AH$639="","",Checks!$AH$639)</f>
        <v>OPEN</v>
      </c>
    </row>
    <row r="47" customFormat="false" ht="114" hidden="false" customHeight="true" outlineLevel="0" collapsed="false">
      <c r="A47" s="112" t="str">
        <f aca="false">Checks!$A$640&amp;CHAR(10)&amp;IF(Checks!$I$640="","",Checks!$I$640&amp;": ")&amp;Checks!$J$640</f>
        <v>F19-UPL-02
Equipment: Equipment physically loaded at GLD positions - quantity &amp; positions</v>
      </c>
      <c r="B47" s="112" t="str">
        <f aca="false">Checks!$K$640&amp;IF(Checks!$O$640="","",IF(Checks!$K$640="","",CHAR(10))&amp;"Note: "&amp;Checks!$O$640)</f>
        <v>Enter expected &amp; actual
Note: Confirm on board before departure; completion time must fall inside the uplift window.</v>
      </c>
      <c r="C47" s="112" t="str">
        <f aca="false">Checks!$N$640&amp;CHAR(10)&amp;IF(ISNUMBER(Checks!$R$640),TEXT(Checks!$R$640,"DD-MMM-YY HH:MM"),"")&amp;" "&amp;Checks!$P$640</f>
        <v>Required
29-Oct-26 09:40 KIX</v>
      </c>
      <c r="D47" s="112" t="str">
        <f aca="false">IF(Checks!$U$640="","",Checks!$U$640)&amp;IF(Checks!$AB$640="","",CHAR(10)&amp;"CA: "&amp;Checks!$AB$640)</f>
        <v/>
      </c>
      <c r="E47" s="112" t="str">
        <f aca="false">IF(Checks!$V$640="","",Checks!$V$640)&amp;IF(Checks!$AC$640="","",IF(Checks!$V$640="","",CHAR(10))&amp;"N/A just.: "&amp;Checks!$AC$640)&amp;IF(Checks!$W$640="","",CHAR(10)&amp;"Batch: "&amp;Checks!$W$640)&amp;IF(AND(Checks!$X$640="",Checks!$Y$640=""),"",CHAR(10)&amp;"Exp: "&amp;Checks!$X$640&amp;"  /  Act: "&amp;Checks!$Y$640)</f>
        <v/>
      </c>
      <c r="F47" s="112" t="str">
        <f aca="false">IF(Checks!$Z$640="","","Evidence: "&amp;Checks!$Z$640)&amp;IF(Checks!$AA$640="","",IF(Checks!$Z$640="","",CHAR(10))&amp;"CA: "&amp;Checks!$AA$640)</f>
        <v/>
      </c>
      <c r="G47" s="112" t="str">
        <f aca="false">IF(ISNUMBER(Checks!$AD$640),TEXT(Checks!$AD$640,"DD-MMM-YY HH:MM")&amp;" "&amp;Checks!$P$640,"")&amp;IF(Checks!$AE$640="","",CHAR(10)&amp;"Verifier: "&amp;Checks!$AE$640)&amp;IF(Checks!$T$640="","",CHAR(10)&amp;"PIC: "&amp;Checks!$T$640)</f>
        <v/>
      </c>
      <c r="H47" s="113" t="str">
        <f aca="false">IF(Checks!$AH$640="","",Checks!$AH$640)</f>
        <v>OPEN</v>
      </c>
    </row>
    <row r="48" customFormat="false" ht="114" hidden="false" customHeight="true" outlineLevel="0" collapsed="false">
      <c r="A48" s="112" t="str">
        <f aca="false">Checks!$A$641&amp;CHAR(10)&amp;IF(Checks!$I$641="","",Checks!$I$641&amp;": ")&amp;Checks!$J$641</f>
        <v>F19-UPL-03
Seat Linen: Seat pillow (EY) - on board</v>
      </c>
      <c r="B48" s="112" t="str">
        <f aca="false">Checks!$K$641&amp;IF(Checks!$O$641="","",IF(Checks!$K$641="","",CHAR(10))&amp;"Note: "&amp;Checks!$O$641)</f>
        <v>Available 100% (ticked in reference)</v>
      </c>
      <c r="C48" s="112" t="str">
        <f aca="false">Checks!$N$641&amp;CHAR(10)&amp;IF(ISNUMBER(Checks!$R$641),TEXT(Checks!$R$641,"DD-MMM-YY HH:MM"),"")&amp;" "&amp;Checks!$P$641</f>
        <v>Required
29-Oct-26 09:40 KIX</v>
      </c>
      <c r="D48" s="112" t="str">
        <f aca="false">IF(Checks!$U$641="","",Checks!$U$641)&amp;IF(Checks!$AB$641="","",CHAR(10)&amp;"CA: "&amp;Checks!$AB$641)</f>
        <v/>
      </c>
      <c r="E48" s="112" t="str">
        <f aca="false">IF(Checks!$V$641="","",Checks!$V$641)&amp;IF(Checks!$AC$641="","",IF(Checks!$V$641="","",CHAR(10))&amp;"N/A just.: "&amp;Checks!$AC$641)&amp;IF(Checks!$W$641="","",CHAR(10)&amp;"Batch: "&amp;Checks!$W$641)&amp;IF(AND(Checks!$X$641="",Checks!$Y$641=""),"",CHAR(10)&amp;"Exp: "&amp;Checks!$X$641&amp;"  /  Act: "&amp;Checks!$Y$641)</f>
        <v/>
      </c>
      <c r="F48" s="112" t="str">
        <f aca="false">IF(Checks!$Z$641="","","Evidence: "&amp;Checks!$Z$641)&amp;IF(Checks!$AA$641="","",IF(Checks!$Z$641="","",CHAR(10))&amp;"CA: "&amp;Checks!$AA$641)</f>
        <v/>
      </c>
      <c r="G48" s="112" t="str">
        <f aca="false">IF(ISNUMBER(Checks!$AD$641),TEXT(Checks!$AD$641,"DD-MMM-YY HH:MM")&amp;" "&amp;Checks!$P$641,"")&amp;IF(Checks!$AE$641="","",CHAR(10)&amp;"Verifier: "&amp;Checks!$AE$641)&amp;IF(Checks!$T$641="","",CHAR(10)&amp;"PIC: "&amp;Checks!$T$641)</f>
        <v/>
      </c>
      <c r="H48" s="113" t="str">
        <f aca="false">IF(Checks!$AH$641="","",Checks!$AH$641)</f>
        <v>OPEN</v>
      </c>
    </row>
    <row r="49" customFormat="false" ht="135.75" hidden="false" customHeight="true" outlineLevel="0" collapsed="false">
      <c r="A49" s="112" t="str">
        <f aca="false">Checks!$A$642&amp;CHAR(10)&amp;IF(Checks!$I$642="","",Checks!$I$642&amp;": ")&amp;Checks!$J$642</f>
        <v>F19-UPL-04
Seat Linen: Blanket (EY) - on board</v>
      </c>
      <c r="B49" s="112"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2" t="str">
        <f aca="false">Checks!$N$642&amp;CHAR(10)&amp;IF(ISNUMBER(Checks!$R$642),TEXT(Checks!$R$642,"DD-MMM-YY HH:MM"),"")&amp;" "&amp;Checks!$P$642</f>
        <v>Required
29-Oct-26 09:40 KIX</v>
      </c>
      <c r="D49" s="112" t="str">
        <f aca="false">IF(Checks!$U$642="","",Checks!$U$642)&amp;IF(Checks!$AB$642="","",CHAR(10)&amp;"CA: "&amp;Checks!$AB$642)</f>
        <v/>
      </c>
      <c r="E49" s="112" t="str">
        <f aca="false">IF(Checks!$V$642="","",Checks!$V$642)&amp;IF(Checks!$AC$642="","",IF(Checks!$V$642="","",CHAR(10))&amp;"N/A just.: "&amp;Checks!$AC$642)&amp;IF(Checks!$W$642="","",CHAR(10)&amp;"Batch: "&amp;Checks!$W$642)&amp;IF(AND(Checks!$X$642="",Checks!$Y$642=""),"",CHAR(10)&amp;"Exp: "&amp;Checks!$X$642&amp;"  /  Act: "&amp;Checks!$Y$642)</f>
        <v>
Exp: 280  /  Act: </v>
      </c>
      <c r="F49" s="112" t="str">
        <f aca="false">IF(Checks!$Z$642="","","Evidence: "&amp;Checks!$Z$642)&amp;IF(Checks!$AA$642="","",IF(Checks!$Z$642="","",CHAR(10))&amp;"CA: "&amp;Checks!$AA$642)</f>
        <v/>
      </c>
      <c r="G49" s="112" t="str">
        <f aca="false">IF(ISNUMBER(Checks!$AD$642),TEXT(Checks!$AD$642,"DD-MMM-YY HH:MM")&amp;" "&amp;Checks!$P$642,"")&amp;IF(Checks!$AE$642="","",CHAR(10)&amp;"Verifier: "&amp;Checks!$AE$642)&amp;IF(Checks!$T$642="","",CHAR(10)&amp;"PIC: "&amp;Checks!$T$642)</f>
        <v/>
      </c>
      <c r="H49" s="113" t="str">
        <f aca="false">IF(Checks!$AH$642="","",Checks!$AH$642)</f>
        <v>OPEN</v>
      </c>
    </row>
    <row r="50" customFormat="false" ht="135.75" hidden="false" customHeight="true" outlineLevel="0" collapsed="false">
      <c r="A50" s="112" t="str">
        <f aca="false">Checks!$A$643&amp;CHAR(10)&amp;IF(Checks!$I$643="","",Checks!$I$643&amp;": ")&amp;Checks!$J$643</f>
        <v>F19-UPL-05
Sales Cart: Sales cart (caterer PASB) - on board</v>
      </c>
      <c r="B50" s="112"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2" t="str">
        <f aca="false">Checks!$N$643&amp;CHAR(10)&amp;IF(ISNUMBER(Checks!$R$643),TEXT(Checks!$R$643,"DD-MMM-YY HH:MM"),"")&amp;" "&amp;Checks!$P$643</f>
        <v>Clarification required
29-Oct-26 09:40 KIX</v>
      </c>
      <c r="D50" s="112" t="str">
        <f aca="false">IF(Checks!$U$643="","",Checks!$U$643)&amp;IF(Checks!$AB$643="","",CHAR(10)&amp;"CA: "&amp;Checks!$AB$643)</f>
        <v/>
      </c>
      <c r="E50" s="112" t="str">
        <f aca="false">IF(Checks!$V$643="","",Checks!$V$643)&amp;IF(Checks!$AC$643="","",IF(Checks!$V$643="","",CHAR(10))&amp;"N/A just.: "&amp;Checks!$AC$643)&amp;IF(Checks!$W$643="","",CHAR(10)&amp;"Batch: "&amp;Checks!$W$643)&amp;IF(AND(Checks!$X$643="",Checks!$Y$643=""),"",CHAR(10)&amp;"Exp: "&amp;Checks!$X$643&amp;"  /  Act: "&amp;Checks!$Y$643)</f>
        <v/>
      </c>
      <c r="F50" s="112" t="str">
        <f aca="false">IF(Checks!$Z$643="","","Evidence: "&amp;Checks!$Z$643)&amp;IF(Checks!$AA$643="","",IF(Checks!$Z$643="","",CHAR(10))&amp;"CA: "&amp;Checks!$AA$643)</f>
        <v/>
      </c>
      <c r="G50" s="112" t="str">
        <f aca="false">IF(ISNUMBER(Checks!$AD$643),TEXT(Checks!$AD$643,"DD-MMM-YY HH:MM")&amp;" "&amp;Checks!$P$643,"")&amp;IF(Checks!$AE$643="","",CHAR(10)&amp;"Verifier: "&amp;Checks!$AE$643)&amp;IF(Checks!$T$643="","",CHAR(10)&amp;"PIC: "&amp;Checks!$T$643)</f>
        <v/>
      </c>
      <c r="H50" s="113" t="str">
        <f aca="false">IF(Checks!$AH$643="","",Checks!$AH$643)</f>
        <v>OPEN – CLARIFICATION</v>
      </c>
    </row>
    <row r="52" customFormat="false" ht="24" hidden="false" customHeight="true" outlineLevel="0" collapsed="false">
      <c r="A52" s="114" t="s">
        <v>1647</v>
      </c>
      <c r="B52" s="114"/>
      <c r="C52" s="114"/>
      <c r="D52" s="114"/>
      <c r="E52" s="114" t="s">
        <v>1648</v>
      </c>
      <c r="F52" s="114"/>
      <c r="G52" s="114"/>
      <c r="H52" s="114"/>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row r="59" customFormat="false" ht="21.75" hidden="false" customHeight="true" outlineLevel="0" collapsed="false">
      <c r="A59" s="115"/>
      <c r="B59" s="115"/>
      <c r="C59" s="115"/>
      <c r="D59" s="115"/>
      <c r="E59" s="115"/>
      <c r="F59" s="115"/>
      <c r="G59" s="115"/>
      <c r="H59" s="115"/>
    </row>
    <row r="60" customFormat="false" ht="21.75" hidden="false" customHeight="true" outlineLevel="0" collapsed="false">
      <c r="A60" s="115"/>
      <c r="B60" s="115"/>
      <c r="C60" s="115"/>
      <c r="D60" s="115"/>
      <c r="E60" s="115"/>
      <c r="F60" s="115"/>
      <c r="G60" s="115"/>
      <c r="H60" s="115"/>
    </row>
    <row r="61" customFormat="false" ht="21.75" hidden="false" customHeight="true" outlineLevel="0" collapsed="false">
      <c r="A61" s="115"/>
      <c r="B61" s="115"/>
      <c r="C61" s="115"/>
      <c r="D61" s="115"/>
      <c r="E61" s="115"/>
      <c r="F61" s="115"/>
      <c r="G61" s="115"/>
      <c r="H61" s="115"/>
    </row>
    <row r="62" customFormat="false" ht="21.75" hidden="false" customHeight="true" outlineLevel="0" collapsed="false">
      <c r="A62" s="115"/>
      <c r="B62" s="115"/>
      <c r="C62" s="115"/>
      <c r="D62" s="115"/>
      <c r="E62" s="115"/>
      <c r="F62" s="115"/>
      <c r="G62" s="115"/>
      <c r="H62"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F20  "&amp;Flights!$F$24&amp;"  "&amp;TEXT(Flights!$D$24,"DD-MMM-YY")&amp;" ("&amp;Flights!$E$24&amp;")  "&amp;Flights!$G$24&amp;" → "&amp;Flights!$H$24&amp;"  |  Class "&amp;Flights!$K$24</f>
        <v>SKYTRAX 2026 CATERING READINESS CHECKLIST  |  F20  MH1450  29-Oct-26 (THU)  KUL → LGK  |  Class EY</v>
      </c>
      <c r="B1" s="90"/>
      <c r="C1" s="90"/>
      <c r="D1" s="90"/>
      <c r="E1" s="90"/>
      <c r="F1" s="90"/>
      <c r="G1" s="90"/>
      <c r="H1" s="90"/>
    </row>
    <row r="2" customFormat="false" ht="12.75" hidden="false" customHeight="true" outlineLevel="0" collapsed="false">
      <c r="A2" s="91" t="s">
        <v>1602</v>
      </c>
      <c r="B2" s="92" t="str">
        <f aca="false">Flights!$F$24&amp;"   "&amp;TEXT(Flights!$D$24,"DD-MMM-YY")&amp;" ("&amp;Flights!$E$24&amp;")"</f>
        <v>MH1450   29-Oct-26 (THU)</v>
      </c>
      <c r="C2" s="92"/>
      <c r="D2" s="92"/>
      <c r="E2" s="93" t="s">
        <v>1603</v>
      </c>
      <c r="F2" s="94" t="str">
        <f aca="false">Flights!$AT$24</f>
        <v>NOT READY – DOCUMENTS</v>
      </c>
      <c r="G2" s="94"/>
      <c r="H2" s="94"/>
    </row>
    <row r="3" customFormat="false" ht="24" hidden="false" customHeight="true" outlineLevel="0" collapsed="false">
      <c r="A3" s="91" t="s">
        <v>1604</v>
      </c>
      <c r="B3" s="92" t="str">
        <f aca="false">Flights!$G$24&amp;" → "&amp;Flights!$H$24&amp;"   Class "&amp;Flights!$K$24&amp;"   Seat "&amp;Flights!$O$24</f>
        <v>KUL → LGK   Class EY   Seat 4A</v>
      </c>
      <c r="C3" s="92"/>
      <c r="D3" s="92"/>
      <c r="E3" s="93" t="s">
        <v>66</v>
      </c>
      <c r="F3" s="93" t="s">
        <v>1605</v>
      </c>
      <c r="G3" s="93" t="s">
        <v>1606</v>
      </c>
      <c r="H3" s="93"/>
    </row>
    <row r="4" customFormat="false" ht="24" hidden="false" customHeight="true" outlineLevel="0" collapsed="false">
      <c r="A4" s="91" t="s">
        <v>1607</v>
      </c>
      <c r="B4" s="92" t="str">
        <f aca="false">IF(ISNUMBER(Flights!$I$24),TEXT(Flights!$I$24,"DD-MMM-YY HH:MM"),"")&amp;" "&amp;Flights!$G$24&amp;"  →  "&amp;IF(ISNUMBER(Flights!$J$24),TEXT(Flights!$J$24,"DD-MMM-YY HH:MM"),"")&amp;" "&amp;Flights!$H$24</f>
        <v>29-Oct-26 18:30 KUL  →  29-Oct-26 20:00 LGK</v>
      </c>
      <c r="C4" s="92"/>
      <c r="D4" s="92"/>
      <c r="E4" s="91" t="s">
        <v>1608</v>
      </c>
      <c r="F4" s="95" t="str">
        <f aca="false">IF(ISNUMBER(Flights!$AG$24),TEXT(Flights!$AG$24,"DD-MMM-YY HH:MM"),"")&amp;" "&amp;Flights!$V$24</f>
        <v>22-Oct-26 18:30 KUL</v>
      </c>
      <c r="G4" s="96" t="n">
        <f aca="false">Flights!$AJ$24</f>
        <v>0</v>
      </c>
      <c r="H4" s="96"/>
    </row>
    <row r="5" customFormat="false" ht="24" hidden="false" customHeight="true" outlineLevel="0" collapsed="false">
      <c r="A5" s="91" t="s">
        <v>1609</v>
      </c>
      <c r="B5" s="92" t="str">
        <f aca="false">Flights!$L$24&amp;" – "&amp;Flights!$M$24</f>
        <v>B738MAX – B737-8 (B7M8)</v>
      </c>
      <c r="C5" s="92"/>
      <c r="D5" s="92"/>
      <c r="E5" s="91" t="s">
        <v>1610</v>
      </c>
      <c r="F5" s="95" t="str">
        <f aca="false">IF(ISNUMBER(Flights!$AH$24),TEXT(Flights!$AH$24,"DD-MMM-YY HH:MM"),"")&amp;" "&amp;Flights!$V$24</f>
        <v>28-Oct-26 18:30 KUL</v>
      </c>
      <c r="G5" s="96" t="n">
        <f aca="false">Flights!$AK$24</f>
        <v>0</v>
      </c>
      <c r="H5" s="96"/>
    </row>
    <row r="6" customFormat="false" ht="24" hidden="false" customHeight="true" outlineLevel="0" collapsed="false">
      <c r="A6" s="91" t="s">
        <v>1611</v>
      </c>
      <c r="B6" s="92" t="str">
        <f aca="false">IF(TRIM(Flights!$N$24)="","__________________",Flights!$N$24)</f>
        <v>__________________</v>
      </c>
      <c r="C6" s="92"/>
      <c r="D6" s="92"/>
      <c r="E6" s="91" t="s">
        <v>1612</v>
      </c>
      <c r="F6" s="95" t="str">
        <f aca="false">IF(ISNUMBER(Flights!$AI$24),TEXT(Flights!$AI$24,"DD-MMM-YY HH:MM"),"")&amp;" "&amp;Flights!$V$24&amp;IF(Flights!$AI$24=Flights!$AH$24,"  (= T-24H due)","")</f>
        <v>29-Oct-26 06:30 KUL</v>
      </c>
      <c r="G6" s="96" t="n">
        <f aca="false">Flights!$AL$24</f>
        <v>0</v>
      </c>
      <c r="H6" s="96"/>
    </row>
    <row r="7" customFormat="false" ht="24" hidden="false" customHeight="true" outlineLevel="0" collapsed="false">
      <c r="A7" s="91" t="s">
        <v>1613</v>
      </c>
      <c r="B7" s="92" t="str">
        <f aca="false">Flights!$T$24</f>
        <v>Refreshment (Peanut &amp; Water)</v>
      </c>
      <c r="C7" s="92"/>
      <c r="D7" s="92"/>
      <c r="E7" s="91" t="s">
        <v>1614</v>
      </c>
      <c r="F7" s="95" t="str">
        <f aca="false">"STD "&amp;IF(ISNUMBER(Flights!$I$24),TEXT(Flights!$I$24,"DD-MMM-YY HH:MM"),"")&amp;" "&amp;Flights!$G$24&amp;" (dep stn)"</f>
        <v>STD 29-Oct-26 18:30 KUL (dep stn)</v>
      </c>
      <c r="G7" s="96" t="n">
        <f aca="false">Flights!$AM$24</f>
        <v>0</v>
      </c>
      <c r="H7" s="96"/>
    </row>
    <row r="8" customFormat="false" ht="12.75" hidden="false" customHeight="true" outlineLevel="0" collapsed="false">
      <c r="A8" s="91" t="s">
        <v>148</v>
      </c>
      <c r="B8" s="92" t="str">
        <f aca="false">Flights!$V$24&amp;"   (reference uplift stns: "&amp;Flights!$U$24&amp;")"</f>
        <v>KUL   (reference uplift stns: KUL)</v>
      </c>
      <c r="C8" s="92"/>
      <c r="D8" s="92"/>
      <c r="E8" s="91" t="s">
        <v>1615</v>
      </c>
      <c r="F8" s="97" t="s">
        <v>1616</v>
      </c>
      <c r="G8" s="96" t="n">
        <f aca="false">Flights!$AN$24</f>
        <v>0</v>
      </c>
      <c r="H8" s="96"/>
    </row>
    <row r="9" customFormat="false" ht="12.75" hidden="false" customHeight="true" outlineLevel="0" collapsed="false">
      <c r="A9" s="91" t="s">
        <v>1617</v>
      </c>
      <c r="B9" s="92" t="str">
        <f aca="false">TRIM(Flights!$P$24&amp;"  "&amp;Flights!$Q$24)</f>
        <v>1H 45M Overnight LGK</v>
      </c>
      <c r="C9" s="92"/>
      <c r="D9" s="92"/>
      <c r="E9" s="91" t="s">
        <v>1618</v>
      </c>
      <c r="F9" s="98" t="n">
        <f aca="false">Flights!$AP$24</f>
        <v>0</v>
      </c>
      <c r="G9" s="98" t="n">
        <f aca="false">Flights!$AQ$24</f>
        <v>0</v>
      </c>
      <c r="H9" s="98" t="n">
        <f aca="false">Flights!$AU$24</f>
        <v>0</v>
      </c>
    </row>
    <row r="10" customFormat="false" ht="24" hidden="false" customHeight="true" outlineLevel="0" collapsed="false">
      <c r="A10" s="91" t="s">
        <v>1619</v>
      </c>
      <c r="B10" s="92" t="str">
        <f aca="false">IF(TRIM(Flights!$X$24)="","__________________",Flights!$X$24)</f>
        <v>__________________</v>
      </c>
      <c r="C10" s="92"/>
      <c r="D10" s="92"/>
      <c r="E10" s="91" t="s">
        <v>1620</v>
      </c>
      <c r="F10" s="98" t="n">
        <f aca="false">Flights!$AO$24</f>
        <v>20</v>
      </c>
      <c r="G10" s="98" t="n">
        <f aca="false">Flights!$AS$24</f>
        <v>0</v>
      </c>
      <c r="H10" s="98" t="n">
        <f aca="false">Flights!$AR$24</f>
        <v>2</v>
      </c>
    </row>
    <row r="11" customFormat="false" ht="21" hidden="false" customHeight="true" outlineLevel="0" collapsed="false">
      <c r="A11" s="91" t="s">
        <v>1621</v>
      </c>
      <c r="B11" s="92" t="str">
        <f aca="false">IF(TRIM(Flights!$Y$24)="","__________________",Flights!$Y$24)</f>
        <v>__________________</v>
      </c>
      <c r="C11" s="92"/>
      <c r="D11" s="92"/>
      <c r="E11" s="91" t="s">
        <v>1622</v>
      </c>
      <c r="F11" s="98" t="str">
        <f aca="false">Flights!$AV$24&amp;" / "&amp;Flights!$AW$24</f>
        <v>0 / 20</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IF(Documents!$F$24="","",Documents!$F$24)</f>
        <v/>
      </c>
      <c r="C14" s="97" t="str">
        <f aca="false">IF(Documents!$G$24="","",Documents!$G$24)&amp;IF(ISNUMBER(Documents!$H$24),"  "&amp;TEXT(Documents!$H$24,"DD-MMM-YY"),"")</f>
        <v/>
      </c>
      <c r="D14" s="97"/>
      <c r="E14" s="105" t="str">
        <f aca="false">IF(Documents!$J$24="OUTSTANDING","OUTSTANDING – attach before T-7D (due "&amp;IF(ISNUMBER(Flights!$AG$24),TEXT(Flights!$AG$24,"DD-MMM-YY HH:MM"),"")&amp;" "&amp;Flights!$V$24&amp;")",IF(Documents!$J$24="","Status not recorded",Documents!$J$24))</f>
        <v>OUTSTANDING – attach before T-7D (due 22-Oct-26 18:30 KUL)</v>
      </c>
      <c r="F14" s="106" t="str">
        <f aca="false">"Staple behind this sheet as page A1."&amp;IF(Documents!$I$24="",""," Location: "&amp;Documents!$I$24)</f>
        <v>Staple behind this sheet as page A1.</v>
      </c>
      <c r="G14" s="106"/>
      <c r="H14" s="106"/>
    </row>
    <row r="15" customFormat="false" ht="36" hidden="false" customHeight="true" outlineLevel="0" collapsed="false">
      <c r="A15" s="91" t="s">
        <v>1633</v>
      </c>
      <c r="B15" s="92" t="str">
        <f aca="false">IF(Documents!$K$24="","",Documents!$K$24)</f>
        <v/>
      </c>
      <c r="C15" s="97" t="str">
        <f aca="false">IF(Documents!$L$24="","",Documents!$L$24)&amp;IF(ISNUMBER(Documents!$M$24),"  "&amp;TEXT(Documents!$M$24,"DD-MMM-YY"),"")</f>
        <v/>
      </c>
      <c r="D15" s="97"/>
      <c r="E15" s="105" t="str">
        <f aca="false">IF(Documents!$O$24="OUTSTANDING","OUTSTANDING – attach before T-7D (due "&amp;IF(ISNUMBER(Flights!$AG$24),TEXT(Flights!$AG$24,"DD-MMM-YY HH:MM"),"")&amp;" "&amp;Flights!$V$24&amp;")",IF(Documents!$O$24="","Status not recorded",Documents!$O$24))</f>
        <v>OUTSTANDING – attach before T-7D (due 22-Oct-26 18:30 KUL)</v>
      </c>
      <c r="F15" s="106" t="str">
        <f aca="false">"Staple behind this sheet as page A2."&amp;IF(Documents!$N$24="",""," Location: "&amp;Documents!$N$24)</f>
        <v>Staple behind this sheet as page A2.</v>
      </c>
      <c r="G15" s="106"/>
      <c r="H15" s="106"/>
    </row>
    <row r="16" customFormat="false" ht="22.5" hidden="false" customHeight="true" outlineLevel="0" collapsed="false">
      <c r="A16" s="91" t="s">
        <v>1634</v>
      </c>
      <c r="B16" s="107" t="str">
        <f aca="false">IF(Documents!$Q$24="","",Documents!$Q$24)</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"&amp;IF(TRIM(Flights!$Y$24)="","__________________",Flights!$Y$24)</f>
        <v>Name: __________________</v>
      </c>
      <c r="B18" s="92"/>
      <c r="C18" s="92" t="str">
        <f aca="false">"Name: __________________"</f>
        <v>Name: __________________</v>
      </c>
      <c r="D18" s="92"/>
      <c r="E18" s="92"/>
      <c r="F18" s="92" t="str">
        <f aca="false">"Name: __________________"&amp;"   Station: "&amp;Flights!$V$24</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Checks!$A$644&amp;CHAR(10)&amp;IF(Checks!$I$644="","",Checks!$I$644&amp;": ")&amp;Checks!$J$644</f>
        <v>F20-T7-01
Meal: Meal sensory testing completed for this flight's menu cycle (assessed class)</v>
      </c>
      <c r="B23" s="112" t="str">
        <f aca="false">Checks!$K$644&amp;IF(Checks!$O$644="","",IF(Checks!$K$644="","",CHAR(10))&amp;"Note: "&amp;Checks!$O$644)</f>
        <v>Record panel result / score in Result
Note: Refreshment service: sensory test covers the refreshment items.</v>
      </c>
      <c r="C23" s="112" t="str">
        <f aca="false">Checks!$N$644&amp;CHAR(10)&amp;IF(ISNUMBER(Checks!$R$644),TEXT(Checks!$R$644,"DD-MMM-YY HH:MM"),"")&amp;" "&amp;Checks!$P$644</f>
        <v>Required
22-Oct-26 18:30 KUL</v>
      </c>
      <c r="D23" s="112" t="str">
        <f aca="false">IF(Checks!$U$644="","",Checks!$U$644)&amp;IF(Checks!$AB$644="","",CHAR(10)&amp;"CA: "&amp;Checks!$AB$644)</f>
        <v/>
      </c>
      <c r="E23" s="112" t="str">
        <f aca="false">IF(Checks!$V$644="","",Checks!$V$644)&amp;IF(Checks!$AC$644="","",IF(Checks!$V$644="","",CHAR(10))&amp;"N/A just.: "&amp;Checks!$AC$644)&amp;IF(Checks!$W$644="","",CHAR(10)&amp;"Batch: "&amp;Checks!$W$644)&amp;IF(AND(Checks!$X$644="",Checks!$Y$644=""),"",CHAR(10)&amp;"Exp: "&amp;Checks!$X$644&amp;"  /  Act: "&amp;Checks!$Y$644)</f>
        <v/>
      </c>
      <c r="F23" s="112" t="str">
        <f aca="false">IF(Checks!$Z$644="","","Evidence: "&amp;Checks!$Z$644)&amp;IF(Checks!$AA$644="","",IF(Checks!$Z$644="","",CHAR(10))&amp;"CA: "&amp;Checks!$AA$644)</f>
        <v/>
      </c>
      <c r="G23" s="112" t="str">
        <f aca="false">IF(ISNUMBER(Checks!$AD$644),TEXT(Checks!$AD$644,"DD-MMM-YY HH:MM")&amp;" "&amp;Checks!$P$644,"")&amp;IF(Checks!$AE$644="","",CHAR(10)&amp;"Verifier: "&amp;Checks!$AE$644)&amp;IF(Checks!$T$644="","",CHAR(10)&amp;"PIC: "&amp;Checks!$T$644)</f>
        <v/>
      </c>
      <c r="H23" s="113" t="str">
        <f aca="false">IF(Checks!$AH$644="","",Checks!$AH$644)</f>
        <v>OPEN</v>
      </c>
    </row>
    <row r="24" customFormat="false" ht="114" hidden="false" customHeight="true" outlineLevel="0" collapsed="false">
      <c r="A24" s="112" t="str">
        <f aca="false">Checks!$A$645&amp;CHAR(10)&amp;IF(Checks!$I$645="","",Checks!$I$645&amp;": ")&amp;Checks!$J$645</f>
        <v>F20-T7-02
Menu: Printed menu cards confirmed (content, cycle, language, quantity)</v>
      </c>
      <c r="B24" s="112" t="str">
        <f aca="false">Checks!$K$645&amp;IF(Checks!$O$645="","",IF(Checks!$K$645="","",CHAR(10))&amp;"Note: "&amp;Checks!$O$645)</f>
        <v>Menu card matches approved menu for this flight
Note: Refreshment service (peanut &amp; water). If no printed menu card is used, mark N/A with the confirmation as justification.</v>
      </c>
      <c r="C24" s="112" t="str">
        <f aca="false">Checks!$N$645&amp;CHAR(10)&amp;IF(ISNUMBER(Checks!$R$645),TEXT(Checks!$R$645,"DD-MMM-YY HH:MM"),"")&amp;" "&amp;Checks!$P$645</f>
        <v>Required
22-Oct-26 18:30 KUL</v>
      </c>
      <c r="D24" s="112" t="str">
        <f aca="false">IF(Checks!$U$645="","",Checks!$U$645)&amp;IF(Checks!$AB$645="","",CHAR(10)&amp;"CA: "&amp;Checks!$AB$645)</f>
        <v/>
      </c>
      <c r="E24" s="112" t="str">
        <f aca="false">IF(Checks!$V$645="","",Checks!$V$645)&amp;IF(Checks!$AC$645="","",IF(Checks!$V$645="","",CHAR(10))&amp;"N/A just.: "&amp;Checks!$AC$645)&amp;IF(Checks!$W$645="","",CHAR(10)&amp;"Batch: "&amp;Checks!$W$645)&amp;IF(AND(Checks!$X$645="",Checks!$Y$645=""),"",CHAR(10)&amp;"Exp: "&amp;Checks!$X$645&amp;"  /  Act: "&amp;Checks!$Y$645)</f>
        <v/>
      </c>
      <c r="F24" s="112" t="str">
        <f aca="false">IF(Checks!$Z$645="","","Evidence: "&amp;Checks!$Z$645)&amp;IF(Checks!$AA$645="","",IF(Checks!$Z$645="","",CHAR(10))&amp;"CA: "&amp;Checks!$AA$645)</f>
        <v/>
      </c>
      <c r="G24" s="112" t="str">
        <f aca="false">IF(ISNUMBER(Checks!$AD$645),TEXT(Checks!$AD$645,"DD-MMM-YY HH:MM")&amp;" "&amp;Checks!$P$645,"")&amp;IF(Checks!$AE$645="","",CHAR(10)&amp;"Verifier: "&amp;Checks!$AE$645)&amp;IF(Checks!$T$645="","",CHAR(10)&amp;"PIC: "&amp;Checks!$T$645)</f>
        <v/>
      </c>
      <c r="H24" s="113" t="str">
        <f aca="false">IF(Checks!$AH$645="","",Checks!$AH$645)</f>
        <v>OPEN</v>
      </c>
    </row>
    <row r="25" customFormat="false" ht="114" hidden="false" customHeight="true" outlineLevel="0" collapsed="false">
      <c r="A25" s="112" t="str">
        <f aca="false">Checks!$A$646&amp;CHAR(10)&amp;IF(Checks!$I$646="","",Checks!$I$646&amp;": ")&amp;Checks!$J$646</f>
        <v>F20-T7-03
IFE: Digital menu in IFE confirmed (A339 only)</v>
      </c>
      <c r="B25" s="112" t="str">
        <f aca="false">Checks!$K$646&amp;IF(Checks!$O$646="","",IF(Checks!$K$646="","",CHAR(10))&amp;"Note: "&amp;Checks!$O$646)</f>
        <v>Applies when fleet = A339
Note: Digital IFE menu applies to A339 only (user brief). Applicability follows the Fleet cell on Flights.</v>
      </c>
      <c r="C25" s="112" t="str">
        <f aca="false">Checks!$N$646&amp;CHAR(10)&amp;IF(ISNUMBER(Checks!$R$646),TEXT(Checks!$R$646,"DD-MMM-YY HH:MM"),"")&amp;" "&amp;Checks!$P$646</f>
        <v>N/A – rule
22-Oct-26 18:30 KUL</v>
      </c>
      <c r="D25" s="112" t="str">
        <f aca="false">IF(Checks!$U$646="","",Checks!$U$646)&amp;IF(Checks!$AB$646="","",CHAR(10)&amp;"CA: "&amp;Checks!$AB$646)</f>
        <v/>
      </c>
      <c r="E25" s="112" t="str">
        <f aca="false">IF(Checks!$V$646="","",Checks!$V$646)&amp;IF(Checks!$AC$646="","",IF(Checks!$V$646="","",CHAR(10))&amp;"N/A just.: "&amp;Checks!$AC$646)&amp;IF(Checks!$W$646="","",CHAR(10)&amp;"Batch: "&amp;Checks!$W$646)&amp;IF(AND(Checks!$X$646="",Checks!$Y$646=""),"",CHAR(10)&amp;"Exp: "&amp;Checks!$X$646&amp;"  /  Act: "&amp;Checks!$Y$646)</f>
        <v/>
      </c>
      <c r="F25" s="112" t="str">
        <f aca="false">IF(Checks!$Z$646="","","Evidence: "&amp;Checks!$Z$646)&amp;IF(Checks!$AA$646="","",IF(Checks!$Z$646="","",CHAR(10))&amp;"CA: "&amp;Checks!$AA$646)</f>
        <v/>
      </c>
      <c r="G25" s="112" t="str">
        <f aca="false">IF(ISNUMBER(Checks!$AD$646),TEXT(Checks!$AD$646,"DD-MMM-YY HH:MM")&amp;" "&amp;Checks!$P$646,"")&amp;IF(Checks!$AE$646="","",CHAR(10)&amp;"Verifier: "&amp;Checks!$AE$646)&amp;IF(Checks!$T$646="","",CHAR(10)&amp;"PIC: "&amp;Checks!$T$646)</f>
        <v/>
      </c>
      <c r="H25" s="113" t="str">
        <f aca="false">IF(Checks!$AH$646="","",Checks!$AH$646)</f>
        <v>N/A – RULE</v>
      </c>
    </row>
    <row r="26" customFormat="false" ht="114" hidden="false" customHeight="true" outlineLevel="0" collapsed="false">
      <c r="A26" s="112" t="str">
        <f aca="false">Checks!$A$647&amp;CHAR(10)&amp;IF(Checks!$I$647="","",Checks!$I$647&amp;": ")&amp;Checks!$J$647</f>
        <v>F20-T7-04
Staffing: Experienced catering officer assigned to this flight</v>
      </c>
      <c r="B26" s="112" t="str">
        <f aca="false">Checks!$K$647&amp;IF(Checks!$O$647="","",IF(Checks!$K$647="","",CHAR(10))&amp;"Note: "&amp;Checks!$O$647)</f>
        <v>Record officer name in Result</v>
      </c>
      <c r="C26" s="112" t="str">
        <f aca="false">Checks!$N$647&amp;CHAR(10)&amp;IF(ISNUMBER(Checks!$R$647),TEXT(Checks!$R$647,"DD-MMM-YY HH:MM"),"")&amp;" "&amp;Checks!$P$647</f>
        <v>Required
22-Oct-26 18:30 KUL</v>
      </c>
      <c r="D26" s="112" t="str">
        <f aca="false">IF(Checks!$U$647="","",Checks!$U$647)&amp;IF(Checks!$AB$647="","",CHAR(10)&amp;"CA: "&amp;Checks!$AB$647)</f>
        <v/>
      </c>
      <c r="E26" s="112" t="str">
        <f aca="false">IF(Checks!$V$647="","",Checks!$V$647)&amp;IF(Checks!$AC$647="","",IF(Checks!$V$647="","",CHAR(10))&amp;"N/A just.: "&amp;Checks!$AC$647)&amp;IF(Checks!$W$647="","",CHAR(10)&amp;"Batch: "&amp;Checks!$W$647)&amp;IF(AND(Checks!$X$647="",Checks!$Y$647=""),"",CHAR(10)&amp;"Exp: "&amp;Checks!$X$647&amp;"  /  Act: "&amp;Checks!$Y$647)</f>
        <v/>
      </c>
      <c r="F26" s="112" t="str">
        <f aca="false">IF(Checks!$Z$647="","","Evidence: "&amp;Checks!$Z$647)&amp;IF(Checks!$AA$647="","",IF(Checks!$Z$647="","",CHAR(10))&amp;"CA: "&amp;Checks!$AA$647)</f>
        <v/>
      </c>
      <c r="G26" s="112" t="str">
        <f aca="false">IF(ISNUMBER(Checks!$AD$647),TEXT(Checks!$AD$647,"DD-MMM-YY HH:MM")&amp;" "&amp;Checks!$P$647,"")&amp;IF(Checks!$AE$647="","",CHAR(10)&amp;"Verifier: "&amp;Checks!$AE$647)&amp;IF(Checks!$T$647="","",CHAR(10)&amp;"PIC: "&amp;Checks!$T$647)</f>
        <v/>
      </c>
      <c r="H26" s="113" t="str">
        <f aca="false">IF(Checks!$AH$647="","",Checks!$AH$647)</f>
        <v>OPEN</v>
      </c>
    </row>
    <row r="27" customFormat="false" ht="114" hidden="false" customHeight="true" outlineLevel="0" collapsed="false">
      <c r="A27" s="112" t="str">
        <f aca="false">Checks!$A$648&amp;CHAR(10)&amp;IF(Checks!$I$648="","",Checks!$I$648&amp;": ")&amp;Checks!$J$648</f>
        <v>F20-T7-05
ISOP: All latest applicable ISOP revisions communicated to caterer</v>
      </c>
      <c r="B27" s="112" t="str">
        <f aca="false">Checks!$K$648&amp;IF(Checks!$O$648="","",IF(Checks!$K$648="","",CHAR(10))&amp;"Note: "&amp;Checks!$O$648)</f>
        <v>List revision numbers in Result (see ISOP register)</v>
      </c>
      <c r="C27" s="112" t="str">
        <f aca="false">Checks!$N$648&amp;CHAR(10)&amp;IF(ISNUMBER(Checks!$R$648),TEXT(Checks!$R$648,"DD-MMM-YY HH:MM"),"")&amp;" "&amp;Checks!$P$648</f>
        <v>Required
22-Oct-26 18:30 KUL</v>
      </c>
      <c r="D27" s="112" t="str">
        <f aca="false">IF(Checks!$U$648="","",Checks!$U$648)&amp;IF(Checks!$AB$648="","",CHAR(10)&amp;"CA: "&amp;Checks!$AB$648)</f>
        <v/>
      </c>
      <c r="E27" s="112" t="str">
        <f aca="false">IF(Checks!$V$648="","",Checks!$V$648)&amp;IF(Checks!$AC$648="","",IF(Checks!$V$648="","",CHAR(10))&amp;"N/A just.: "&amp;Checks!$AC$648)&amp;IF(Checks!$W$648="","",CHAR(10)&amp;"Batch: "&amp;Checks!$W$648)&amp;IF(AND(Checks!$X$648="",Checks!$Y$648=""),"",CHAR(10)&amp;"Exp: "&amp;Checks!$X$648&amp;"  /  Act: "&amp;Checks!$Y$648)</f>
        <v/>
      </c>
      <c r="F27" s="112" t="str">
        <f aca="false">IF(Checks!$Z$648="","","Evidence: "&amp;Checks!$Z$648)&amp;IF(Checks!$AA$648="","",IF(Checks!$Z$648="","",CHAR(10))&amp;"CA: "&amp;Checks!$AA$648)</f>
        <v/>
      </c>
      <c r="G27" s="112" t="str">
        <f aca="false">IF(ISNUMBER(Checks!$AD$648),TEXT(Checks!$AD$648,"DD-MMM-YY HH:MM")&amp;" "&amp;Checks!$P$648,"")&amp;IF(Checks!$AE$648="","",CHAR(10)&amp;"Verifier: "&amp;Checks!$AE$648)&amp;IF(Checks!$T$648="","",CHAR(10)&amp;"PIC: "&amp;Checks!$T$648)</f>
        <v/>
      </c>
      <c r="H27" s="113" t="str">
        <f aca="false">IF(Checks!$AH$648="","",Checks!$AH$648)</f>
        <v>OPEN</v>
      </c>
    </row>
    <row r="28" customFormat="false" ht="114" hidden="false" customHeight="true" outlineLevel="0" collapsed="false">
      <c r="A28" s="112" t="str">
        <f aca="false">Checks!$A$649&amp;CHAR(10)&amp;IF(Checks!$I$649="","",Checks!$I$649&amp;": ")&amp;Checks!$J$649</f>
        <v>F20-T7-06
ISOP: Caterer acknowledgement of ISOP revisions recorded</v>
      </c>
      <c r="B28" s="112" t="str">
        <f aca="false">Checks!$K$649&amp;IF(Checks!$O$649="","",IF(Checks!$K$649="","",CHAR(10))&amp;"Note: "&amp;Checks!$O$649)</f>
        <v>Record acknowledgement ref in Evidence</v>
      </c>
      <c r="C28" s="112" t="str">
        <f aca="false">Checks!$N$649&amp;CHAR(10)&amp;IF(ISNUMBER(Checks!$R$649),TEXT(Checks!$R$649,"DD-MMM-YY HH:MM"),"")&amp;" "&amp;Checks!$P$649</f>
        <v>Required
22-Oct-26 18:30 KUL</v>
      </c>
      <c r="D28" s="112" t="str">
        <f aca="false">IF(Checks!$U$649="","",Checks!$U$649)&amp;IF(Checks!$AB$649="","",CHAR(10)&amp;"CA: "&amp;Checks!$AB$649)</f>
        <v/>
      </c>
      <c r="E28" s="112" t="str">
        <f aca="false">IF(Checks!$V$649="","",Checks!$V$649)&amp;IF(Checks!$AC$649="","",IF(Checks!$V$649="","",CHAR(10))&amp;"N/A just.: "&amp;Checks!$AC$649)&amp;IF(Checks!$W$649="","",CHAR(10)&amp;"Batch: "&amp;Checks!$W$649)&amp;IF(AND(Checks!$X$649="",Checks!$Y$649=""),"",CHAR(10)&amp;"Exp: "&amp;Checks!$X$649&amp;"  /  Act: "&amp;Checks!$Y$649)</f>
        <v/>
      </c>
      <c r="F28" s="112" t="str">
        <f aca="false">IF(Checks!$Z$649="","","Evidence: "&amp;Checks!$Z$649)&amp;IF(Checks!$AA$649="","",IF(Checks!$Z$649="","",CHAR(10))&amp;"CA: "&amp;Checks!$AA$649)</f>
        <v/>
      </c>
      <c r="G28" s="112" t="str">
        <f aca="false">IF(ISNUMBER(Checks!$AD$649),TEXT(Checks!$AD$649,"DD-MMM-YY HH:MM")&amp;" "&amp;Checks!$P$649,"")&amp;IF(Checks!$AE$649="","",CHAR(10)&amp;"Verifier: "&amp;Checks!$AE$649)&amp;IF(Checks!$T$649="","",CHAR(10)&amp;"PIC: "&amp;Checks!$T$649)</f>
        <v/>
      </c>
      <c r="H28" s="113" t="str">
        <f aca="false">IF(Checks!$AH$649="","",Checks!$AH$649)</f>
        <v>OPEN</v>
      </c>
    </row>
    <row r="29" customFormat="false" ht="114" hidden="false" customHeight="true" outlineLevel="0" collapsed="false">
      <c r="A29" s="112" t="str">
        <f aca="false">Checks!$A$650&amp;CHAR(10)&amp;IF(Checks!$I$650="","",Checks!$I$650&amp;": ")&amp;Checks!$J$650</f>
        <v>F20-T7-07
Documents: Galley loading diagram (GLD) received, revision recorded &amp; attached</v>
      </c>
      <c r="B29" s="112" t="str">
        <f aca="false">Checks!$K$650&amp;IF(Checks!$O$650="","",IF(Checks!$K$650="","",CHAR(10))&amp;"Note: "&amp;Checks!$O$650)</f>
        <v>Documents sheet row complete</v>
      </c>
      <c r="C29" s="112" t="str">
        <f aca="false">Checks!$N$650&amp;CHAR(10)&amp;IF(ISNUMBER(Checks!$R$650),TEXT(Checks!$R$650,"DD-MMM-YY HH:MM"),"")&amp;" "&amp;Checks!$P$650</f>
        <v>Required
22-Oct-26 18:30 KUL</v>
      </c>
      <c r="D29" s="112" t="str">
        <f aca="false">IF(Checks!$U$650="","",Checks!$U$650)&amp;IF(Checks!$AB$650="","",CHAR(10)&amp;"CA: "&amp;Checks!$AB$650)</f>
        <v/>
      </c>
      <c r="E29" s="112" t="str">
        <f aca="false">IF(Checks!$V$650="","",Checks!$V$650)&amp;IF(Checks!$AC$650="","",IF(Checks!$V$650="","",CHAR(10))&amp;"N/A just.: "&amp;Checks!$AC$650)&amp;IF(Checks!$W$650="","",CHAR(10)&amp;"Batch: "&amp;Checks!$W$650)&amp;IF(AND(Checks!$X$650="",Checks!$Y$650=""),"",CHAR(10)&amp;"Exp: "&amp;Checks!$X$650&amp;"  /  Act: "&amp;Checks!$Y$650)</f>
        <v/>
      </c>
      <c r="F29" s="112" t="str">
        <f aca="false">IF(Checks!$Z$650="","","Evidence: "&amp;Checks!$Z$650)&amp;IF(Checks!$AA$650="","",IF(Checks!$Z$650="","",CHAR(10))&amp;"CA: "&amp;Checks!$AA$650)</f>
        <v/>
      </c>
      <c r="G29" s="112" t="str">
        <f aca="false">IF(ISNUMBER(Checks!$AD$650),TEXT(Checks!$AD$650,"DD-MMM-YY HH:MM")&amp;" "&amp;Checks!$P$650,"")&amp;IF(Checks!$AE$650="","",CHAR(10)&amp;"Verifier: "&amp;Checks!$AE$650)&amp;IF(Checks!$T$650="","",CHAR(10)&amp;"PIC: "&amp;Checks!$T$650)</f>
        <v/>
      </c>
      <c r="H29" s="113" t="str">
        <f aca="false">IF(Checks!$AH$650="","",Checks!$AH$650)</f>
        <v>OPEN</v>
      </c>
    </row>
    <row r="30" customFormat="false" ht="114" hidden="false" customHeight="true" outlineLevel="0" collapsed="false">
      <c r="A30" s="112" t="str">
        <f aca="false">Checks!$A$651&amp;CHAR(10)&amp;IF(Checks!$I$651="","",Checks!$I$651&amp;": ")&amp;Checks!$J$651</f>
        <v>F20-T7-08
Documents: Menu checklist received, revision recorded &amp; attached</v>
      </c>
      <c r="B30" s="112" t="str">
        <f aca="false">Checks!$K$651&amp;IF(Checks!$O$651="","",IF(Checks!$K$651="","",CHAR(10))&amp;"Note: "&amp;Checks!$O$651)</f>
        <v>Documents sheet row complete</v>
      </c>
      <c r="C30" s="112" t="str">
        <f aca="false">Checks!$N$651&amp;CHAR(10)&amp;IF(ISNUMBER(Checks!$R$651),TEXT(Checks!$R$651,"DD-MMM-YY HH:MM"),"")&amp;" "&amp;Checks!$P$651</f>
        <v>Required
22-Oct-26 18:30 KUL</v>
      </c>
      <c r="D30" s="112" t="str">
        <f aca="false">IF(Checks!$U$651="","",Checks!$U$651)&amp;IF(Checks!$AB$651="","",CHAR(10)&amp;"CA: "&amp;Checks!$AB$651)</f>
        <v/>
      </c>
      <c r="E30" s="112" t="str">
        <f aca="false">IF(Checks!$V$651="","",Checks!$V$651)&amp;IF(Checks!$AC$651="","",IF(Checks!$V$651="","",CHAR(10))&amp;"N/A just.: "&amp;Checks!$AC$651)&amp;IF(Checks!$W$651="","",CHAR(10)&amp;"Batch: "&amp;Checks!$W$651)&amp;IF(AND(Checks!$X$651="",Checks!$Y$651=""),"",CHAR(10)&amp;"Exp: "&amp;Checks!$X$651&amp;"  /  Act: "&amp;Checks!$Y$651)</f>
        <v/>
      </c>
      <c r="F30" s="112" t="str">
        <f aca="false">IF(Checks!$Z$651="","","Evidence: "&amp;Checks!$Z$651)&amp;IF(Checks!$AA$651="","",IF(Checks!$Z$651="","",CHAR(10))&amp;"CA: "&amp;Checks!$AA$651)</f>
        <v/>
      </c>
      <c r="G30" s="112" t="str">
        <f aca="false">IF(ISNUMBER(Checks!$AD$651),TEXT(Checks!$AD$651,"DD-MMM-YY HH:MM")&amp;" "&amp;Checks!$P$651,"")&amp;IF(Checks!$AE$651="","",CHAR(10)&amp;"Verifier: "&amp;Checks!$AE$651)&amp;IF(Checks!$T$651="","",CHAR(10)&amp;"PIC: "&amp;Checks!$T$651)</f>
        <v/>
      </c>
      <c r="H30" s="113" t="str">
        <f aca="false">IF(Checks!$AH$651="","",Checks!$AH$651)</f>
        <v>OPEN</v>
      </c>
    </row>
    <row r="31" customFormat="false" ht="114" hidden="false" customHeight="true" outlineLevel="0" collapsed="false">
      <c r="A31" s="112" t="str">
        <f aca="false">Checks!$A$652&amp;CHAR(10)&amp;IF(Checks!$I$652="","",Checks!$I$652&amp;": ")&amp;Checks!$J$652</f>
        <v>F20-T7-09
Uplift plan: Uplift plan confirmed with caterer vs STD Uplift Information</v>
      </c>
      <c r="B31" s="112" t="str">
        <f aca="false">Checks!$K$652&amp;IF(Checks!$O$652="","",IF(Checks!$K$652="","",CHAR(10))&amp;"Note: "&amp;Checks!$O$652)</f>
        <v>Service: Refreshment (Peanut &amp; Water); meal uplift stn KUL (ref lists KUL)</v>
      </c>
      <c r="C31" s="112" t="str">
        <f aca="false">Checks!$N$652&amp;CHAR(10)&amp;IF(ISNUMBER(Checks!$R$652),TEXT(Checks!$R$652,"DD-MMM-YY HH:MM"),"")&amp;" "&amp;Checks!$P$652</f>
        <v>Required
22-Oct-26 18:30 KUL</v>
      </c>
      <c r="D31" s="112" t="str">
        <f aca="false">IF(Checks!$U$652="","",Checks!$U$652)&amp;IF(Checks!$AB$652="","",CHAR(10)&amp;"CA: "&amp;Checks!$AB$652)</f>
        <v/>
      </c>
      <c r="E31" s="112" t="str">
        <f aca="false">IF(Checks!$V$652="","",Checks!$V$652)&amp;IF(Checks!$AC$652="","",IF(Checks!$V$652="","",CHAR(10))&amp;"N/A just.: "&amp;Checks!$AC$652)&amp;IF(Checks!$W$652="","",CHAR(10)&amp;"Batch: "&amp;Checks!$W$652)&amp;IF(AND(Checks!$X$652="",Checks!$Y$652=""),"",CHAR(10)&amp;"Exp: "&amp;Checks!$X$652&amp;"  /  Act: "&amp;Checks!$Y$652)</f>
        <v/>
      </c>
      <c r="F31" s="112" t="str">
        <f aca="false">IF(Checks!$Z$652="","","Evidence: "&amp;Checks!$Z$652)&amp;IF(Checks!$AA$652="","",IF(Checks!$Z$652="","",CHAR(10))&amp;"CA: "&amp;Checks!$AA$652)</f>
        <v/>
      </c>
      <c r="G31" s="112" t="str">
        <f aca="false">IF(ISNUMBER(Checks!$AD$652),TEXT(Checks!$AD$652,"DD-MMM-YY HH:MM")&amp;" "&amp;Checks!$P$652,"")&amp;IF(Checks!$AE$652="","",CHAR(10)&amp;"Verifier: "&amp;Checks!$AE$652)&amp;IF(Checks!$T$652="","",CHAR(10)&amp;"PIC: "&amp;Checks!$T$652)</f>
        <v/>
      </c>
      <c r="H31" s="113" t="str">
        <f aca="false">IF(Checks!$AH$652="","",Checks!$AH$652)</f>
        <v>OPEN</v>
      </c>
    </row>
    <row r="32" customFormat="false" ht="25.5" hidden="false" customHeight="true" outlineLevel="0" collapsed="false">
      <c r="A32" s="111"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Checks!$A$653&amp;CHAR(10)&amp;IF(Checks!$I$653="","",Checks!$I$653&amp;": ")&amp;Checks!$J$653</f>
        <v>F20-T24-01
Meal: Sensory test repeated on ACTUAL production batch for this flight</v>
      </c>
      <c r="B33" s="112" t="str">
        <f aca="false">Checks!$K$653&amp;IF(Checks!$O$653="","",IF(Checks!$K$653="","",CHAR(10))&amp;"Note: "&amp;Checks!$O$653)</f>
        <v>Batch ID, result, CA and acceptance mandatory</v>
      </c>
      <c r="C33" s="112" t="str">
        <f aca="false">Checks!$N$653&amp;CHAR(10)&amp;IF(ISNUMBER(Checks!$R$653),TEXT(Checks!$R$653,"DD-MMM-YY HH:MM"),"")&amp;" "&amp;Checks!$P$653</f>
        <v>Required
28-Oct-26 18:30 KUL</v>
      </c>
      <c r="D33" s="112" t="str">
        <f aca="false">IF(Checks!$U$653="","",Checks!$U$653)&amp;IF(Checks!$AB$653="","",CHAR(10)&amp;"CA: "&amp;Checks!$AB$653)</f>
        <v/>
      </c>
      <c r="E33" s="112" t="str">
        <f aca="false">IF(Checks!$V$653="","",Checks!$V$653)&amp;IF(Checks!$AC$653="","",IF(Checks!$V$653="","",CHAR(10))&amp;"N/A just.: "&amp;Checks!$AC$653)&amp;IF(Checks!$W$653="","",CHAR(10)&amp;"Batch: "&amp;Checks!$W$653)&amp;IF(AND(Checks!$X$653="",Checks!$Y$653=""),"",CHAR(10)&amp;"Exp: "&amp;Checks!$X$653&amp;"  /  Act: "&amp;Checks!$Y$653)</f>
        <v/>
      </c>
      <c r="F33" s="112" t="str">
        <f aca="false">IF(Checks!$Z$653="","","Evidence: "&amp;Checks!$Z$653)&amp;IF(Checks!$AA$653="","",IF(Checks!$Z$653="","",CHAR(10))&amp;"CA: "&amp;Checks!$AA$653)</f>
        <v/>
      </c>
      <c r="G33" s="112" t="str">
        <f aca="false">IF(ISNUMBER(Checks!$AD$653),TEXT(Checks!$AD$653,"DD-MMM-YY HH:MM")&amp;" "&amp;Checks!$P$653,"")&amp;IF(Checks!$AE$653="","",CHAR(10)&amp;"Verifier: "&amp;Checks!$AE$653)&amp;IF(Checks!$T$653="","",CHAR(10)&amp;"PIC: "&amp;Checks!$T$653)</f>
        <v/>
      </c>
      <c r="H33" s="113" t="str">
        <f aca="false">IF(Checks!$AH$653="","",Checks!$AH$653)</f>
        <v>OPEN</v>
      </c>
    </row>
    <row r="34" customFormat="false" ht="25.5" hidden="false" customHeight="true" outlineLevel="0" collapsed="false">
      <c r="A34" s="111"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1"/>
      <c r="C34" s="111"/>
      <c r="D34" s="111"/>
      <c r="E34" s="111"/>
      <c r="F34" s="111"/>
      <c r="G34" s="111"/>
      <c r="H34" s="111"/>
    </row>
    <row r="35" customFormat="false" ht="114" hidden="false" customHeight="true" outlineLevel="0" collapsed="false">
      <c r="A35" s="112" t="str">
        <f aca="false">Checks!$A$654&amp;CHAR(10)&amp;IF(Checks!$I$654="","",Checks!$I$654&amp;": ")&amp;Checks!$J$654</f>
        <v>F20-T12-01
Meal: Meal quality vs menu checklist</v>
      </c>
      <c r="B35" s="112" t="str">
        <f aca="false">Checks!$K$654&amp;IF(Checks!$O$654="","",IF(Checks!$K$654="","",CHAR(10))&amp;"Note: "&amp;Checks!$O$654)</f>
        <v>Note: Preparation check at caterer - does NOT confirm loading.</v>
      </c>
      <c r="C35" s="112" t="str">
        <f aca="false">Checks!$N$654&amp;CHAR(10)&amp;IF(ISNUMBER(Checks!$R$654),TEXT(Checks!$R$654,"DD-MMM-YY HH:MM"),"")&amp;" "&amp;Checks!$P$654</f>
        <v>Required
29-Oct-26 06:30 KUL</v>
      </c>
      <c r="D35" s="112" t="str">
        <f aca="false">IF(Checks!$U$654="","",Checks!$U$654)&amp;IF(Checks!$AB$654="","",CHAR(10)&amp;"CA: "&amp;Checks!$AB$654)</f>
        <v/>
      </c>
      <c r="E35" s="112" t="str">
        <f aca="false">IF(Checks!$V$654="","",Checks!$V$654)&amp;IF(Checks!$AC$654="","",IF(Checks!$V$654="","",CHAR(10))&amp;"N/A just.: "&amp;Checks!$AC$654)&amp;IF(Checks!$W$654="","",CHAR(10)&amp;"Batch: "&amp;Checks!$W$654)&amp;IF(AND(Checks!$X$654="",Checks!$Y$654=""),"",CHAR(10)&amp;"Exp: "&amp;Checks!$X$654&amp;"  /  Act: "&amp;Checks!$Y$654)</f>
        <v/>
      </c>
      <c r="F35" s="112" t="str">
        <f aca="false">IF(Checks!$Z$654="","","Evidence: "&amp;Checks!$Z$654)&amp;IF(Checks!$AA$654="","",IF(Checks!$Z$654="","",CHAR(10))&amp;"CA: "&amp;Checks!$AA$654)</f>
        <v/>
      </c>
      <c r="G35" s="112" t="str">
        <f aca="false">IF(ISNUMBER(Checks!$AD$654),TEXT(Checks!$AD$654,"DD-MMM-YY HH:MM")&amp;" "&amp;Checks!$P$654,"")&amp;IF(Checks!$AE$654="","",CHAR(10)&amp;"Verifier: "&amp;Checks!$AE$654)&amp;IF(Checks!$T$654="","",CHAR(10)&amp;"PIC: "&amp;Checks!$T$654)</f>
        <v/>
      </c>
      <c r="H35" s="113" t="str">
        <f aca="false">IF(Checks!$AH$654="","",Checks!$AH$654)</f>
        <v>OPEN</v>
      </c>
    </row>
    <row r="36" customFormat="false" ht="114" hidden="false" customHeight="true" outlineLevel="0" collapsed="false">
      <c r="A36" s="112" t="str">
        <f aca="false">Checks!$A$655&amp;CHAR(10)&amp;IF(Checks!$I$655="","",Checks!$I$655&amp;": ")&amp;Checks!$J$655</f>
        <v>F20-T12-02
Meal: Meal quantities vs menu checklist</v>
      </c>
      <c r="B36" s="112" t="str">
        <f aca="false">Checks!$K$655&amp;IF(Checks!$O$655="","",IF(Checks!$K$655="","",CHAR(10))&amp;"Note: "&amp;Checks!$O$655)</f>
        <v>Enter expected &amp; actual
Note: Preparation check at caterer - does NOT confirm loading.</v>
      </c>
      <c r="C36" s="112" t="str">
        <f aca="false">Checks!$N$655&amp;CHAR(10)&amp;IF(ISNUMBER(Checks!$R$655),TEXT(Checks!$R$655,"DD-MMM-YY HH:MM"),"")&amp;" "&amp;Checks!$P$655</f>
        <v>Required
29-Oct-26 06:30 KUL</v>
      </c>
      <c r="D36" s="112" t="str">
        <f aca="false">IF(Checks!$U$655="","",Checks!$U$655)&amp;IF(Checks!$AB$655="","",CHAR(10)&amp;"CA: "&amp;Checks!$AB$655)</f>
        <v/>
      </c>
      <c r="E36" s="112" t="str">
        <f aca="false">IF(Checks!$V$655="","",Checks!$V$655)&amp;IF(Checks!$AC$655="","",IF(Checks!$V$655="","",CHAR(10))&amp;"N/A just.: "&amp;Checks!$AC$655)&amp;IF(Checks!$W$655="","",CHAR(10)&amp;"Batch: "&amp;Checks!$W$655)&amp;IF(AND(Checks!$X$655="",Checks!$Y$655=""),"",CHAR(10)&amp;"Exp: "&amp;Checks!$X$655&amp;"  /  Act: "&amp;Checks!$Y$655)</f>
        <v/>
      </c>
      <c r="F36" s="112" t="str">
        <f aca="false">IF(Checks!$Z$655="","","Evidence: "&amp;Checks!$Z$655)&amp;IF(Checks!$AA$655="","",IF(Checks!$Z$655="","",CHAR(10))&amp;"CA: "&amp;Checks!$AA$655)</f>
        <v/>
      </c>
      <c r="G36" s="112" t="str">
        <f aca="false">IF(ISNUMBER(Checks!$AD$655),TEXT(Checks!$AD$655,"DD-MMM-YY HH:MM")&amp;" "&amp;Checks!$P$655,"")&amp;IF(Checks!$AE$655="","",CHAR(10)&amp;"Verifier: "&amp;Checks!$AE$655)&amp;IF(Checks!$T$655="","",CHAR(10)&amp;"PIC: "&amp;Checks!$T$655)</f>
        <v/>
      </c>
      <c r="H36" s="113" t="str">
        <f aca="false">IF(Checks!$AH$655="","",Checks!$AH$655)</f>
        <v>OPEN</v>
      </c>
    </row>
    <row r="37" customFormat="false" ht="114" hidden="false" customHeight="true" outlineLevel="0" collapsed="false">
      <c r="A37" s="112" t="str">
        <f aca="false">Checks!$A$656&amp;CHAR(10)&amp;IF(Checks!$I$656="","",Checks!$I$656&amp;": ")&amp;Checks!$J$656</f>
        <v>F20-T12-03
Equipment: Equipment cleanliness vs GLD</v>
      </c>
      <c r="B37" s="112" t="str">
        <f aca="false">Checks!$K$656&amp;IF(Checks!$O$656="","",IF(Checks!$K$656="","",CHAR(10))&amp;"Note: "&amp;Checks!$O$656)</f>
        <v>Note: Preparation check at caterer - does NOT confirm loading.</v>
      </c>
      <c r="C37" s="112" t="str">
        <f aca="false">Checks!$N$656&amp;CHAR(10)&amp;IF(ISNUMBER(Checks!$R$656),TEXT(Checks!$R$656,"DD-MMM-YY HH:MM"),"")&amp;" "&amp;Checks!$P$656</f>
        <v>Required
29-Oct-26 06:30 KUL</v>
      </c>
      <c r="D37" s="112" t="str">
        <f aca="false">IF(Checks!$U$656="","",Checks!$U$656)&amp;IF(Checks!$AB$656="","",CHAR(10)&amp;"CA: "&amp;Checks!$AB$656)</f>
        <v/>
      </c>
      <c r="E37" s="112" t="str">
        <f aca="false">IF(Checks!$V$656="","",Checks!$V$656)&amp;IF(Checks!$AC$656="","",IF(Checks!$V$656="","",CHAR(10))&amp;"N/A just.: "&amp;Checks!$AC$656)&amp;IF(Checks!$W$656="","",CHAR(10)&amp;"Batch: "&amp;Checks!$W$656)&amp;IF(AND(Checks!$X$656="",Checks!$Y$656=""),"",CHAR(10)&amp;"Exp: "&amp;Checks!$X$656&amp;"  /  Act: "&amp;Checks!$Y$656)</f>
        <v/>
      </c>
      <c r="F37" s="112" t="str">
        <f aca="false">IF(Checks!$Z$656="","","Evidence: "&amp;Checks!$Z$656)&amp;IF(Checks!$AA$656="","",IF(Checks!$Z$656="","",CHAR(10))&amp;"CA: "&amp;Checks!$AA$656)</f>
        <v/>
      </c>
      <c r="G37" s="112" t="str">
        <f aca="false">IF(ISNUMBER(Checks!$AD$656),TEXT(Checks!$AD$656,"DD-MMM-YY HH:MM")&amp;" "&amp;Checks!$P$656,"")&amp;IF(Checks!$AE$656="","",CHAR(10)&amp;"Verifier: "&amp;Checks!$AE$656)&amp;IF(Checks!$T$656="","",CHAR(10)&amp;"PIC: "&amp;Checks!$T$656)</f>
        <v/>
      </c>
      <c r="H37" s="113" t="str">
        <f aca="false">IF(Checks!$AH$656="","",Checks!$AH$656)</f>
        <v>OPEN</v>
      </c>
    </row>
    <row r="38" customFormat="false" ht="114" hidden="false" customHeight="true" outlineLevel="0" collapsed="false">
      <c r="A38" s="112" t="str">
        <f aca="false">Checks!$A$657&amp;CHAR(10)&amp;IF(Checks!$I$657="","",Checks!$I$657&amp;": ")&amp;Checks!$J$657</f>
        <v>F20-T12-04
Equipment: Equipment presentation vs GLD</v>
      </c>
      <c r="B38" s="112" t="str">
        <f aca="false">Checks!$K$657&amp;IF(Checks!$O$657="","",IF(Checks!$K$657="","",CHAR(10))&amp;"Note: "&amp;Checks!$O$657)</f>
        <v>Note: Preparation check at caterer - does NOT confirm loading.</v>
      </c>
      <c r="C38" s="112" t="str">
        <f aca="false">Checks!$N$657&amp;CHAR(10)&amp;IF(ISNUMBER(Checks!$R$657),TEXT(Checks!$R$657,"DD-MMM-YY HH:MM"),"")&amp;" "&amp;Checks!$P$657</f>
        <v>Required
29-Oct-26 06:30 KUL</v>
      </c>
      <c r="D38" s="112" t="str">
        <f aca="false">IF(Checks!$U$657="","",Checks!$U$657)&amp;IF(Checks!$AB$657="","",CHAR(10)&amp;"CA: "&amp;Checks!$AB$657)</f>
        <v/>
      </c>
      <c r="E38" s="112" t="str">
        <f aca="false">IF(Checks!$V$657="","",Checks!$V$657)&amp;IF(Checks!$AC$657="","",IF(Checks!$V$657="","",CHAR(10))&amp;"N/A just.: "&amp;Checks!$AC$657)&amp;IF(Checks!$W$657="","",CHAR(10)&amp;"Batch: "&amp;Checks!$W$657)&amp;IF(AND(Checks!$X$657="",Checks!$Y$657=""),"",CHAR(10)&amp;"Exp: "&amp;Checks!$X$657&amp;"  /  Act: "&amp;Checks!$Y$657)</f>
        <v/>
      </c>
      <c r="F38" s="112" t="str">
        <f aca="false">IF(Checks!$Z$657="","","Evidence: "&amp;Checks!$Z$657)&amp;IF(Checks!$AA$657="","",IF(Checks!$Z$657="","",CHAR(10))&amp;"CA: "&amp;Checks!$AA$657)</f>
        <v/>
      </c>
      <c r="G38" s="112" t="str">
        <f aca="false">IF(ISNUMBER(Checks!$AD$657),TEXT(Checks!$AD$657,"DD-MMM-YY HH:MM")&amp;" "&amp;Checks!$P$657,"")&amp;IF(Checks!$AE$657="","",CHAR(10)&amp;"Verifier: "&amp;Checks!$AE$657)&amp;IF(Checks!$T$657="","",CHAR(10)&amp;"PIC: "&amp;Checks!$T$657)</f>
        <v/>
      </c>
      <c r="H38" s="113" t="str">
        <f aca="false">IF(Checks!$AH$657="","",Checks!$AH$657)</f>
        <v>OPEN</v>
      </c>
    </row>
    <row r="39" customFormat="false" ht="114" hidden="false" customHeight="true" outlineLevel="0" collapsed="false">
      <c r="A39" s="112" t="str">
        <f aca="false">Checks!$A$658&amp;CHAR(10)&amp;IF(Checks!$I$658="","",Checks!$I$658&amp;": ")&amp;Checks!$J$658</f>
        <v>F20-T12-05
Equipment: Equipment serviceability vs GLD</v>
      </c>
      <c r="B39" s="112" t="str">
        <f aca="false">Checks!$K$658&amp;IF(Checks!$O$658="","",IF(Checks!$K$658="","",CHAR(10))&amp;"Note: "&amp;Checks!$O$658)</f>
        <v>Note: Preparation check at caterer - does NOT confirm loading.</v>
      </c>
      <c r="C39" s="112" t="str">
        <f aca="false">Checks!$N$658&amp;CHAR(10)&amp;IF(ISNUMBER(Checks!$R$658),TEXT(Checks!$R$658,"DD-MMM-YY HH:MM"),"")&amp;" "&amp;Checks!$P$658</f>
        <v>Required
29-Oct-26 06:30 KUL</v>
      </c>
      <c r="D39" s="112" t="str">
        <f aca="false">IF(Checks!$U$658="","",Checks!$U$658)&amp;IF(Checks!$AB$658="","",CHAR(10)&amp;"CA: "&amp;Checks!$AB$658)</f>
        <v/>
      </c>
      <c r="E39" s="112" t="str">
        <f aca="false">IF(Checks!$V$658="","",Checks!$V$658)&amp;IF(Checks!$AC$658="","",IF(Checks!$V$658="","",CHAR(10))&amp;"N/A just.: "&amp;Checks!$AC$658)&amp;IF(Checks!$W$658="","",CHAR(10)&amp;"Batch: "&amp;Checks!$W$658)&amp;IF(AND(Checks!$X$658="",Checks!$Y$658=""),"",CHAR(10)&amp;"Exp: "&amp;Checks!$X$658&amp;"  /  Act: "&amp;Checks!$Y$658)</f>
        <v/>
      </c>
      <c r="F39" s="112" t="str">
        <f aca="false">IF(Checks!$Z$658="","","Evidence: "&amp;Checks!$Z$658)&amp;IF(Checks!$AA$658="","",IF(Checks!$Z$658="","",CHAR(10))&amp;"CA: "&amp;Checks!$AA$658)</f>
        <v/>
      </c>
      <c r="G39" s="112" t="str">
        <f aca="false">IF(ISNUMBER(Checks!$AD$658),TEXT(Checks!$AD$658,"DD-MMM-YY HH:MM")&amp;" "&amp;Checks!$P$658,"")&amp;IF(Checks!$AE$658="","",CHAR(10)&amp;"Verifier: "&amp;Checks!$AE$658)&amp;IF(Checks!$T$658="","",CHAR(10)&amp;"PIC: "&amp;Checks!$T$658)</f>
        <v/>
      </c>
      <c r="H39" s="113" t="str">
        <f aca="false">IF(Checks!$AH$658="","",Checks!$AH$658)</f>
        <v>OPEN</v>
      </c>
    </row>
    <row r="40" customFormat="false" ht="190.5" hidden="false" customHeight="true" outlineLevel="0" collapsed="false">
      <c r="A40" s="112" t="str">
        <f aca="false">Checks!$A$659&amp;CHAR(10)&amp;IF(Checks!$I$659="","",Checks!$I$659&amp;": ")&amp;Checks!$J$659</f>
        <v>F20-T12-06
Equipment: Equipment quantities vs GLD</v>
      </c>
      <c r="B40" s="112"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2" t="str">
        <f aca="false">Checks!$N$659&amp;CHAR(10)&amp;IF(ISNUMBER(Checks!$R$659),TEXT(Checks!$R$659,"DD-MMM-YY HH:MM"),"")&amp;" "&amp;Checks!$P$659</f>
        <v>Required
29-Oct-26 06:30 KUL</v>
      </c>
      <c r="D40" s="112" t="str">
        <f aca="false">IF(Checks!$U$659="","",Checks!$U$659)&amp;IF(Checks!$AB$659="","",CHAR(10)&amp;"CA: "&amp;Checks!$AB$659)</f>
        <v/>
      </c>
      <c r="E40" s="112" t="str">
        <f aca="false">IF(Checks!$V$659="","",Checks!$V$659)&amp;IF(Checks!$AC$659="","",IF(Checks!$V$659="","",CHAR(10))&amp;"N/A just.: "&amp;Checks!$AC$659)&amp;IF(Checks!$W$659="","",CHAR(10)&amp;"Batch: "&amp;Checks!$W$659)&amp;IF(AND(Checks!$X$659="",Checks!$Y$659=""),"",CHAR(10)&amp;"Exp: "&amp;Checks!$X$659&amp;"  /  Act: "&amp;Checks!$Y$659)</f>
        <v/>
      </c>
      <c r="F40" s="112" t="str">
        <f aca="false">IF(Checks!$Z$659="","","Evidence: "&amp;Checks!$Z$659)&amp;IF(Checks!$AA$659="","",IF(Checks!$Z$659="","",CHAR(10))&amp;"CA: "&amp;Checks!$AA$659)</f>
        <v/>
      </c>
      <c r="G40" s="112" t="str">
        <f aca="false">IF(ISNUMBER(Checks!$AD$659),TEXT(Checks!$AD$659,"DD-MMM-YY HH:MM")&amp;" "&amp;Checks!$P$659,"")&amp;IF(Checks!$AE$659="","",CHAR(10)&amp;"Verifier: "&amp;Checks!$AE$659)&amp;IF(Checks!$T$659="","",CHAR(10)&amp;"PIC: "&amp;Checks!$T$659)</f>
        <v/>
      </c>
      <c r="H40" s="113" t="str">
        <f aca="false">IF(Checks!$AH$659="","",Checks!$AH$659)</f>
        <v>OPEN</v>
      </c>
    </row>
    <row r="41" customFormat="false" ht="114" hidden="false" customHeight="true" outlineLevel="0" collapsed="false">
      <c r="A41" s="112" t="str">
        <f aca="false">Checks!$A$660&amp;CHAR(10)&amp;IF(Checks!$I$660="","",Checks!$I$660&amp;": ")&amp;Checks!$J$660</f>
        <v>F20-T12-07
Equipment: Loading positions planned vs GLD</v>
      </c>
      <c r="B41" s="112" t="str">
        <f aca="false">Checks!$K$660&amp;IF(Checks!$O$660="","",IF(Checks!$K$660="","",CHAR(10))&amp;"Note: "&amp;Checks!$O$660)</f>
        <v>Note: Preparation check at caterer - does NOT confirm loading.</v>
      </c>
      <c r="C41" s="112" t="str">
        <f aca="false">Checks!$N$660&amp;CHAR(10)&amp;IF(ISNUMBER(Checks!$R$660),TEXT(Checks!$R$660,"DD-MMM-YY HH:MM"),"")&amp;" "&amp;Checks!$P$660</f>
        <v>Required
29-Oct-26 06:30 KUL</v>
      </c>
      <c r="D41" s="112" t="str">
        <f aca="false">IF(Checks!$U$660="","",Checks!$U$660)&amp;IF(Checks!$AB$660="","",CHAR(10)&amp;"CA: "&amp;Checks!$AB$660)</f>
        <v/>
      </c>
      <c r="E41" s="112" t="str">
        <f aca="false">IF(Checks!$V$660="","",Checks!$V$660)&amp;IF(Checks!$AC$660="","",IF(Checks!$V$660="","",CHAR(10))&amp;"N/A just.: "&amp;Checks!$AC$660)&amp;IF(Checks!$W$660="","",CHAR(10)&amp;"Batch: "&amp;Checks!$W$660)&amp;IF(AND(Checks!$X$660="",Checks!$Y$660=""),"",CHAR(10)&amp;"Exp: "&amp;Checks!$X$660&amp;"  /  Act: "&amp;Checks!$Y$660)</f>
        <v/>
      </c>
      <c r="F41" s="112" t="str">
        <f aca="false">IF(Checks!$Z$660="","","Evidence: "&amp;Checks!$Z$660)&amp;IF(Checks!$AA$660="","",IF(Checks!$Z$660="","",CHAR(10))&amp;"CA: "&amp;Checks!$AA$660)</f>
        <v/>
      </c>
      <c r="G41" s="112" t="str">
        <f aca="false">IF(ISNUMBER(Checks!$AD$660),TEXT(Checks!$AD$660,"DD-MMM-YY HH:MM")&amp;" "&amp;Checks!$P$660,"")&amp;IF(Checks!$AE$660="","",CHAR(10)&amp;"Verifier: "&amp;Checks!$AE$660)&amp;IF(Checks!$T$660="","",CHAR(10)&amp;"PIC: "&amp;Checks!$T$660)</f>
        <v/>
      </c>
      <c r="H41" s="113" t="str">
        <f aca="false">IF(Checks!$AH$660="","",Checks!$AH$660)</f>
        <v>OPEN</v>
      </c>
    </row>
    <row r="42" customFormat="false" ht="114" hidden="false" customHeight="true" outlineLevel="0" collapsed="false">
      <c r="A42" s="112" t="str">
        <f aca="false">Checks!$A$661&amp;CHAR(10)&amp;IF(Checks!$I$661="","",Checks!$I$661&amp;": ")&amp;Checks!$J$661</f>
        <v>F20-T12-08
Seat Linen: Seat pillow (EY) - prepared</v>
      </c>
      <c r="B42" s="112" t="str">
        <f aca="false">Checks!$K$661&amp;IF(Checks!$O$661="","",IF(Checks!$K$661="","",CHAR(10))&amp;"Note: "&amp;Checks!$O$661)</f>
        <v>Available 100% (ticked in reference)
Note: Reference gives no uplift stn for this item: preparation checked at the meal uplift stn (KUL) - confirm with caterer.</v>
      </c>
      <c r="C42" s="112" t="str">
        <f aca="false">Checks!$N$661&amp;CHAR(10)&amp;IF(ISNUMBER(Checks!$R$661),TEXT(Checks!$R$661,"DD-MMM-YY HH:MM"),"")&amp;" "&amp;Checks!$P$661</f>
        <v>Required
29-Oct-26 06:30 KUL</v>
      </c>
      <c r="D42" s="112" t="str">
        <f aca="false">IF(Checks!$U$661="","",Checks!$U$661)&amp;IF(Checks!$AB$661="","",CHAR(10)&amp;"CA: "&amp;Checks!$AB$661)</f>
        <v/>
      </c>
      <c r="E42" s="112" t="str">
        <f aca="false">IF(Checks!$V$661="","",Checks!$V$661)&amp;IF(Checks!$AC$661="","",IF(Checks!$V$661="","",CHAR(10))&amp;"N/A just.: "&amp;Checks!$AC$661)&amp;IF(Checks!$W$661="","",CHAR(10)&amp;"Batch: "&amp;Checks!$W$661)&amp;IF(AND(Checks!$X$661="",Checks!$Y$661=""),"",CHAR(10)&amp;"Exp: "&amp;Checks!$X$661&amp;"  /  Act: "&amp;Checks!$Y$661)</f>
        <v/>
      </c>
      <c r="F42" s="112" t="str">
        <f aca="false">IF(Checks!$Z$661="","","Evidence: "&amp;Checks!$Z$661)&amp;IF(Checks!$AA$661="","",IF(Checks!$Z$661="","",CHAR(10))&amp;"CA: "&amp;Checks!$AA$661)</f>
        <v/>
      </c>
      <c r="G42" s="112" t="str">
        <f aca="false">IF(ISNUMBER(Checks!$AD$661),TEXT(Checks!$AD$661,"DD-MMM-YY HH:MM")&amp;" "&amp;Checks!$P$661,"")&amp;IF(Checks!$AE$661="","",CHAR(10)&amp;"Verifier: "&amp;Checks!$AE$661)&amp;IF(Checks!$T$661="","",CHAR(10)&amp;"PIC: "&amp;Checks!$T$661)</f>
        <v/>
      </c>
      <c r="H42" s="113" t="str">
        <f aca="false">IF(Checks!$AH$661="","",Checks!$AH$661)</f>
        <v>OPEN</v>
      </c>
    </row>
    <row r="43" customFormat="false" ht="25.5" hidden="false" customHeight="true" outlineLevel="0" collapsed="false">
      <c r="A43" s="111"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1"/>
      <c r="C43" s="111"/>
      <c r="D43" s="111"/>
      <c r="E43" s="111"/>
      <c r="F43" s="111"/>
      <c r="G43" s="111"/>
      <c r="H43" s="111"/>
    </row>
    <row r="44" customFormat="false" ht="114" hidden="false" customHeight="true" outlineLevel="0" collapsed="false">
      <c r="A44" s="112" t="str">
        <f aca="false">Checks!$A$662&amp;CHAR(10)&amp;IF(Checks!$I$662="","",Checks!$I$662&amp;": ")&amp;Checks!$J$662</f>
        <v>F20-UPL-01
Meal: Meals physically uplifted on board - quantity vs menu checklist</v>
      </c>
      <c r="B44" s="112" t="str">
        <f aca="false">Checks!$K$662&amp;IF(Checks!$O$662="","",IF(Checks!$K$662="","",CHAR(10))&amp;"Note: "&amp;Checks!$O$662)</f>
        <v>Enter expected &amp; actual
Note: Confirm on board before departure; completion time must fall inside the uplift window.</v>
      </c>
      <c r="C44" s="112" t="str">
        <f aca="false">Checks!$N$662&amp;CHAR(10)&amp;IF(ISNUMBER(Checks!$R$662),TEXT(Checks!$R$662,"DD-MMM-YY HH:MM"),"")&amp;" "&amp;Checks!$P$662</f>
        <v>Required
29-Oct-26 18:30 KUL</v>
      </c>
      <c r="D44" s="112" t="str">
        <f aca="false">IF(Checks!$U$662="","",Checks!$U$662)&amp;IF(Checks!$AB$662="","",CHAR(10)&amp;"CA: "&amp;Checks!$AB$662)</f>
        <v/>
      </c>
      <c r="E44" s="112" t="str">
        <f aca="false">IF(Checks!$V$662="","",Checks!$V$662)&amp;IF(Checks!$AC$662="","",IF(Checks!$V$662="","",CHAR(10))&amp;"N/A just.: "&amp;Checks!$AC$662)&amp;IF(Checks!$W$662="","",CHAR(10)&amp;"Batch: "&amp;Checks!$W$662)&amp;IF(AND(Checks!$X$662="",Checks!$Y$662=""),"",CHAR(10)&amp;"Exp: "&amp;Checks!$X$662&amp;"  /  Act: "&amp;Checks!$Y$662)</f>
        <v/>
      </c>
      <c r="F44" s="112" t="str">
        <f aca="false">IF(Checks!$Z$662="","","Evidence: "&amp;Checks!$Z$662)&amp;IF(Checks!$AA$662="","",IF(Checks!$Z$662="","",CHAR(10))&amp;"CA: "&amp;Checks!$AA$662)</f>
        <v/>
      </c>
      <c r="G44" s="112" t="str">
        <f aca="false">IF(ISNUMBER(Checks!$AD$662),TEXT(Checks!$AD$662,"DD-MMM-YY HH:MM")&amp;" "&amp;Checks!$P$662,"")&amp;IF(Checks!$AE$662="","",CHAR(10)&amp;"Verifier: "&amp;Checks!$AE$662)&amp;IF(Checks!$T$662="","",CHAR(10)&amp;"PIC: "&amp;Checks!$T$662)</f>
        <v/>
      </c>
      <c r="H44" s="113" t="str">
        <f aca="false">IF(Checks!$AH$662="","",Checks!$AH$662)</f>
        <v>OPEN</v>
      </c>
    </row>
    <row r="45" customFormat="false" ht="114" hidden="false" customHeight="true" outlineLevel="0" collapsed="false">
      <c r="A45" s="112" t="str">
        <f aca="false">Checks!$A$663&amp;CHAR(10)&amp;IF(Checks!$I$663="","",Checks!$I$663&amp;": ")&amp;Checks!$J$663</f>
        <v>F20-UPL-02
Equipment: Equipment physically loaded at GLD positions - quantity &amp; positions</v>
      </c>
      <c r="B45" s="112" t="str">
        <f aca="false">Checks!$K$663&amp;IF(Checks!$O$663="","",IF(Checks!$K$663="","",CHAR(10))&amp;"Note: "&amp;Checks!$O$663)</f>
        <v>Enter expected &amp; actual
Note: Confirm on board before departure; completion time must fall inside the uplift window.</v>
      </c>
      <c r="C45" s="112" t="str">
        <f aca="false">Checks!$N$663&amp;CHAR(10)&amp;IF(ISNUMBER(Checks!$R$663),TEXT(Checks!$R$663,"DD-MMM-YY HH:MM"),"")&amp;" "&amp;Checks!$P$663</f>
        <v>Required
29-Oct-26 18:30 KUL</v>
      </c>
      <c r="D45" s="112" t="str">
        <f aca="false">IF(Checks!$U$663="","",Checks!$U$663)&amp;IF(Checks!$AB$663="","",CHAR(10)&amp;"CA: "&amp;Checks!$AB$663)</f>
        <v/>
      </c>
      <c r="E45" s="112" t="str">
        <f aca="false">IF(Checks!$V$663="","",Checks!$V$663)&amp;IF(Checks!$AC$663="","",IF(Checks!$V$663="","",CHAR(10))&amp;"N/A just.: "&amp;Checks!$AC$663)&amp;IF(Checks!$W$663="","",CHAR(10)&amp;"Batch: "&amp;Checks!$W$663)&amp;IF(AND(Checks!$X$663="",Checks!$Y$663=""),"",CHAR(10)&amp;"Exp: "&amp;Checks!$X$663&amp;"  /  Act: "&amp;Checks!$Y$663)</f>
        <v/>
      </c>
      <c r="F45" s="112" t="str">
        <f aca="false">IF(Checks!$Z$663="","","Evidence: "&amp;Checks!$Z$663)&amp;IF(Checks!$AA$663="","",IF(Checks!$Z$663="","",CHAR(10))&amp;"CA: "&amp;Checks!$AA$663)</f>
        <v/>
      </c>
      <c r="G45" s="112" t="str">
        <f aca="false">IF(ISNUMBER(Checks!$AD$663),TEXT(Checks!$AD$663,"DD-MMM-YY HH:MM")&amp;" "&amp;Checks!$P$663,"")&amp;IF(Checks!$AE$663="","",CHAR(10)&amp;"Verifier: "&amp;Checks!$AE$663)&amp;IF(Checks!$T$663="","",CHAR(10)&amp;"PIC: "&amp;Checks!$T$663)</f>
        <v/>
      </c>
      <c r="H45" s="113" t="str">
        <f aca="false">IF(Checks!$AH$663="","",Checks!$AH$663)</f>
        <v>OPEN</v>
      </c>
    </row>
    <row r="46" customFormat="false" ht="114" hidden="false" customHeight="true" outlineLevel="0" collapsed="false">
      <c r="A46" s="112" t="str">
        <f aca="false">Checks!$A$664&amp;CHAR(10)&amp;IF(Checks!$I$664="","",Checks!$I$664&amp;": ")&amp;Checks!$J$664</f>
        <v>F20-UPL-03
Seat Linen: Seat pillow (EY) - on board</v>
      </c>
      <c r="B46" s="112" t="str">
        <f aca="false">Checks!$K$664&amp;IF(Checks!$O$664="","",IF(Checks!$K$664="","",CHAR(10))&amp;"Note: "&amp;Checks!$O$664)</f>
        <v>Available 100% (ticked in reference)</v>
      </c>
      <c r="C46" s="112" t="str">
        <f aca="false">Checks!$N$664&amp;CHAR(10)&amp;IF(ISNUMBER(Checks!$R$664),TEXT(Checks!$R$664,"DD-MMM-YY HH:MM"),"")&amp;" "&amp;Checks!$P$664</f>
        <v>Required
29-Oct-26 18:30 KUL</v>
      </c>
      <c r="D46" s="112" t="str">
        <f aca="false">IF(Checks!$U$664="","",Checks!$U$664)&amp;IF(Checks!$AB$664="","",CHAR(10)&amp;"CA: "&amp;Checks!$AB$664)</f>
        <v/>
      </c>
      <c r="E46" s="112" t="str">
        <f aca="false">IF(Checks!$V$664="","",Checks!$V$664)&amp;IF(Checks!$AC$664="","",IF(Checks!$V$664="","",CHAR(10))&amp;"N/A just.: "&amp;Checks!$AC$664)&amp;IF(Checks!$W$664="","",CHAR(10)&amp;"Batch: "&amp;Checks!$W$664)&amp;IF(AND(Checks!$X$664="",Checks!$Y$664=""),"",CHAR(10)&amp;"Exp: "&amp;Checks!$X$664&amp;"  /  Act: "&amp;Checks!$Y$664)</f>
        <v/>
      </c>
      <c r="F46" s="112" t="str">
        <f aca="false">IF(Checks!$Z$664="","","Evidence: "&amp;Checks!$Z$664)&amp;IF(Checks!$AA$664="","",IF(Checks!$Z$664="","",CHAR(10))&amp;"CA: "&amp;Checks!$AA$664)</f>
        <v/>
      </c>
      <c r="G46" s="112" t="str">
        <f aca="false">IF(ISNUMBER(Checks!$AD$664),TEXT(Checks!$AD$664,"DD-MMM-YY HH:MM")&amp;" "&amp;Checks!$P$664,"")&amp;IF(Checks!$AE$664="","",CHAR(10)&amp;"Verifier: "&amp;Checks!$AE$664)&amp;IF(Checks!$T$664="","",CHAR(10)&amp;"PIC: "&amp;Checks!$T$664)</f>
        <v/>
      </c>
      <c r="H46" s="113" t="str">
        <f aca="false">IF(Checks!$AH$664="","",Checks!$AH$664)</f>
        <v>OPEN</v>
      </c>
    </row>
    <row r="48" customFormat="false" ht="24" hidden="false" customHeight="true" outlineLevel="0" collapsed="false">
      <c r="A48" s="114" t="s">
        <v>1647</v>
      </c>
      <c r="B48" s="114"/>
      <c r="C48" s="114"/>
      <c r="D48" s="114"/>
      <c r="E48" s="114" t="s">
        <v>1648</v>
      </c>
      <c r="F48" s="114"/>
      <c r="G48" s="114"/>
      <c r="H48" s="114"/>
    </row>
    <row r="49" customFormat="false" ht="21.75" hidden="false" customHeight="true" outlineLevel="0" collapsed="false">
      <c r="A49" s="115"/>
      <c r="B49" s="115"/>
      <c r="C49" s="115"/>
      <c r="D49" s="115"/>
      <c r="E49" s="115"/>
      <c r="F49" s="115"/>
      <c r="G49" s="115"/>
      <c r="H49" s="115"/>
    </row>
    <row r="50" customFormat="false" ht="21.75" hidden="false" customHeight="true" outlineLevel="0" collapsed="false">
      <c r="A50" s="115"/>
      <c r="B50" s="115"/>
      <c r="C50" s="115"/>
      <c r="D50" s="115"/>
      <c r="E50" s="115"/>
      <c r="F50" s="115"/>
      <c r="G50" s="115"/>
      <c r="H50" s="115"/>
    </row>
    <row r="51" customFormat="false" ht="21.75" hidden="false" customHeight="true" outlineLevel="0" collapsed="false">
      <c r="A51" s="115"/>
      <c r="B51" s="115"/>
      <c r="C51" s="115"/>
      <c r="D51" s="115"/>
      <c r="E51" s="115"/>
      <c r="F51" s="115"/>
      <c r="G51" s="115"/>
      <c r="H51" s="115"/>
    </row>
    <row r="52" customFormat="false" ht="21.75" hidden="false" customHeight="true" outlineLevel="0" collapsed="false">
      <c r="A52" s="115"/>
      <c r="B52" s="115"/>
      <c r="C52" s="115"/>
      <c r="D52" s="115"/>
      <c r="E52" s="115"/>
      <c r="F52" s="115"/>
      <c r="G52" s="115"/>
      <c r="H52" s="115"/>
    </row>
    <row r="53" customFormat="false" ht="21.75" hidden="false" customHeight="true" outlineLevel="0" collapsed="false">
      <c r="A53" s="115"/>
      <c r="B53" s="115"/>
      <c r="C53" s="115"/>
      <c r="D53" s="115"/>
      <c r="E53" s="115"/>
      <c r="F53" s="115"/>
      <c r="G53" s="115"/>
      <c r="H53" s="115"/>
    </row>
    <row r="54" customFormat="false" ht="21.75" hidden="false" customHeight="true" outlineLevel="0" collapsed="false">
      <c r="A54" s="115"/>
      <c r="B54" s="115"/>
      <c r="C54" s="115"/>
      <c r="D54" s="115"/>
      <c r="E54" s="115"/>
      <c r="F54" s="115"/>
      <c r="G54" s="115"/>
      <c r="H54" s="115"/>
    </row>
    <row r="55" customFormat="false" ht="21.75" hidden="false" customHeight="true" outlineLevel="0" collapsed="false">
      <c r="A55" s="115"/>
      <c r="B55" s="115"/>
      <c r="C55" s="115"/>
      <c r="D55" s="115"/>
      <c r="E55" s="115"/>
      <c r="F55" s="115"/>
      <c r="G55" s="115"/>
      <c r="H55" s="115"/>
    </row>
    <row r="56" customFormat="false" ht="21.75" hidden="false" customHeight="true" outlineLevel="0" collapsed="false">
      <c r="A56" s="115"/>
      <c r="B56" s="115"/>
      <c r="C56" s="115"/>
      <c r="D56" s="115"/>
      <c r="E56" s="115"/>
      <c r="F56" s="115"/>
      <c r="G56" s="115"/>
      <c r="H56" s="115"/>
    </row>
    <row r="57" customFormat="false" ht="21.75" hidden="false" customHeight="true" outlineLevel="0" collapsed="false">
      <c r="A57" s="115"/>
      <c r="B57" s="115"/>
      <c r="C57" s="115"/>
      <c r="D57" s="115"/>
      <c r="E57" s="115"/>
      <c r="F57" s="115"/>
      <c r="G57" s="115"/>
      <c r="H57" s="115"/>
    </row>
    <row r="58" customFormat="false" ht="21.75" hidden="false" customHeight="true" outlineLevel="0" collapsed="false">
      <c r="A58" s="115"/>
      <c r="B58" s="115"/>
      <c r="C58" s="115"/>
      <c r="D58" s="115"/>
      <c r="E58" s="115"/>
      <c r="F58" s="115"/>
      <c r="G58" s="115"/>
      <c r="H58"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F21  "&amp;Flights!$F$25&amp;"  "&amp;TEXT(Flights!$D$25,"DD-MMM-YY")&amp;" ("&amp;Flights!$E$25&amp;")  "&amp;Flights!$G$25&amp;" → "&amp;Flights!$H$25&amp;"  |  Class "&amp;Flights!$K$25</f>
        <v>SKYTRAX 2026 CATERING READINESS CHECKLIST  |  F21  MH1437  30-Oct-26 (FRI)  LGK → KUL  |  Class BC</v>
      </c>
      <c r="B1" s="90"/>
      <c r="C1" s="90"/>
      <c r="D1" s="90"/>
      <c r="E1" s="90"/>
      <c r="F1" s="90"/>
      <c r="G1" s="90"/>
      <c r="H1" s="90"/>
    </row>
    <row r="2" customFormat="false" ht="12.75" hidden="false" customHeight="true" outlineLevel="0" collapsed="false">
      <c r="A2" s="91" t="s">
        <v>1602</v>
      </c>
      <c r="B2" s="92" t="str">
        <f aca="false">Flights!$F$25&amp;"   "&amp;TEXT(Flights!$D$25,"DD-MMM-YY")&amp;" ("&amp;Flights!$E$25&amp;")"</f>
        <v>MH1437   30-Oct-26 (FRI)</v>
      </c>
      <c r="C2" s="92"/>
      <c r="D2" s="92"/>
      <c r="E2" s="93" t="s">
        <v>1603</v>
      </c>
      <c r="F2" s="94" t="str">
        <f aca="false">Flights!$AT$25</f>
        <v>NOT READY – DOCUMENTS</v>
      </c>
      <c r="G2" s="94"/>
      <c r="H2" s="94"/>
    </row>
    <row r="3" customFormat="false" ht="24" hidden="false" customHeight="true" outlineLevel="0" collapsed="false">
      <c r="A3" s="91" t="s">
        <v>1604</v>
      </c>
      <c r="B3" s="92" t="str">
        <f aca="false">Flights!$G$25&amp;" → "&amp;Flights!$H$25&amp;"   Class "&amp;Flights!$K$25&amp;"   Seat "&amp;Flights!$O$25</f>
        <v>LGK → KUL   Class BC   Seat 1C</v>
      </c>
      <c r="C3" s="92"/>
      <c r="D3" s="92"/>
      <c r="E3" s="93" t="s">
        <v>66</v>
      </c>
      <c r="F3" s="93" t="s">
        <v>1605</v>
      </c>
      <c r="G3" s="93" t="s">
        <v>1606</v>
      </c>
      <c r="H3" s="93"/>
    </row>
    <row r="4" customFormat="false" ht="24" hidden="false" customHeight="true" outlineLevel="0" collapsed="false">
      <c r="A4" s="91" t="s">
        <v>1607</v>
      </c>
      <c r="B4" s="92" t="str">
        <f aca="false">IF(ISNUMBER(Flights!$I$25),TEXT(Flights!$I$25,"DD-MMM-YY HH:MM"),"")&amp;" "&amp;Flights!$G$25&amp;"  →  "&amp;IF(ISNUMBER(Flights!$J$25),TEXT(Flights!$J$25,"DD-MMM-YY HH:MM"),"")&amp;" "&amp;Flights!$H$25</f>
        <v>30-Oct-26 14:45 LGK  →  30-Oct-26 16:05 KUL</v>
      </c>
      <c r="C4" s="92"/>
      <c r="D4" s="92"/>
      <c r="E4" s="91" t="s">
        <v>1608</v>
      </c>
      <c r="F4" s="95" t="str">
        <f aca="false">IF(ISNUMBER(Flights!$AG$25),TEXT(Flights!$AG$25,"DD-MMM-YY HH:MM"),"")&amp;" "&amp;Flights!$V$25</f>
        <v>23-Oct-26 14:45 KUL</v>
      </c>
      <c r="G4" s="96" t="n">
        <f aca="false">Flights!$AJ$25</f>
        <v>0</v>
      </c>
      <c r="H4" s="96"/>
    </row>
    <row r="5" customFormat="false" ht="24" hidden="false" customHeight="true" outlineLevel="0" collapsed="false">
      <c r="A5" s="91" t="s">
        <v>1609</v>
      </c>
      <c r="B5" s="92" t="str">
        <f aca="false">Flights!$L$25&amp;" – "&amp;Flights!$M$25</f>
        <v>B738MAX – B737-8 (B7M8)</v>
      </c>
      <c r="C5" s="92"/>
      <c r="D5" s="92"/>
      <c r="E5" s="91" t="s">
        <v>1610</v>
      </c>
      <c r="F5" s="95" t="str">
        <f aca="false">IF(ISNUMBER(Flights!$AH$25),TEXT(Flights!$AH$25,"DD-MMM-YY HH:MM"),"")&amp;" "&amp;Flights!$V$25</f>
        <v>29-Oct-26 12:30 KUL</v>
      </c>
      <c r="G5" s="96" t="n">
        <f aca="false">Flights!$AK$25</f>
        <v>0</v>
      </c>
      <c r="H5" s="96"/>
    </row>
    <row r="6" customFormat="false" ht="24" hidden="false" customHeight="true" outlineLevel="0" collapsed="false">
      <c r="A6" s="91" t="s">
        <v>1611</v>
      </c>
      <c r="B6" s="92" t="str">
        <f aca="false">IF(TRIM(Flights!$N$25)="","__________________",Flights!$N$25)</f>
        <v>__________________</v>
      </c>
      <c r="C6" s="92"/>
      <c r="D6" s="92"/>
      <c r="E6" s="91" t="s">
        <v>1612</v>
      </c>
      <c r="F6" s="95" t="str">
        <f aca="false">IF(ISNUMBER(Flights!$AI$25),TEXT(Flights!$AI$25,"DD-MMM-YY HH:MM"),"")&amp;" "&amp;Flights!$V$25&amp;IF(Flights!$AI$25=Flights!$AH$25,"  (= T-24H due)","")</f>
        <v>29-Oct-26 12:30 KUL  (= T-24H due)</v>
      </c>
      <c r="G6" s="96" t="n">
        <f aca="false">Flights!$AL$25</f>
        <v>0</v>
      </c>
      <c r="H6" s="96"/>
    </row>
    <row r="7" customFormat="false" ht="24" hidden="false" customHeight="true" outlineLevel="0" collapsed="false">
      <c r="A7" s="91" t="s">
        <v>1613</v>
      </c>
      <c r="B7" s="92" t="str">
        <f aca="false">Flights!$T$25</f>
        <v>Refreshment (Peanut &amp; Water)</v>
      </c>
      <c r="C7" s="92"/>
      <c r="D7" s="92"/>
      <c r="E7" s="91" t="s">
        <v>1614</v>
      </c>
      <c r="F7" s="95" t="str">
        <f aca="false">"STD "&amp;IF(ISNUMBER(Flights!$I$25),TEXT(Flights!$I$25,"DD-MMM-YY HH:MM"),"")&amp;" "&amp;Flights!$G$25&amp;" (dep stn)"</f>
        <v>STD 30-Oct-26 14:45 LGK (dep stn)</v>
      </c>
      <c r="G7" s="96" t="n">
        <f aca="false">Flights!$AM$25</f>
        <v>0</v>
      </c>
      <c r="H7" s="96"/>
    </row>
    <row r="8" customFormat="false" ht="12.75" hidden="false" customHeight="true" outlineLevel="0" collapsed="false">
      <c r="A8" s="91" t="s">
        <v>148</v>
      </c>
      <c r="B8" s="92" t="str">
        <f aca="false">Flights!$V$25&amp;"   (reference uplift stns: "&amp;Flights!$U$25&amp;")"</f>
        <v>KUL   (reference uplift stns: KUL)</v>
      </c>
      <c r="C8" s="92"/>
      <c r="D8" s="92"/>
      <c r="E8" s="91" t="s">
        <v>1615</v>
      </c>
      <c r="F8" s="97" t="s">
        <v>1616</v>
      </c>
      <c r="G8" s="96" t="n">
        <f aca="false">Flights!$AN$25</f>
        <v>0</v>
      </c>
      <c r="H8" s="96"/>
    </row>
    <row r="9" customFormat="false" ht="12.75" hidden="false" customHeight="true" outlineLevel="0" collapsed="false">
      <c r="A9" s="91" t="s">
        <v>1617</v>
      </c>
      <c r="B9" s="92" t="str">
        <f aca="false">TRIM(Flights!$P$25&amp;"  "&amp;Flights!$Q$25)</f>
        <v>-</v>
      </c>
      <c r="C9" s="92"/>
      <c r="D9" s="92"/>
      <c r="E9" s="91" t="s">
        <v>1618</v>
      </c>
      <c r="F9" s="98" t="n">
        <f aca="false">Flights!$AP$25</f>
        <v>0</v>
      </c>
      <c r="G9" s="98" t="n">
        <f aca="false">Flights!$AQ$25</f>
        <v>0</v>
      </c>
      <c r="H9" s="98" t="n">
        <f aca="false">Flights!$AU$25</f>
        <v>0</v>
      </c>
    </row>
    <row r="10" customFormat="false" ht="24" hidden="false" customHeight="true" outlineLevel="0" collapsed="false">
      <c r="A10" s="91" t="s">
        <v>1619</v>
      </c>
      <c r="B10" s="92" t="str">
        <f aca="false">IF(TRIM(Flights!$X$25)="","__________________",Flights!$X$25)</f>
        <v>__________________</v>
      </c>
      <c r="C10" s="92"/>
      <c r="D10" s="92"/>
      <c r="E10" s="91" t="s">
        <v>1620</v>
      </c>
      <c r="F10" s="98" t="n">
        <f aca="false">Flights!$AO$25</f>
        <v>36</v>
      </c>
      <c r="G10" s="98" t="n">
        <f aca="false">Flights!$AS$25</f>
        <v>1</v>
      </c>
      <c r="H10" s="98" t="n">
        <f aca="false">Flights!$AR$25</f>
        <v>2</v>
      </c>
    </row>
    <row r="11" customFormat="false" ht="21" hidden="false" customHeight="true" outlineLevel="0" collapsed="false">
      <c r="A11" s="91" t="s">
        <v>1621</v>
      </c>
      <c r="B11" s="92" t="str">
        <f aca="false">IF(TRIM(Flights!$Y$25)="","__________________",Flights!$Y$25)</f>
        <v>__________________</v>
      </c>
      <c r="C11" s="92"/>
      <c r="D11" s="92"/>
      <c r="E11" s="91" t="s">
        <v>1622</v>
      </c>
      <c r="F11" s="98" t="str">
        <f aca="false">Flights!$AV$25&amp;" / "&amp;Flights!$AW$25</f>
        <v>0 / 36</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45.75" hidden="false" customHeight="true" outlineLevel="0" collapsed="false">
      <c r="A13" s="116"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"&amp;Flights!$G$25&amp;"."&amp;CHAR(10)&amp;"Prep must be complete by (loading window opens):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 (estimated – enter actual on Flights AX)")</f>
        <v>ROUND-TRIP LEG: all catering is uplifted at KUL on the carrying flight (agenda candidate F20 MH1450). T-24H / T-12H PREP are capped at the KUL loading window; on-board UPLIFT checks are at LGK.
Prep must be complete by (loading window opens): 29-Oct-26 12:30 KUL   |   Carrying flight KUL departure (loading confirmed by): 29-Oct-26 18:30 KUL (estimated – enter actual on Flights AX)</v>
      </c>
      <c r="B13" s="116"/>
      <c r="C13" s="116"/>
      <c r="D13" s="116"/>
      <c r="E13" s="116"/>
      <c r="F13" s="116"/>
      <c r="G13" s="116"/>
      <c r="H13" s="116"/>
    </row>
    <row r="14" customFormat="false" ht="13.5" hidden="false" customHeight="true" outlineLevel="0" collapsed="false">
      <c r="A14" s="93" t="s">
        <v>1627</v>
      </c>
      <c r="B14" s="93" t="s">
        <v>1628</v>
      </c>
      <c r="C14" s="93" t="s">
        <v>1629</v>
      </c>
      <c r="D14" s="93"/>
      <c r="E14" s="93" t="s">
        <v>1630</v>
      </c>
      <c r="F14" s="93" t="s">
        <v>1631</v>
      </c>
      <c r="G14" s="93"/>
      <c r="H14" s="93"/>
    </row>
    <row r="15" customFormat="false" ht="36" hidden="false" customHeight="true" outlineLevel="0" collapsed="false">
      <c r="A15" s="91" t="s">
        <v>1632</v>
      </c>
      <c r="B15" s="92" t="str">
        <f aca="false">IF(Documents!$F$25="","",Documents!$F$25)</f>
        <v/>
      </c>
      <c r="C15" s="97" t="str">
        <f aca="false">IF(Documents!$G$25="","",Documents!$G$25)&amp;IF(ISNUMBER(Documents!$H$25),"  "&amp;TEXT(Documents!$H$25,"DD-MMM-YY"),"")</f>
        <v/>
      </c>
      <c r="D15" s="97"/>
      <c r="E15" s="105" t="str">
        <f aca="false">IF(Documents!$J$25="OUTSTANDING","OUTSTANDING – attach before T-7D (due "&amp;IF(ISNUMBER(Flights!$AG$25),TEXT(Flights!$AG$25,"DD-MMM-YY HH:MM"),"")&amp;" "&amp;Flights!$V$25&amp;")",IF(Documents!$J$25="","Status not recorded",Documents!$J$25))</f>
        <v>OUTSTANDING – attach before T-7D (due 23-Oct-26 14:45 KUL)</v>
      </c>
      <c r="F15" s="106" t="str">
        <f aca="false">"Staple behind this sheet as page A1."&amp;IF(Documents!$I$25="",""," Location: "&amp;Documents!$I$25)</f>
        <v>Staple behind this sheet as page A1.</v>
      </c>
      <c r="G15" s="106"/>
      <c r="H15" s="106"/>
    </row>
    <row r="16" customFormat="false" ht="36" hidden="false" customHeight="true" outlineLevel="0" collapsed="false">
      <c r="A16" s="91" t="s">
        <v>1633</v>
      </c>
      <c r="B16" s="92" t="str">
        <f aca="false">IF(Documents!$K$25="","",Documents!$K$25)</f>
        <v/>
      </c>
      <c r="C16" s="97" t="str">
        <f aca="false">IF(Documents!$L$25="","",Documents!$L$25)&amp;IF(ISNUMBER(Documents!$M$25),"  "&amp;TEXT(Documents!$M$25,"DD-MMM-YY"),"")</f>
        <v/>
      </c>
      <c r="D16" s="97"/>
      <c r="E16" s="105" t="str">
        <f aca="false">IF(Documents!$O$25="OUTSTANDING","OUTSTANDING – attach before T-7D (due "&amp;IF(ISNUMBER(Flights!$AG$25),TEXT(Flights!$AG$25,"DD-MMM-YY HH:MM"),"")&amp;" "&amp;Flights!$V$25&amp;")",IF(Documents!$O$25="","Status not recorded",Documents!$O$25))</f>
        <v>OUTSTANDING – attach before T-7D (due 23-Oct-26 14:45 KUL)</v>
      </c>
      <c r="F16" s="106" t="str">
        <f aca="false">"Staple behind this sheet as page A2."&amp;IF(Documents!$N$25="",""," Location: "&amp;Documents!$N$25)</f>
        <v>Staple behind this sheet as page A2.</v>
      </c>
      <c r="G16" s="106"/>
      <c r="H16" s="106"/>
    </row>
    <row r="17" customFormat="false" ht="22.5" hidden="false" customHeight="true" outlineLevel="0" collapsed="false">
      <c r="A17" s="91" t="s">
        <v>1634</v>
      </c>
      <c r="B17" s="107" t="str">
        <f aca="false">IF(Documents!$Q$25="","",Documents!$Q$25)</f>
        <v>Not supplied with brief – obtain from caterer / MAGCS. Return catering loaded at KUL: GLD must show return-leg stowage.</v>
      </c>
      <c r="C17" s="107"/>
      <c r="D17" s="107"/>
      <c r="E17" s="107"/>
      <c r="F17" s="107"/>
      <c r="G17" s="107"/>
      <c r="H17" s="107"/>
    </row>
    <row r="18" customFormat="false" ht="13.5" hidden="false" customHeight="true" outlineLevel="0" collapsed="false">
      <c r="A18" s="108" t="s">
        <v>1635</v>
      </c>
      <c r="B18" s="108"/>
      <c r="C18" s="108" t="s">
        <v>1636</v>
      </c>
      <c r="D18" s="108"/>
      <c r="E18" s="108"/>
      <c r="F18" s="108" t="s">
        <v>1637</v>
      </c>
      <c r="G18" s="108"/>
      <c r="H18" s="108"/>
    </row>
    <row r="19" customFormat="false" ht="18" hidden="false" customHeight="true" outlineLevel="0" collapsed="false">
      <c r="A19" s="92" t="str">
        <f aca="false">"Name: "&amp;IF(TRIM(Flights!$Y$25)="","__________________",Flights!$Y$25)</f>
        <v>Name: __________________</v>
      </c>
      <c r="B19" s="92"/>
      <c r="C19" s="92" t="str">
        <f aca="false">"Name: __________________"</f>
        <v>Name: __________________</v>
      </c>
      <c r="D19" s="92"/>
      <c r="E19" s="92"/>
      <c r="F19" s="92" t="str">
        <f aca="false">"Name: __________________"&amp;"   Station: "&amp;Flights!$V$25</f>
        <v>Name: __________________   Station: KUL</v>
      </c>
      <c r="G19" s="92"/>
      <c r="H19" s="92"/>
    </row>
    <row r="20" customFormat="false" ht="30" hidden="false" customHeight="true" outlineLevel="0" collapsed="false">
      <c r="A20" s="109" t="s">
        <v>1638</v>
      </c>
      <c r="B20" s="109"/>
      <c r="C20" s="109" t="s">
        <v>1638</v>
      </c>
      <c r="D20" s="109"/>
      <c r="E20" s="109"/>
      <c r="F20" s="109" t="s">
        <v>1638</v>
      </c>
      <c r="G20" s="109"/>
      <c r="H20" s="109"/>
    </row>
    <row r="21" customFormat="false" ht="13.5" hidden="false" customHeight="true" outlineLevel="0" collapsed="false">
      <c r="A21" s="110" t="s">
        <v>1639</v>
      </c>
      <c r="B21" s="110"/>
      <c r="C21" s="110"/>
      <c r="D21" s="110"/>
      <c r="E21" s="110"/>
      <c r="F21" s="110"/>
      <c r="G21" s="110"/>
      <c r="H21" s="110"/>
    </row>
    <row r="22" customFormat="false" ht="24" hidden="false" customHeight="true" outlineLevel="0" collapsed="false">
      <c r="A22" s="93" t="s">
        <v>1640</v>
      </c>
      <c r="B22" s="93" t="s">
        <v>1641</v>
      </c>
      <c r="C22" s="93" t="s">
        <v>1642</v>
      </c>
      <c r="D22" s="93" t="s">
        <v>1643</v>
      </c>
      <c r="E22" s="93" t="s">
        <v>1644</v>
      </c>
      <c r="F22" s="93" t="s">
        <v>1645</v>
      </c>
      <c r="G22" s="93" t="s">
        <v>1646</v>
      </c>
      <c r="H22" s="93" t="s">
        <v>119</v>
      </c>
    </row>
    <row r="23" customFormat="false" ht="25.5" hidden="false" customHeight="true" outlineLevel="0" collapsed="false">
      <c r="A23" s="111"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1"/>
      <c r="C23" s="111"/>
      <c r="D23" s="111"/>
      <c r="E23" s="111"/>
      <c r="F23" s="111"/>
      <c r="G23" s="111"/>
      <c r="H23" s="111"/>
    </row>
    <row r="24" customFormat="false" ht="114" hidden="false" customHeight="true" outlineLevel="0" collapsed="false">
      <c r="A24" s="112" t="str">
        <f aca="false">Checks!$A$665&amp;CHAR(10)&amp;IF(Checks!$I$665="","",Checks!$I$665&amp;": ")&amp;Checks!$J$665</f>
        <v>F21-T7-01
Meal: Meal sensory testing completed for this flight's menu cycle (assessed class)</v>
      </c>
      <c r="B24" s="112" t="str">
        <f aca="false">Checks!$K$665&amp;IF(Checks!$O$665="","",IF(Checks!$K$665="","",CHAR(10))&amp;"Note: "&amp;Checks!$O$665)</f>
        <v>Record panel result / score in Result
Note: Refreshment service: sensory test covers the refreshment items.</v>
      </c>
      <c r="C24" s="112" t="str">
        <f aca="false">Checks!$N$665&amp;CHAR(10)&amp;IF(ISNUMBER(Checks!$R$665),TEXT(Checks!$R$665,"DD-MMM-YY HH:MM"),"")&amp;" "&amp;Checks!$P$665</f>
        <v>Required
23-Oct-26 14:45 KUL</v>
      </c>
      <c r="D24" s="112" t="str">
        <f aca="false">IF(Checks!$U$665="","",Checks!$U$665)&amp;IF(Checks!$AB$665="","",CHAR(10)&amp;"CA: "&amp;Checks!$AB$665)</f>
        <v/>
      </c>
      <c r="E24" s="112" t="str">
        <f aca="false">IF(Checks!$V$665="","",Checks!$V$665)&amp;IF(Checks!$AC$665="","",IF(Checks!$V$665="","",CHAR(10))&amp;"N/A just.: "&amp;Checks!$AC$665)&amp;IF(Checks!$W$665="","",CHAR(10)&amp;"Batch: "&amp;Checks!$W$665)&amp;IF(AND(Checks!$X$665="",Checks!$Y$665=""),"",CHAR(10)&amp;"Exp: "&amp;Checks!$X$665&amp;"  /  Act: "&amp;Checks!$Y$665)</f>
        <v/>
      </c>
      <c r="F24" s="112" t="str">
        <f aca="false">IF(Checks!$Z$665="","","Evidence: "&amp;Checks!$Z$665)&amp;IF(Checks!$AA$665="","",IF(Checks!$Z$665="","",CHAR(10))&amp;"CA: "&amp;Checks!$AA$665)</f>
        <v/>
      </c>
      <c r="G24" s="112" t="str">
        <f aca="false">IF(ISNUMBER(Checks!$AD$665),TEXT(Checks!$AD$665,"DD-MMM-YY HH:MM")&amp;" "&amp;Checks!$P$665,"")&amp;IF(Checks!$AE$665="","",CHAR(10)&amp;"Verifier: "&amp;Checks!$AE$665)&amp;IF(Checks!$T$665="","",CHAR(10)&amp;"PIC: "&amp;Checks!$T$665)</f>
        <v/>
      </c>
      <c r="H24" s="113" t="str">
        <f aca="false">IF(Checks!$AH$665="","",Checks!$AH$665)</f>
        <v>OPEN</v>
      </c>
    </row>
    <row r="25" customFormat="false" ht="114" hidden="false" customHeight="true" outlineLevel="0" collapsed="false">
      <c r="A25" s="112" t="str">
        <f aca="false">Checks!$A$666&amp;CHAR(10)&amp;IF(Checks!$I$666="","",Checks!$I$666&amp;": ")&amp;Checks!$J$666</f>
        <v>F21-T7-02
Menu: Printed menu cards confirmed (content, cycle, language, quantity)</v>
      </c>
      <c r="B25" s="112" t="str">
        <f aca="false">Checks!$K$666&amp;IF(Checks!$O$666="","",IF(Checks!$K$666="","",CHAR(10))&amp;"Note: "&amp;Checks!$O$666)</f>
        <v>Menu card matches approved menu for this flight
Note: Refreshment service (peanut &amp; water). If no printed menu card is used, mark N/A with the confirmation as justification.</v>
      </c>
      <c r="C25" s="112" t="str">
        <f aca="false">Checks!$N$666&amp;CHAR(10)&amp;IF(ISNUMBER(Checks!$R$666),TEXT(Checks!$R$666,"DD-MMM-YY HH:MM"),"")&amp;" "&amp;Checks!$P$666</f>
        <v>Required
23-Oct-26 14:45 KUL</v>
      </c>
      <c r="D25" s="112" t="str">
        <f aca="false">IF(Checks!$U$666="","",Checks!$U$666)&amp;IF(Checks!$AB$666="","",CHAR(10)&amp;"CA: "&amp;Checks!$AB$666)</f>
        <v/>
      </c>
      <c r="E25" s="112" t="str">
        <f aca="false">IF(Checks!$V$666="","",Checks!$V$666)&amp;IF(Checks!$AC$666="","",IF(Checks!$V$666="","",CHAR(10))&amp;"N/A just.: "&amp;Checks!$AC$666)&amp;IF(Checks!$W$666="","",CHAR(10)&amp;"Batch: "&amp;Checks!$W$666)&amp;IF(AND(Checks!$X$666="",Checks!$Y$666=""),"",CHAR(10)&amp;"Exp: "&amp;Checks!$X$666&amp;"  /  Act: "&amp;Checks!$Y$666)</f>
        <v/>
      </c>
      <c r="F25" s="112" t="str">
        <f aca="false">IF(Checks!$Z$666="","","Evidence: "&amp;Checks!$Z$666)&amp;IF(Checks!$AA$666="","",IF(Checks!$Z$666="","",CHAR(10))&amp;"CA: "&amp;Checks!$AA$666)</f>
        <v/>
      </c>
      <c r="G25" s="112" t="str">
        <f aca="false">IF(ISNUMBER(Checks!$AD$666),TEXT(Checks!$AD$666,"DD-MMM-YY HH:MM")&amp;" "&amp;Checks!$P$666,"")&amp;IF(Checks!$AE$666="","",CHAR(10)&amp;"Verifier: "&amp;Checks!$AE$666)&amp;IF(Checks!$T$666="","",CHAR(10)&amp;"PIC: "&amp;Checks!$T$666)</f>
        <v/>
      </c>
      <c r="H25" s="113" t="str">
        <f aca="false">IF(Checks!$AH$666="","",Checks!$AH$666)</f>
        <v>OPEN</v>
      </c>
    </row>
    <row r="26" customFormat="false" ht="114" hidden="false" customHeight="true" outlineLevel="0" collapsed="false">
      <c r="A26" s="112" t="str">
        <f aca="false">Checks!$A$667&amp;CHAR(10)&amp;IF(Checks!$I$667="","",Checks!$I$667&amp;": ")&amp;Checks!$J$667</f>
        <v>F21-T7-03
IFE: Digital menu in IFE confirmed (A339 only)</v>
      </c>
      <c r="B26" s="112" t="str">
        <f aca="false">Checks!$K$667&amp;IF(Checks!$O$667="","",IF(Checks!$K$667="","",CHAR(10))&amp;"Note: "&amp;Checks!$O$667)</f>
        <v>Applies when fleet = A339
Note: Digital IFE menu applies to A339 only (user brief). Applicability follows the Fleet cell on Flights.</v>
      </c>
      <c r="C26" s="112" t="str">
        <f aca="false">Checks!$N$667&amp;CHAR(10)&amp;IF(ISNUMBER(Checks!$R$667),TEXT(Checks!$R$667,"DD-MMM-YY HH:MM"),"")&amp;" "&amp;Checks!$P$667</f>
        <v>N/A – rule
23-Oct-26 14:45 KUL</v>
      </c>
      <c r="D26" s="112" t="str">
        <f aca="false">IF(Checks!$U$667="","",Checks!$U$667)&amp;IF(Checks!$AB$667="","",CHAR(10)&amp;"CA: "&amp;Checks!$AB$667)</f>
        <v/>
      </c>
      <c r="E26" s="112" t="str">
        <f aca="false">IF(Checks!$V$667="","",Checks!$V$667)&amp;IF(Checks!$AC$667="","",IF(Checks!$V$667="","",CHAR(10))&amp;"N/A just.: "&amp;Checks!$AC$667)&amp;IF(Checks!$W$667="","",CHAR(10)&amp;"Batch: "&amp;Checks!$W$667)&amp;IF(AND(Checks!$X$667="",Checks!$Y$667=""),"",CHAR(10)&amp;"Exp: "&amp;Checks!$X$667&amp;"  /  Act: "&amp;Checks!$Y$667)</f>
        <v/>
      </c>
      <c r="F26" s="112" t="str">
        <f aca="false">IF(Checks!$Z$667="","","Evidence: "&amp;Checks!$Z$667)&amp;IF(Checks!$AA$667="","",IF(Checks!$Z$667="","",CHAR(10))&amp;"CA: "&amp;Checks!$AA$667)</f>
        <v/>
      </c>
      <c r="G26" s="112" t="str">
        <f aca="false">IF(ISNUMBER(Checks!$AD$667),TEXT(Checks!$AD$667,"DD-MMM-YY HH:MM")&amp;" "&amp;Checks!$P$667,"")&amp;IF(Checks!$AE$667="","",CHAR(10)&amp;"Verifier: "&amp;Checks!$AE$667)&amp;IF(Checks!$T$667="","",CHAR(10)&amp;"PIC: "&amp;Checks!$T$667)</f>
        <v/>
      </c>
      <c r="H26" s="113" t="str">
        <f aca="false">IF(Checks!$AH$667="","",Checks!$AH$667)</f>
        <v>N/A – RULE</v>
      </c>
    </row>
    <row r="27" customFormat="false" ht="114" hidden="false" customHeight="true" outlineLevel="0" collapsed="false">
      <c r="A27" s="112" t="str">
        <f aca="false">Checks!$A$668&amp;CHAR(10)&amp;IF(Checks!$I$668="","",Checks!$I$668&amp;": ")&amp;Checks!$J$668</f>
        <v>F21-T7-04
Staffing: Experienced catering officer assigned to this flight</v>
      </c>
      <c r="B27" s="112" t="str">
        <f aca="false">Checks!$K$668&amp;IF(Checks!$O$668="","",IF(Checks!$K$668="","",CHAR(10))&amp;"Note: "&amp;Checks!$O$668)</f>
        <v>Record officer name in Result</v>
      </c>
      <c r="C27" s="112" t="str">
        <f aca="false">Checks!$N$668&amp;CHAR(10)&amp;IF(ISNUMBER(Checks!$R$668),TEXT(Checks!$R$668,"DD-MMM-YY HH:MM"),"")&amp;" "&amp;Checks!$P$668</f>
        <v>Required
23-Oct-26 14:45 KUL</v>
      </c>
      <c r="D27" s="112" t="str">
        <f aca="false">IF(Checks!$U$668="","",Checks!$U$668)&amp;IF(Checks!$AB$668="","",CHAR(10)&amp;"CA: "&amp;Checks!$AB$668)</f>
        <v/>
      </c>
      <c r="E27" s="112" t="str">
        <f aca="false">IF(Checks!$V$668="","",Checks!$V$668)&amp;IF(Checks!$AC$668="","",IF(Checks!$V$668="","",CHAR(10))&amp;"N/A just.: "&amp;Checks!$AC$668)&amp;IF(Checks!$W$668="","",CHAR(10)&amp;"Batch: "&amp;Checks!$W$668)&amp;IF(AND(Checks!$X$668="",Checks!$Y$668=""),"",CHAR(10)&amp;"Exp: "&amp;Checks!$X$668&amp;"  /  Act: "&amp;Checks!$Y$668)</f>
        <v/>
      </c>
      <c r="F27" s="112" t="str">
        <f aca="false">IF(Checks!$Z$668="","","Evidence: "&amp;Checks!$Z$668)&amp;IF(Checks!$AA$668="","",IF(Checks!$Z$668="","",CHAR(10))&amp;"CA: "&amp;Checks!$AA$668)</f>
        <v/>
      </c>
      <c r="G27" s="112" t="str">
        <f aca="false">IF(ISNUMBER(Checks!$AD$668),TEXT(Checks!$AD$668,"DD-MMM-YY HH:MM")&amp;" "&amp;Checks!$P$668,"")&amp;IF(Checks!$AE$668="","",CHAR(10)&amp;"Verifier: "&amp;Checks!$AE$668)&amp;IF(Checks!$T$668="","",CHAR(10)&amp;"PIC: "&amp;Checks!$T$668)</f>
        <v/>
      </c>
      <c r="H27" s="113" t="str">
        <f aca="false">IF(Checks!$AH$668="","",Checks!$AH$668)</f>
        <v>OPEN</v>
      </c>
    </row>
    <row r="28" customFormat="false" ht="114" hidden="false" customHeight="true" outlineLevel="0" collapsed="false">
      <c r="A28" s="112" t="str">
        <f aca="false">Checks!$A$669&amp;CHAR(10)&amp;IF(Checks!$I$669="","",Checks!$I$669&amp;": ")&amp;Checks!$J$669</f>
        <v>F21-T7-05
ISOP: All latest applicable ISOP revisions communicated to caterer</v>
      </c>
      <c r="B28" s="112" t="str">
        <f aca="false">Checks!$K$669&amp;IF(Checks!$O$669="","",IF(Checks!$K$669="","",CHAR(10))&amp;"Note: "&amp;Checks!$O$669)</f>
        <v>List revision numbers in Result (see ISOP register)</v>
      </c>
      <c r="C28" s="112" t="str">
        <f aca="false">Checks!$N$669&amp;CHAR(10)&amp;IF(ISNUMBER(Checks!$R$669),TEXT(Checks!$R$669,"DD-MMM-YY HH:MM"),"")&amp;" "&amp;Checks!$P$669</f>
        <v>Required
23-Oct-26 14:45 KUL</v>
      </c>
      <c r="D28" s="112" t="str">
        <f aca="false">IF(Checks!$U$669="","",Checks!$U$669)&amp;IF(Checks!$AB$669="","",CHAR(10)&amp;"CA: "&amp;Checks!$AB$669)</f>
        <v/>
      </c>
      <c r="E28" s="112" t="str">
        <f aca="false">IF(Checks!$V$669="","",Checks!$V$669)&amp;IF(Checks!$AC$669="","",IF(Checks!$V$669="","",CHAR(10))&amp;"N/A just.: "&amp;Checks!$AC$669)&amp;IF(Checks!$W$669="","",CHAR(10)&amp;"Batch: "&amp;Checks!$W$669)&amp;IF(AND(Checks!$X$669="",Checks!$Y$669=""),"",CHAR(10)&amp;"Exp: "&amp;Checks!$X$669&amp;"  /  Act: "&amp;Checks!$Y$669)</f>
        <v/>
      </c>
      <c r="F28" s="112" t="str">
        <f aca="false">IF(Checks!$Z$669="","","Evidence: "&amp;Checks!$Z$669)&amp;IF(Checks!$AA$669="","",IF(Checks!$Z$669="","",CHAR(10))&amp;"CA: "&amp;Checks!$AA$669)</f>
        <v/>
      </c>
      <c r="G28" s="112" t="str">
        <f aca="false">IF(ISNUMBER(Checks!$AD$669),TEXT(Checks!$AD$669,"DD-MMM-YY HH:MM")&amp;" "&amp;Checks!$P$669,"")&amp;IF(Checks!$AE$669="","",CHAR(10)&amp;"Verifier: "&amp;Checks!$AE$669)&amp;IF(Checks!$T$669="","",CHAR(10)&amp;"PIC: "&amp;Checks!$T$669)</f>
        <v/>
      </c>
      <c r="H28" s="113" t="str">
        <f aca="false">IF(Checks!$AH$669="","",Checks!$AH$669)</f>
        <v>OPEN</v>
      </c>
    </row>
    <row r="29" customFormat="false" ht="114" hidden="false" customHeight="true" outlineLevel="0" collapsed="false">
      <c r="A29" s="112" t="str">
        <f aca="false">Checks!$A$670&amp;CHAR(10)&amp;IF(Checks!$I$670="","",Checks!$I$670&amp;": ")&amp;Checks!$J$670</f>
        <v>F21-T7-06
ISOP: Caterer acknowledgement of ISOP revisions recorded</v>
      </c>
      <c r="B29" s="112" t="str">
        <f aca="false">Checks!$K$670&amp;IF(Checks!$O$670="","",IF(Checks!$K$670="","",CHAR(10))&amp;"Note: "&amp;Checks!$O$670)</f>
        <v>Record acknowledgement ref in Evidence</v>
      </c>
      <c r="C29" s="112" t="str">
        <f aca="false">Checks!$N$670&amp;CHAR(10)&amp;IF(ISNUMBER(Checks!$R$670),TEXT(Checks!$R$670,"DD-MMM-YY HH:MM"),"")&amp;" "&amp;Checks!$P$670</f>
        <v>Required
23-Oct-26 14:45 KUL</v>
      </c>
      <c r="D29" s="112" t="str">
        <f aca="false">IF(Checks!$U$670="","",Checks!$U$670)&amp;IF(Checks!$AB$670="","",CHAR(10)&amp;"CA: "&amp;Checks!$AB$670)</f>
        <v/>
      </c>
      <c r="E29" s="112" t="str">
        <f aca="false">IF(Checks!$V$670="","",Checks!$V$670)&amp;IF(Checks!$AC$670="","",IF(Checks!$V$670="","",CHAR(10))&amp;"N/A just.: "&amp;Checks!$AC$670)&amp;IF(Checks!$W$670="","",CHAR(10)&amp;"Batch: "&amp;Checks!$W$670)&amp;IF(AND(Checks!$X$670="",Checks!$Y$670=""),"",CHAR(10)&amp;"Exp: "&amp;Checks!$X$670&amp;"  /  Act: "&amp;Checks!$Y$670)</f>
        <v/>
      </c>
      <c r="F29" s="112" t="str">
        <f aca="false">IF(Checks!$Z$670="","","Evidence: "&amp;Checks!$Z$670)&amp;IF(Checks!$AA$670="","",IF(Checks!$Z$670="","",CHAR(10))&amp;"CA: "&amp;Checks!$AA$670)</f>
        <v/>
      </c>
      <c r="G29" s="112" t="str">
        <f aca="false">IF(ISNUMBER(Checks!$AD$670),TEXT(Checks!$AD$670,"DD-MMM-YY HH:MM")&amp;" "&amp;Checks!$P$670,"")&amp;IF(Checks!$AE$670="","",CHAR(10)&amp;"Verifier: "&amp;Checks!$AE$670)&amp;IF(Checks!$T$670="","",CHAR(10)&amp;"PIC: "&amp;Checks!$T$670)</f>
        <v/>
      </c>
      <c r="H29" s="113" t="str">
        <f aca="false">IF(Checks!$AH$670="","",Checks!$AH$670)</f>
        <v>OPEN</v>
      </c>
    </row>
    <row r="30" customFormat="false" ht="114" hidden="false" customHeight="true" outlineLevel="0" collapsed="false">
      <c r="A30" s="112" t="str">
        <f aca="false">Checks!$A$671&amp;CHAR(10)&amp;IF(Checks!$I$671="","",Checks!$I$671&amp;": ")&amp;Checks!$J$671</f>
        <v>F21-T7-07
Documents: Galley loading diagram (GLD) received, revision recorded &amp; attached</v>
      </c>
      <c r="B30" s="112" t="str">
        <f aca="false">Checks!$K$671&amp;IF(Checks!$O$671="","",IF(Checks!$K$671="","",CHAR(10))&amp;"Note: "&amp;Checks!$O$671)</f>
        <v>Documents sheet row complete</v>
      </c>
      <c r="C30" s="112" t="str">
        <f aca="false">Checks!$N$671&amp;CHAR(10)&amp;IF(ISNUMBER(Checks!$R$671),TEXT(Checks!$R$671,"DD-MMM-YY HH:MM"),"")&amp;" "&amp;Checks!$P$671</f>
        <v>Required
23-Oct-26 14:45 KUL</v>
      </c>
      <c r="D30" s="112" t="str">
        <f aca="false">IF(Checks!$U$671="","",Checks!$U$671)&amp;IF(Checks!$AB$671="","",CHAR(10)&amp;"CA: "&amp;Checks!$AB$671)</f>
        <v/>
      </c>
      <c r="E30" s="112" t="str">
        <f aca="false">IF(Checks!$V$671="","",Checks!$V$671)&amp;IF(Checks!$AC$671="","",IF(Checks!$V$671="","",CHAR(10))&amp;"N/A just.: "&amp;Checks!$AC$671)&amp;IF(Checks!$W$671="","",CHAR(10)&amp;"Batch: "&amp;Checks!$W$671)&amp;IF(AND(Checks!$X$671="",Checks!$Y$671=""),"",CHAR(10)&amp;"Exp: "&amp;Checks!$X$671&amp;"  /  Act: "&amp;Checks!$Y$671)</f>
        <v/>
      </c>
      <c r="F30" s="112" t="str">
        <f aca="false">IF(Checks!$Z$671="","","Evidence: "&amp;Checks!$Z$671)&amp;IF(Checks!$AA$671="","",IF(Checks!$Z$671="","",CHAR(10))&amp;"CA: "&amp;Checks!$AA$671)</f>
        <v/>
      </c>
      <c r="G30" s="112" t="str">
        <f aca="false">IF(ISNUMBER(Checks!$AD$671),TEXT(Checks!$AD$671,"DD-MMM-YY HH:MM")&amp;" "&amp;Checks!$P$671,"")&amp;IF(Checks!$AE$671="","",CHAR(10)&amp;"Verifier: "&amp;Checks!$AE$671)&amp;IF(Checks!$T$671="","",CHAR(10)&amp;"PIC: "&amp;Checks!$T$671)</f>
        <v/>
      </c>
      <c r="H30" s="113" t="str">
        <f aca="false">IF(Checks!$AH$671="","",Checks!$AH$671)</f>
        <v>OPEN</v>
      </c>
    </row>
    <row r="31" customFormat="false" ht="114" hidden="false" customHeight="true" outlineLevel="0" collapsed="false">
      <c r="A31" s="112" t="str">
        <f aca="false">Checks!$A$672&amp;CHAR(10)&amp;IF(Checks!$I$672="","",Checks!$I$672&amp;": ")&amp;Checks!$J$672</f>
        <v>F21-T7-08
Documents: Menu checklist received, revision recorded &amp; attached</v>
      </c>
      <c r="B31" s="112" t="str">
        <f aca="false">Checks!$K$672&amp;IF(Checks!$O$672="","",IF(Checks!$K$672="","",CHAR(10))&amp;"Note: "&amp;Checks!$O$672)</f>
        <v>Documents sheet row complete</v>
      </c>
      <c r="C31" s="112" t="str">
        <f aca="false">Checks!$N$672&amp;CHAR(10)&amp;IF(ISNUMBER(Checks!$R$672),TEXT(Checks!$R$672,"DD-MMM-YY HH:MM"),"")&amp;" "&amp;Checks!$P$672</f>
        <v>Required
23-Oct-26 14:45 KUL</v>
      </c>
      <c r="D31" s="112" t="str">
        <f aca="false">IF(Checks!$U$672="","",Checks!$U$672)&amp;IF(Checks!$AB$672="","",CHAR(10)&amp;"CA: "&amp;Checks!$AB$672)</f>
        <v/>
      </c>
      <c r="E31" s="112" t="str">
        <f aca="false">IF(Checks!$V$672="","",Checks!$V$672)&amp;IF(Checks!$AC$672="","",IF(Checks!$V$672="","",CHAR(10))&amp;"N/A just.: "&amp;Checks!$AC$672)&amp;IF(Checks!$W$672="","",CHAR(10)&amp;"Batch: "&amp;Checks!$W$672)&amp;IF(AND(Checks!$X$672="",Checks!$Y$672=""),"",CHAR(10)&amp;"Exp: "&amp;Checks!$X$672&amp;"  /  Act: "&amp;Checks!$Y$672)</f>
        <v/>
      </c>
      <c r="F31" s="112" t="str">
        <f aca="false">IF(Checks!$Z$672="","","Evidence: "&amp;Checks!$Z$672)&amp;IF(Checks!$AA$672="","",IF(Checks!$Z$672="","",CHAR(10))&amp;"CA: "&amp;Checks!$AA$672)</f>
        <v/>
      </c>
      <c r="G31" s="112" t="str">
        <f aca="false">IF(ISNUMBER(Checks!$AD$672),TEXT(Checks!$AD$672,"DD-MMM-YY HH:MM")&amp;" "&amp;Checks!$P$672,"")&amp;IF(Checks!$AE$672="","",CHAR(10)&amp;"Verifier: "&amp;Checks!$AE$672)&amp;IF(Checks!$T$672="","",CHAR(10)&amp;"PIC: "&amp;Checks!$T$672)</f>
        <v/>
      </c>
      <c r="H31" s="113" t="str">
        <f aca="false">IF(Checks!$AH$672="","",Checks!$AH$672)</f>
        <v>OPEN</v>
      </c>
    </row>
    <row r="32" customFormat="false" ht="114" hidden="false" customHeight="true" outlineLevel="0" collapsed="false">
      <c r="A32" s="112" t="str">
        <f aca="false">Checks!$A$673&amp;CHAR(10)&amp;IF(Checks!$I$673="","",Checks!$I$673&amp;": ")&amp;Checks!$J$673</f>
        <v>F21-T7-09
Uplift plan: Uplift plan confirmed with caterer vs STD Uplift Information</v>
      </c>
      <c r="B32" s="112" t="str">
        <f aca="false">Checks!$K$673&amp;IF(Checks!$O$673="","",IF(Checks!$K$673="","",CHAR(10))&amp;"Note: "&amp;Checks!$O$673)</f>
        <v>Service: Refreshment (Peanut &amp; Water); meal uplift stn KUL (ref lists KUL)
Note: Return catering uplifted at KUL on the outbound rotation (ref uplift stn = KUL). Confirm aircraft rotation.</v>
      </c>
      <c r="C32" s="112" t="str">
        <f aca="false">Checks!$N$673&amp;CHAR(10)&amp;IF(ISNUMBER(Checks!$R$673),TEXT(Checks!$R$673,"DD-MMM-YY HH:MM"),"")&amp;" "&amp;Checks!$P$673</f>
        <v>Required
23-Oct-26 14:45 KUL</v>
      </c>
      <c r="D32" s="112" t="str">
        <f aca="false">IF(Checks!$U$673="","",Checks!$U$673)&amp;IF(Checks!$AB$673="","",CHAR(10)&amp;"CA: "&amp;Checks!$AB$673)</f>
        <v/>
      </c>
      <c r="E32" s="112" t="str">
        <f aca="false">IF(Checks!$V$673="","",Checks!$V$673)&amp;IF(Checks!$AC$673="","",IF(Checks!$V$673="","",CHAR(10))&amp;"N/A just.: "&amp;Checks!$AC$673)&amp;IF(Checks!$W$673="","",CHAR(10)&amp;"Batch: "&amp;Checks!$W$673)&amp;IF(AND(Checks!$X$673="",Checks!$Y$673=""),"",CHAR(10)&amp;"Exp: "&amp;Checks!$X$673&amp;"  /  Act: "&amp;Checks!$Y$673)</f>
        <v/>
      </c>
      <c r="F32" s="112" t="str">
        <f aca="false">IF(Checks!$Z$673="","","Evidence: "&amp;Checks!$Z$673)&amp;IF(Checks!$AA$673="","",IF(Checks!$Z$673="","",CHAR(10))&amp;"CA: "&amp;Checks!$AA$673)</f>
        <v/>
      </c>
      <c r="G32" s="112" t="str">
        <f aca="false">IF(ISNUMBER(Checks!$AD$673),TEXT(Checks!$AD$673,"DD-MMM-YY HH:MM")&amp;" "&amp;Checks!$P$673,"")&amp;IF(Checks!$AE$673="","",CHAR(10)&amp;"Verifier: "&amp;Checks!$AE$673)&amp;IF(Checks!$T$673="","",CHAR(10)&amp;"PIC: "&amp;Checks!$T$673)</f>
        <v/>
      </c>
      <c r="H32" s="113" t="str">
        <f aca="false">IF(Checks!$AH$673="","",Checks!$AH$673)</f>
        <v>OPEN</v>
      </c>
    </row>
    <row r="33" customFormat="false" ht="223.5" hidden="false" customHeight="true" outlineLevel="0" collapsed="false">
      <c r="A33" s="112" t="str">
        <f aca="false">Checks!$A$674&amp;CHAR(10)&amp;IF(Checks!$I$674="","",Checks!$I$674&amp;": ")&amp;Checks!$J$674</f>
        <v>F21-T7-10
Uplift plan: Carrying flight for this leg's return catering identified and its KUL departure (UTC) entered on Flights col AX</v>
      </c>
      <c r="B33" s="112"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2" t="str">
        <f aca="false">Checks!$N$674&amp;CHAR(10)&amp;IF(ISNUMBER(Checks!$R$674),TEXT(Checks!$R$674,"DD-MMM-YY HH:MM"),"")&amp;" "&amp;Checks!$P$674</f>
        <v>Clarification required
23-Oct-26 14:45 KUL</v>
      </c>
      <c r="D33" s="112" t="str">
        <f aca="false">IF(Checks!$U$674="","",Checks!$U$674)&amp;IF(Checks!$AB$674="","",CHAR(10)&amp;"CA: "&amp;Checks!$AB$674)</f>
        <v/>
      </c>
      <c r="E33" s="112" t="str">
        <f aca="false">IF(Checks!$V$674="","",Checks!$V$674)&amp;IF(Checks!$AC$674="","",IF(Checks!$V$674="","",CHAR(10))&amp;"N/A just.: "&amp;Checks!$AC$674)&amp;IF(Checks!$W$674="","",CHAR(10)&amp;"Batch: "&amp;Checks!$W$674)&amp;IF(AND(Checks!$X$674="",Checks!$Y$674=""),"",CHAR(10)&amp;"Exp: "&amp;Checks!$X$674&amp;"  /  Act: "&amp;Checks!$Y$674)</f>
        <v/>
      </c>
      <c r="F33" s="112" t="str">
        <f aca="false">IF(Checks!$Z$674="","","Evidence: "&amp;Checks!$Z$674)&amp;IF(Checks!$AA$674="","",IF(Checks!$Z$674="","",CHAR(10))&amp;"CA: "&amp;Checks!$AA$674)</f>
        <v/>
      </c>
      <c r="G33" s="112" t="str">
        <f aca="false">IF(ISNUMBER(Checks!$AD$674),TEXT(Checks!$AD$674,"DD-MMM-YY HH:MM")&amp;" "&amp;Checks!$P$674,"")&amp;IF(Checks!$AE$674="","",CHAR(10)&amp;"Verifier: "&amp;Checks!$AE$674)&amp;IF(Checks!$T$674="","",CHAR(10)&amp;"PIC: "&amp;Checks!$T$674)</f>
        <v/>
      </c>
      <c r="H33" s="113" t="str">
        <f aca="false">IF(Checks!$AH$674="","",Checks!$AH$674)</f>
        <v>OPEN – CLARIFICATION</v>
      </c>
    </row>
    <row r="34" customFormat="false" ht="25.5" hidden="false" customHeight="true" outlineLevel="0" collapsed="false">
      <c r="A34" s="111"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1"/>
      <c r="C34" s="111"/>
      <c r="D34" s="111"/>
      <c r="E34" s="111"/>
      <c r="F34" s="111"/>
      <c r="G34" s="111"/>
      <c r="H34" s="111"/>
    </row>
    <row r="35" customFormat="false" ht="114" hidden="false" customHeight="true" outlineLevel="0" collapsed="false">
      <c r="A35" s="112" t="str">
        <f aca="false">Checks!$A$675&amp;CHAR(10)&amp;IF(Checks!$I$675="","",Checks!$I$675&amp;": ")&amp;Checks!$J$675</f>
        <v>F21-T24-01
Meal: Sensory test repeated on ACTUAL production batch for this flight</v>
      </c>
      <c r="B35" s="112" t="str">
        <f aca="false">Checks!$K$675&amp;IF(Checks!$O$675="","",IF(Checks!$K$675="","",CHAR(10))&amp;"Note: "&amp;Checks!$O$675)</f>
        <v>Batch ID, result, CA and acceptance mandatory
Note: Round-trip catered from KUL: due capped at the KUL loading deadline (Flights AY).</v>
      </c>
      <c r="C35" s="112" t="str">
        <f aca="false">Checks!$N$675&amp;CHAR(10)&amp;IF(ISNUMBER(Checks!$R$675),TEXT(Checks!$R$675,"DD-MMM-YY HH:MM"),"")&amp;" "&amp;Checks!$P$675</f>
        <v>Required
29-Oct-26 12:30 KUL</v>
      </c>
      <c r="D35" s="112" t="str">
        <f aca="false">IF(Checks!$U$675="","",Checks!$U$675)&amp;IF(Checks!$AB$675="","",CHAR(10)&amp;"CA: "&amp;Checks!$AB$675)</f>
        <v/>
      </c>
      <c r="E35" s="112" t="str">
        <f aca="false">IF(Checks!$V$675="","",Checks!$V$675)&amp;IF(Checks!$AC$675="","",IF(Checks!$V$675="","",CHAR(10))&amp;"N/A just.: "&amp;Checks!$AC$675)&amp;IF(Checks!$W$675="","",CHAR(10)&amp;"Batch: "&amp;Checks!$W$675)&amp;IF(AND(Checks!$X$675="",Checks!$Y$675=""),"",CHAR(10)&amp;"Exp: "&amp;Checks!$X$675&amp;"  /  Act: "&amp;Checks!$Y$675)</f>
        <v/>
      </c>
      <c r="F35" s="112" t="str">
        <f aca="false">IF(Checks!$Z$675="","","Evidence: "&amp;Checks!$Z$675)&amp;IF(Checks!$AA$675="","",IF(Checks!$Z$675="","",CHAR(10))&amp;"CA: "&amp;Checks!$AA$675)</f>
        <v/>
      </c>
      <c r="G35" s="112" t="str">
        <f aca="false">IF(ISNUMBER(Checks!$AD$675),TEXT(Checks!$AD$675,"DD-MMM-YY HH:MM")&amp;" "&amp;Checks!$P$675,"")&amp;IF(Checks!$AE$675="","",CHAR(10)&amp;"Verifier: "&amp;Checks!$AE$675)&amp;IF(Checks!$T$675="","",CHAR(10)&amp;"PIC: "&amp;Checks!$T$675)</f>
        <v/>
      </c>
      <c r="H35" s="113" t="str">
        <f aca="false">IF(Checks!$AH$675="","",Checks!$AH$675)</f>
        <v>OPEN</v>
      </c>
    </row>
    <row r="36" customFormat="false" ht="25.5" hidden="false" customHeight="true" outlineLevel="0" collapsed="false">
      <c r="A36" s="111"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1"/>
      <c r="C36" s="111"/>
      <c r="D36" s="111"/>
      <c r="E36" s="111"/>
      <c r="F36" s="111"/>
      <c r="G36" s="111"/>
      <c r="H36" s="111"/>
    </row>
    <row r="37" customFormat="false" ht="114" hidden="false" customHeight="true" outlineLevel="0" collapsed="false">
      <c r="A37" s="112" t="str">
        <f aca="false">Checks!$A$676&amp;CHAR(10)&amp;IF(Checks!$I$676="","",Checks!$I$676&amp;": ")&amp;Checks!$J$676</f>
        <v>F21-T12-01
Meal: Meal quality vs menu checklist</v>
      </c>
      <c r="B37" s="112" t="str">
        <f aca="false">Checks!$K$676&amp;IF(Checks!$O$676="","",IF(Checks!$K$676="","",CHAR(10))&amp;"Note: "&amp;Checks!$O$676)</f>
        <v>Note: Preparation check at caterer - does NOT confirm loading. Round-trip catered from KUL: due capped at the KUL loading deadline (Flights AY).</v>
      </c>
      <c r="C37" s="112" t="str">
        <f aca="false">Checks!$N$676&amp;CHAR(10)&amp;IF(ISNUMBER(Checks!$R$676),TEXT(Checks!$R$676,"DD-MMM-YY HH:MM"),"")&amp;" "&amp;Checks!$P$676</f>
        <v>Required
29-Oct-26 12:30 KUL</v>
      </c>
      <c r="D37" s="112" t="str">
        <f aca="false">IF(Checks!$U$676="","",Checks!$U$676)&amp;IF(Checks!$AB$676="","",CHAR(10)&amp;"CA: "&amp;Checks!$AB$676)</f>
        <v/>
      </c>
      <c r="E37" s="112" t="str">
        <f aca="false">IF(Checks!$V$676="","",Checks!$V$676)&amp;IF(Checks!$AC$676="","",IF(Checks!$V$676="","",CHAR(10))&amp;"N/A just.: "&amp;Checks!$AC$676)&amp;IF(Checks!$W$676="","",CHAR(10)&amp;"Batch: "&amp;Checks!$W$676)&amp;IF(AND(Checks!$X$676="",Checks!$Y$676=""),"",CHAR(10)&amp;"Exp: "&amp;Checks!$X$676&amp;"  /  Act: "&amp;Checks!$Y$676)</f>
        <v/>
      </c>
      <c r="F37" s="112" t="str">
        <f aca="false">IF(Checks!$Z$676="","","Evidence: "&amp;Checks!$Z$676)&amp;IF(Checks!$AA$676="","",IF(Checks!$Z$676="","",CHAR(10))&amp;"CA: "&amp;Checks!$AA$676)</f>
        <v/>
      </c>
      <c r="G37" s="112" t="str">
        <f aca="false">IF(ISNUMBER(Checks!$AD$676),TEXT(Checks!$AD$676,"DD-MMM-YY HH:MM")&amp;" "&amp;Checks!$P$676,"")&amp;IF(Checks!$AE$676="","",CHAR(10)&amp;"Verifier: "&amp;Checks!$AE$676)&amp;IF(Checks!$T$676="","",CHAR(10)&amp;"PIC: "&amp;Checks!$T$676)</f>
        <v/>
      </c>
      <c r="H37" s="113" t="str">
        <f aca="false">IF(Checks!$AH$676="","",Checks!$AH$676)</f>
        <v>OPEN</v>
      </c>
    </row>
    <row r="38" customFormat="false" ht="114" hidden="false" customHeight="true" outlineLevel="0" collapsed="false">
      <c r="A38" s="112" t="str">
        <f aca="false">Checks!$A$677&amp;CHAR(10)&amp;IF(Checks!$I$677="","",Checks!$I$677&amp;": ")&amp;Checks!$J$677</f>
        <v>F21-T12-02
Meal: Meal quantities vs menu checklist</v>
      </c>
      <c r="B38" s="112" t="str">
        <f aca="false">Checks!$K$677&amp;IF(Checks!$O$677="","",IF(Checks!$K$677="","",CHAR(10))&amp;"Note: "&amp;Checks!$O$677)</f>
        <v>Enter expected &amp; actual
Note: Preparation check at caterer - does NOT confirm loading. Round-trip catered from KUL: due capped at the KUL loading deadline (Flights AY).</v>
      </c>
      <c r="C38" s="112" t="str">
        <f aca="false">Checks!$N$677&amp;CHAR(10)&amp;IF(ISNUMBER(Checks!$R$677),TEXT(Checks!$R$677,"DD-MMM-YY HH:MM"),"")&amp;" "&amp;Checks!$P$677</f>
        <v>Required
29-Oct-26 12:30 KUL</v>
      </c>
      <c r="D38" s="112" t="str">
        <f aca="false">IF(Checks!$U$677="","",Checks!$U$677)&amp;IF(Checks!$AB$677="","",CHAR(10)&amp;"CA: "&amp;Checks!$AB$677)</f>
        <v/>
      </c>
      <c r="E38" s="112" t="str">
        <f aca="false">IF(Checks!$V$677="","",Checks!$V$677)&amp;IF(Checks!$AC$677="","",IF(Checks!$V$677="","",CHAR(10))&amp;"N/A just.: "&amp;Checks!$AC$677)&amp;IF(Checks!$W$677="","",CHAR(10)&amp;"Batch: "&amp;Checks!$W$677)&amp;IF(AND(Checks!$X$677="",Checks!$Y$677=""),"",CHAR(10)&amp;"Exp: "&amp;Checks!$X$677&amp;"  /  Act: "&amp;Checks!$Y$677)</f>
        <v/>
      </c>
      <c r="F38" s="112" t="str">
        <f aca="false">IF(Checks!$Z$677="","","Evidence: "&amp;Checks!$Z$677)&amp;IF(Checks!$AA$677="","",IF(Checks!$Z$677="","",CHAR(10))&amp;"CA: "&amp;Checks!$AA$677)</f>
        <v/>
      </c>
      <c r="G38" s="112" t="str">
        <f aca="false">IF(ISNUMBER(Checks!$AD$677),TEXT(Checks!$AD$677,"DD-MMM-YY HH:MM")&amp;" "&amp;Checks!$P$677,"")&amp;IF(Checks!$AE$677="","",CHAR(10)&amp;"Verifier: "&amp;Checks!$AE$677)&amp;IF(Checks!$T$677="","",CHAR(10)&amp;"PIC: "&amp;Checks!$T$677)</f>
        <v/>
      </c>
      <c r="H38" s="113" t="str">
        <f aca="false">IF(Checks!$AH$677="","",Checks!$AH$677)</f>
        <v>OPEN</v>
      </c>
    </row>
    <row r="39" customFormat="false" ht="114" hidden="false" customHeight="true" outlineLevel="0" collapsed="false">
      <c r="A39" s="112" t="str">
        <f aca="false">Checks!$A$678&amp;CHAR(10)&amp;IF(Checks!$I$678="","",Checks!$I$678&amp;": ")&amp;Checks!$J$678</f>
        <v>F21-T12-03
Equipment: Equipment cleanliness vs GLD</v>
      </c>
      <c r="B39" s="112" t="str">
        <f aca="false">Checks!$K$678&amp;IF(Checks!$O$678="","",IF(Checks!$K$678="","",CHAR(10))&amp;"Note: "&amp;Checks!$O$678)</f>
        <v>Note: Preparation check at caterer - does NOT confirm loading. Round-trip catered from KUL: due capped at the KUL loading deadline (Flights AY).</v>
      </c>
      <c r="C39" s="112" t="str">
        <f aca="false">Checks!$N$678&amp;CHAR(10)&amp;IF(ISNUMBER(Checks!$R$678),TEXT(Checks!$R$678,"DD-MMM-YY HH:MM"),"")&amp;" "&amp;Checks!$P$678</f>
        <v>Required
29-Oct-26 12:30 KUL</v>
      </c>
      <c r="D39" s="112" t="str">
        <f aca="false">IF(Checks!$U$678="","",Checks!$U$678)&amp;IF(Checks!$AB$678="","",CHAR(10)&amp;"CA: "&amp;Checks!$AB$678)</f>
        <v/>
      </c>
      <c r="E39" s="112" t="str">
        <f aca="false">IF(Checks!$V$678="","",Checks!$V$678)&amp;IF(Checks!$AC$678="","",IF(Checks!$V$678="","",CHAR(10))&amp;"N/A just.: "&amp;Checks!$AC$678)&amp;IF(Checks!$W$678="","",CHAR(10)&amp;"Batch: "&amp;Checks!$W$678)&amp;IF(AND(Checks!$X$678="",Checks!$Y$678=""),"",CHAR(10)&amp;"Exp: "&amp;Checks!$X$678&amp;"  /  Act: "&amp;Checks!$Y$678)</f>
        <v/>
      </c>
      <c r="F39" s="112" t="str">
        <f aca="false">IF(Checks!$Z$678="","","Evidence: "&amp;Checks!$Z$678)&amp;IF(Checks!$AA$678="","",IF(Checks!$Z$678="","",CHAR(10))&amp;"CA: "&amp;Checks!$AA$678)</f>
        <v/>
      </c>
      <c r="G39" s="112" t="str">
        <f aca="false">IF(ISNUMBER(Checks!$AD$678),TEXT(Checks!$AD$678,"DD-MMM-YY HH:MM")&amp;" "&amp;Checks!$P$678,"")&amp;IF(Checks!$AE$678="","",CHAR(10)&amp;"Verifier: "&amp;Checks!$AE$678)&amp;IF(Checks!$T$678="","",CHAR(10)&amp;"PIC: "&amp;Checks!$T$678)</f>
        <v/>
      </c>
      <c r="H39" s="113" t="str">
        <f aca="false">IF(Checks!$AH$678="","",Checks!$AH$678)</f>
        <v>OPEN</v>
      </c>
    </row>
    <row r="40" customFormat="false" ht="114" hidden="false" customHeight="true" outlineLevel="0" collapsed="false">
      <c r="A40" s="112" t="str">
        <f aca="false">Checks!$A$679&amp;CHAR(10)&amp;IF(Checks!$I$679="","",Checks!$I$679&amp;": ")&amp;Checks!$J$679</f>
        <v>F21-T12-04
Equipment: Equipment presentation vs GLD</v>
      </c>
      <c r="B40" s="112" t="str">
        <f aca="false">Checks!$K$679&amp;IF(Checks!$O$679="","",IF(Checks!$K$679="","",CHAR(10))&amp;"Note: "&amp;Checks!$O$679)</f>
        <v>Note: Preparation check at caterer - does NOT confirm loading. Round-trip catered from KUL: due capped at the KUL loading deadline (Flights AY).</v>
      </c>
      <c r="C40" s="112" t="str">
        <f aca="false">Checks!$N$679&amp;CHAR(10)&amp;IF(ISNUMBER(Checks!$R$679),TEXT(Checks!$R$679,"DD-MMM-YY HH:MM"),"")&amp;" "&amp;Checks!$P$679</f>
        <v>Required
29-Oct-26 12:30 KUL</v>
      </c>
      <c r="D40" s="112" t="str">
        <f aca="false">IF(Checks!$U$679="","",Checks!$U$679)&amp;IF(Checks!$AB$679="","",CHAR(10)&amp;"CA: "&amp;Checks!$AB$679)</f>
        <v/>
      </c>
      <c r="E40" s="112" t="str">
        <f aca="false">IF(Checks!$V$679="","",Checks!$V$679)&amp;IF(Checks!$AC$679="","",IF(Checks!$V$679="","",CHAR(10))&amp;"N/A just.: "&amp;Checks!$AC$679)&amp;IF(Checks!$W$679="","",CHAR(10)&amp;"Batch: "&amp;Checks!$W$679)&amp;IF(AND(Checks!$X$679="",Checks!$Y$679=""),"",CHAR(10)&amp;"Exp: "&amp;Checks!$X$679&amp;"  /  Act: "&amp;Checks!$Y$679)</f>
        <v/>
      </c>
      <c r="F40" s="112" t="str">
        <f aca="false">IF(Checks!$Z$679="","","Evidence: "&amp;Checks!$Z$679)&amp;IF(Checks!$AA$679="","",IF(Checks!$Z$679="","",CHAR(10))&amp;"CA: "&amp;Checks!$AA$679)</f>
        <v/>
      </c>
      <c r="G40" s="112" t="str">
        <f aca="false">IF(ISNUMBER(Checks!$AD$679),TEXT(Checks!$AD$679,"DD-MMM-YY HH:MM")&amp;" "&amp;Checks!$P$679,"")&amp;IF(Checks!$AE$679="","",CHAR(10)&amp;"Verifier: "&amp;Checks!$AE$679)&amp;IF(Checks!$T$679="","",CHAR(10)&amp;"PIC: "&amp;Checks!$T$679)</f>
        <v/>
      </c>
      <c r="H40" s="113" t="str">
        <f aca="false">IF(Checks!$AH$679="","",Checks!$AH$679)</f>
        <v>OPEN</v>
      </c>
    </row>
    <row r="41" customFormat="false" ht="114" hidden="false" customHeight="true" outlineLevel="0" collapsed="false">
      <c r="A41" s="112" t="str">
        <f aca="false">Checks!$A$680&amp;CHAR(10)&amp;IF(Checks!$I$680="","",Checks!$I$680&amp;": ")&amp;Checks!$J$680</f>
        <v>F21-T12-05
Equipment: Equipment serviceability vs GLD</v>
      </c>
      <c r="B41" s="112" t="str">
        <f aca="false">Checks!$K$680&amp;IF(Checks!$O$680="","",IF(Checks!$K$680="","",CHAR(10))&amp;"Note: "&amp;Checks!$O$680)</f>
        <v>Note: Preparation check at caterer - does NOT confirm loading. Round-trip catered from KUL: due capped at the KUL loading deadline (Flights AY).</v>
      </c>
      <c r="C41" s="112" t="str">
        <f aca="false">Checks!$N$680&amp;CHAR(10)&amp;IF(ISNUMBER(Checks!$R$680),TEXT(Checks!$R$680,"DD-MMM-YY HH:MM"),"")&amp;" "&amp;Checks!$P$680</f>
        <v>Required
29-Oct-26 12:30 KUL</v>
      </c>
      <c r="D41" s="112" t="str">
        <f aca="false">IF(Checks!$U$680="","",Checks!$U$680)&amp;IF(Checks!$AB$680="","",CHAR(10)&amp;"CA: "&amp;Checks!$AB$680)</f>
        <v/>
      </c>
      <c r="E41" s="112" t="str">
        <f aca="false">IF(Checks!$V$680="","",Checks!$V$680)&amp;IF(Checks!$AC$680="","",IF(Checks!$V$680="","",CHAR(10))&amp;"N/A just.: "&amp;Checks!$AC$680)&amp;IF(Checks!$W$680="","",CHAR(10)&amp;"Batch: "&amp;Checks!$W$680)&amp;IF(AND(Checks!$X$680="",Checks!$Y$680=""),"",CHAR(10)&amp;"Exp: "&amp;Checks!$X$680&amp;"  /  Act: "&amp;Checks!$Y$680)</f>
        <v/>
      </c>
      <c r="F41" s="112" t="str">
        <f aca="false">IF(Checks!$Z$680="","","Evidence: "&amp;Checks!$Z$680)&amp;IF(Checks!$AA$680="","",IF(Checks!$Z$680="","",CHAR(10))&amp;"CA: "&amp;Checks!$AA$680)</f>
        <v/>
      </c>
      <c r="G41" s="112" t="str">
        <f aca="false">IF(ISNUMBER(Checks!$AD$680),TEXT(Checks!$AD$680,"DD-MMM-YY HH:MM")&amp;" "&amp;Checks!$P$680,"")&amp;IF(Checks!$AE$680="","",CHAR(10)&amp;"Verifier: "&amp;Checks!$AE$680)&amp;IF(Checks!$T$680="","",CHAR(10)&amp;"PIC: "&amp;Checks!$T$680)</f>
        <v/>
      </c>
      <c r="H41" s="113" t="str">
        <f aca="false">IF(Checks!$AH$680="","",Checks!$AH$680)</f>
        <v>OPEN</v>
      </c>
    </row>
    <row r="42" customFormat="false" ht="234.75" hidden="false" customHeight="true" outlineLevel="0" collapsed="false">
      <c r="A42" s="112" t="str">
        <f aca="false">Checks!$A$681&amp;CHAR(10)&amp;IF(Checks!$I$681="","",Checks!$I$681&amp;": ")&amp;Checks!$J$681</f>
        <v>F21-T12-06
Equipment: Equipment quantities vs GLD</v>
      </c>
      <c r="B42" s="112"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2" t="str">
        <f aca="false">Checks!$N$681&amp;CHAR(10)&amp;IF(ISNUMBER(Checks!$R$681),TEXT(Checks!$R$681,"DD-MMM-YY HH:MM"),"")&amp;" "&amp;Checks!$P$681</f>
        <v>Required
29-Oct-26 12:30 KUL</v>
      </c>
      <c r="D42" s="112" t="str">
        <f aca="false">IF(Checks!$U$681="","",Checks!$U$681)&amp;IF(Checks!$AB$681="","",CHAR(10)&amp;"CA: "&amp;Checks!$AB$681)</f>
        <v/>
      </c>
      <c r="E42" s="112" t="str">
        <f aca="false">IF(Checks!$V$681="","",Checks!$V$681)&amp;IF(Checks!$AC$681="","",IF(Checks!$V$681="","",CHAR(10))&amp;"N/A just.: "&amp;Checks!$AC$681)&amp;IF(Checks!$W$681="","",CHAR(10)&amp;"Batch: "&amp;Checks!$W$681)&amp;IF(AND(Checks!$X$681="",Checks!$Y$681=""),"",CHAR(10)&amp;"Exp: "&amp;Checks!$X$681&amp;"  /  Act: "&amp;Checks!$Y$681)</f>
        <v/>
      </c>
      <c r="F42" s="112" t="str">
        <f aca="false">IF(Checks!$Z$681="","","Evidence: "&amp;Checks!$Z$681)&amp;IF(Checks!$AA$681="","",IF(Checks!$Z$681="","",CHAR(10))&amp;"CA: "&amp;Checks!$AA$681)</f>
        <v/>
      </c>
      <c r="G42" s="112" t="str">
        <f aca="false">IF(ISNUMBER(Checks!$AD$681),TEXT(Checks!$AD$681,"DD-MMM-YY HH:MM")&amp;" "&amp;Checks!$P$681,"")&amp;IF(Checks!$AE$681="","",CHAR(10)&amp;"Verifier: "&amp;Checks!$AE$681)&amp;IF(Checks!$T$681="","",CHAR(10)&amp;"PIC: "&amp;Checks!$T$681)</f>
        <v/>
      </c>
      <c r="H42" s="113" t="str">
        <f aca="false">IF(Checks!$AH$681="","",Checks!$AH$681)</f>
        <v>OPEN</v>
      </c>
    </row>
    <row r="43" customFormat="false" ht="114" hidden="false" customHeight="true" outlineLevel="0" collapsed="false">
      <c r="A43" s="112" t="str">
        <f aca="false">Checks!$A$682&amp;CHAR(10)&amp;IF(Checks!$I$682="","",Checks!$I$682&amp;": ")&amp;Checks!$J$682</f>
        <v>F21-T12-07
Equipment: Loading positions planned vs GLD</v>
      </c>
      <c r="B43" s="112" t="str">
        <f aca="false">Checks!$K$682&amp;IF(Checks!$O$682="","",IF(Checks!$K$682="","",CHAR(10))&amp;"Note: "&amp;Checks!$O$682)</f>
        <v>Note: Preparation check at caterer - does NOT confirm loading. Round-trip catered from KUL: due capped at the KUL loading deadline (Flights AY).</v>
      </c>
      <c r="C43" s="112" t="str">
        <f aca="false">Checks!$N$682&amp;CHAR(10)&amp;IF(ISNUMBER(Checks!$R$682),TEXT(Checks!$R$682,"DD-MMM-YY HH:MM"),"")&amp;" "&amp;Checks!$P$682</f>
        <v>Required
29-Oct-26 12:30 KUL</v>
      </c>
      <c r="D43" s="112" t="str">
        <f aca="false">IF(Checks!$U$682="","",Checks!$U$682)&amp;IF(Checks!$AB$682="","",CHAR(10)&amp;"CA: "&amp;Checks!$AB$682)</f>
        <v/>
      </c>
      <c r="E43" s="112" t="str">
        <f aca="false">IF(Checks!$V$682="","",Checks!$V$682)&amp;IF(Checks!$AC$682="","",IF(Checks!$V$682="","",CHAR(10))&amp;"N/A just.: "&amp;Checks!$AC$682)&amp;IF(Checks!$W$682="","",CHAR(10)&amp;"Batch: "&amp;Checks!$W$682)&amp;IF(AND(Checks!$X$682="",Checks!$Y$682=""),"",CHAR(10)&amp;"Exp: "&amp;Checks!$X$682&amp;"  /  Act: "&amp;Checks!$Y$682)</f>
        <v/>
      </c>
      <c r="F43" s="112" t="str">
        <f aca="false">IF(Checks!$Z$682="","","Evidence: "&amp;Checks!$Z$682)&amp;IF(Checks!$AA$682="","",IF(Checks!$Z$682="","",CHAR(10))&amp;"CA: "&amp;Checks!$AA$682)</f>
        <v/>
      </c>
      <c r="G43" s="112" t="str">
        <f aca="false">IF(ISNUMBER(Checks!$AD$682),TEXT(Checks!$AD$682,"DD-MMM-YY HH:MM")&amp;" "&amp;Checks!$P$682,"")&amp;IF(Checks!$AE$682="","",CHAR(10)&amp;"Verifier: "&amp;Checks!$AE$682)&amp;IF(Checks!$T$682="","",CHAR(10)&amp;"PIC: "&amp;Checks!$T$682)</f>
        <v/>
      </c>
      <c r="H43" s="113" t="str">
        <f aca="false">IF(Checks!$AH$682="","",Checks!$AH$682)</f>
        <v>OPEN</v>
      </c>
    </row>
    <row r="44" customFormat="false" ht="223.5" hidden="false" customHeight="true" outlineLevel="0" collapsed="false">
      <c r="A44" s="112" t="str">
        <f aca="false">Checks!$A$683&amp;CHAR(10)&amp;IF(Checks!$I$683="","",Checks!$I$683&amp;": ")&amp;Checks!$J$683</f>
        <v>F21-T12-08
Amenities: Disposable slippers in DAM cart (BC, on request) - prepared</v>
      </c>
      <c r="B44" s="112"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2" t="str">
        <f aca="false">Checks!$N$683&amp;CHAR(10)&amp;IF(ISNUMBER(Checks!$R$683),TEXT(Checks!$R$683,"DD-MMM-YY HH:MM"),"")&amp;" "&amp;Checks!$P$683</f>
        <v>Required
29-Oct-26 12:30 KUL</v>
      </c>
      <c r="D44" s="112" t="str">
        <f aca="false">IF(Checks!$U$683="","",Checks!$U$683)&amp;IF(Checks!$AB$683="","",CHAR(10)&amp;"CA: "&amp;Checks!$AB$683)</f>
        <v/>
      </c>
      <c r="E44" s="112" t="str">
        <f aca="false">IF(Checks!$V$683="","",Checks!$V$683)&amp;IF(Checks!$AC$683="","",IF(Checks!$V$683="","",CHAR(10))&amp;"N/A just.: "&amp;Checks!$AC$683)&amp;IF(Checks!$W$683="","",CHAR(10)&amp;"Batch: "&amp;Checks!$W$683)&amp;IF(AND(Checks!$X$683="",Checks!$Y$683=""),"",CHAR(10)&amp;"Exp: "&amp;Checks!$X$683&amp;"  /  Act: "&amp;Checks!$Y$683)</f>
        <v/>
      </c>
      <c r="F44" s="112" t="str">
        <f aca="false">IF(Checks!$Z$683="","","Evidence: "&amp;Checks!$Z$683)&amp;IF(Checks!$AA$683="","",IF(Checks!$Z$683="","",CHAR(10))&amp;"CA: "&amp;Checks!$AA$683)</f>
        <v/>
      </c>
      <c r="G44" s="112" t="str">
        <f aca="false">IF(ISNUMBER(Checks!$AD$683),TEXT(Checks!$AD$683,"DD-MMM-YY HH:MM")&amp;" "&amp;Checks!$P$683,"")&amp;IF(Checks!$AE$683="","",CHAR(10)&amp;"Verifier: "&amp;Checks!$AE$683)&amp;IF(Checks!$T$683="","",CHAR(10)&amp;"PIC: "&amp;Checks!$T$683)</f>
        <v/>
      </c>
      <c r="H44" s="113" t="str">
        <f aca="false">IF(Checks!$AH$683="","",Checks!$AH$683)</f>
        <v>OPEN</v>
      </c>
    </row>
    <row r="45" customFormat="false" ht="157.5" hidden="false" customHeight="true" outlineLevel="0" collapsed="false">
      <c r="A45" s="112" t="str">
        <f aca="false">Checks!$A$684&amp;CHAR(10)&amp;IF(Checks!$I$684="","",Checks!$I$684&amp;": ")&amp;Checks!$J$684</f>
        <v>F21-T12-09
F&amp;B Linen: Towel - prepared</v>
      </c>
      <c r="B45" s="112"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2" t="str">
        <f aca="false">Checks!$N$684&amp;CHAR(10)&amp;IF(ISNUMBER(Checks!$R$684),TEXT(Checks!$R$684,"DD-MMM-YY HH:MM"),"")&amp;" "&amp;Checks!$P$684</f>
        <v>Required
29-Oct-26 12:30 KUL</v>
      </c>
      <c r="D45" s="112" t="str">
        <f aca="false">IF(Checks!$U$684="","",Checks!$U$684)&amp;IF(Checks!$AB$684="","",CHAR(10)&amp;"CA: "&amp;Checks!$AB$684)</f>
        <v/>
      </c>
      <c r="E45" s="112" t="str">
        <f aca="false">IF(Checks!$V$684="","",Checks!$V$684)&amp;IF(Checks!$AC$684="","",IF(Checks!$V$684="","",CHAR(10))&amp;"N/A just.: "&amp;Checks!$AC$684)&amp;IF(Checks!$W$684="","",CHAR(10)&amp;"Batch: "&amp;Checks!$W$684)&amp;IF(AND(Checks!$X$684="",Checks!$Y$684=""),"",CHAR(10)&amp;"Exp: "&amp;Checks!$X$684&amp;"  /  Act: "&amp;Checks!$Y$684)</f>
        <v/>
      </c>
      <c r="F45" s="112" t="str">
        <f aca="false">IF(Checks!$Z$684="","","Evidence: "&amp;Checks!$Z$684)&amp;IF(Checks!$AA$684="","",IF(Checks!$Z$684="","",CHAR(10))&amp;"CA: "&amp;Checks!$AA$684)</f>
        <v/>
      </c>
      <c r="G45" s="112" t="str">
        <f aca="false">IF(ISNUMBER(Checks!$AD$684),TEXT(Checks!$AD$684,"DD-MMM-YY HH:MM")&amp;" "&amp;Checks!$P$684,"")&amp;IF(Checks!$AE$684="","",CHAR(10)&amp;"Verifier: "&amp;Checks!$AE$684)&amp;IF(Checks!$T$684="","",CHAR(10)&amp;"PIC: "&amp;Checks!$T$684)</f>
        <v/>
      </c>
      <c r="H45" s="113" t="str">
        <f aca="false">IF(Checks!$AH$684="","",Checks!$AH$684)</f>
        <v>OPEN</v>
      </c>
    </row>
    <row r="46" customFormat="false" ht="157.5" hidden="false" customHeight="true" outlineLevel="0" collapsed="false">
      <c r="A46" s="112" t="str">
        <f aca="false">Checks!$A$685&amp;CHAR(10)&amp;IF(Checks!$I$685="","",Checks!$I$685&amp;": ")&amp;Checks!$J$685</f>
        <v>F21-T12-10
F&amp;B Linen: Tray cloth - prepared</v>
      </c>
      <c r="B46" s="112"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2" t="str">
        <f aca="false">Checks!$N$685&amp;CHAR(10)&amp;IF(ISNUMBER(Checks!$R$685),TEXT(Checks!$R$685,"DD-MMM-YY HH:MM"),"")&amp;" "&amp;Checks!$P$685</f>
        <v>Required
29-Oct-26 12:30 KUL</v>
      </c>
      <c r="D46" s="112" t="str">
        <f aca="false">IF(Checks!$U$685="","",Checks!$U$685)&amp;IF(Checks!$AB$685="","",CHAR(10)&amp;"CA: "&amp;Checks!$AB$685)</f>
        <v/>
      </c>
      <c r="E46" s="112" t="str">
        <f aca="false">IF(Checks!$V$685="","",Checks!$V$685)&amp;IF(Checks!$AC$685="","",IF(Checks!$V$685="","",CHAR(10))&amp;"N/A just.: "&amp;Checks!$AC$685)&amp;IF(Checks!$W$685="","",CHAR(10)&amp;"Batch: "&amp;Checks!$W$685)&amp;IF(AND(Checks!$X$685="",Checks!$Y$685=""),"",CHAR(10)&amp;"Exp: "&amp;Checks!$X$685&amp;"  /  Act: "&amp;Checks!$Y$685)</f>
        <v/>
      </c>
      <c r="F46" s="112" t="str">
        <f aca="false">IF(Checks!$Z$685="","","Evidence: "&amp;Checks!$Z$685)&amp;IF(Checks!$AA$685="","",IF(Checks!$Z$685="","",CHAR(10))&amp;"CA: "&amp;Checks!$AA$685)</f>
        <v/>
      </c>
      <c r="G46" s="112" t="str">
        <f aca="false">IF(ISNUMBER(Checks!$AD$685),TEXT(Checks!$AD$685,"DD-MMM-YY HH:MM")&amp;" "&amp;Checks!$P$685,"")&amp;IF(Checks!$AE$685="","",CHAR(10)&amp;"Verifier: "&amp;Checks!$AE$685)&amp;IF(Checks!$T$685="","",CHAR(10)&amp;"PIC: "&amp;Checks!$T$685)</f>
        <v/>
      </c>
      <c r="H46" s="113" t="str">
        <f aca="false">IF(Checks!$AH$685="","",Checks!$AH$685)</f>
        <v>OPEN</v>
      </c>
    </row>
    <row r="47" customFormat="false" ht="157.5" hidden="false" customHeight="true" outlineLevel="0" collapsed="false">
      <c r="A47" s="112" t="str">
        <f aca="false">Checks!$A$686&amp;CHAR(10)&amp;IF(Checks!$I$686="","",Checks!$I$686&amp;": ")&amp;Checks!$J$686</f>
        <v>F21-T12-11
F&amp;B Linen: Napkin - prepared</v>
      </c>
      <c r="B47" s="112"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2" t="str">
        <f aca="false">Checks!$N$686&amp;CHAR(10)&amp;IF(ISNUMBER(Checks!$R$686),TEXT(Checks!$R$686,"DD-MMM-YY HH:MM"),"")&amp;" "&amp;Checks!$P$686</f>
        <v>Required
29-Oct-26 12:30 KUL</v>
      </c>
      <c r="D47" s="112" t="str">
        <f aca="false">IF(Checks!$U$686="","",Checks!$U$686)&amp;IF(Checks!$AB$686="","",CHAR(10)&amp;"CA: "&amp;Checks!$AB$686)</f>
        <v/>
      </c>
      <c r="E47" s="112" t="str">
        <f aca="false">IF(Checks!$V$686="","",Checks!$V$686)&amp;IF(Checks!$AC$686="","",IF(Checks!$V$686="","",CHAR(10))&amp;"N/A just.: "&amp;Checks!$AC$686)&amp;IF(Checks!$W$686="","",CHAR(10)&amp;"Batch: "&amp;Checks!$W$686)&amp;IF(AND(Checks!$X$686="",Checks!$Y$686=""),"",CHAR(10)&amp;"Exp: "&amp;Checks!$X$686&amp;"  /  Act: "&amp;Checks!$Y$686)</f>
        <v/>
      </c>
      <c r="F47" s="112" t="str">
        <f aca="false">IF(Checks!$Z$686="","","Evidence: "&amp;Checks!$Z$686)&amp;IF(Checks!$AA$686="","",IF(Checks!$Z$686="","",CHAR(10))&amp;"CA: "&amp;Checks!$AA$686)</f>
        <v/>
      </c>
      <c r="G47" s="112" t="str">
        <f aca="false">IF(ISNUMBER(Checks!$AD$686),TEXT(Checks!$AD$686,"DD-MMM-YY HH:MM")&amp;" "&amp;Checks!$P$686,"")&amp;IF(Checks!$AE$686="","",CHAR(10)&amp;"Verifier: "&amp;Checks!$AE$686)&amp;IF(Checks!$T$686="","",CHAR(10)&amp;"PIC: "&amp;Checks!$T$686)</f>
        <v/>
      </c>
      <c r="H47" s="113" t="str">
        <f aca="false">IF(Checks!$AH$686="","",Checks!$AH$686)</f>
        <v>OPEN</v>
      </c>
    </row>
    <row r="48" customFormat="false" ht="168.75" hidden="false" customHeight="true" outlineLevel="0" collapsed="false">
      <c r="A48" s="112" t="str">
        <f aca="false">Checks!$A$687&amp;CHAR(10)&amp;IF(Checks!$I$687="","",Checks!$I$687&amp;": ")&amp;Checks!$J$687</f>
        <v>F21-T12-12
F&amp;B Linen: Trolley cloth - prepared</v>
      </c>
      <c r="B48" s="112"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2" t="str">
        <f aca="false">Checks!$N$687&amp;CHAR(10)&amp;IF(ISNUMBER(Checks!$R$687),TEXT(Checks!$R$687,"DD-MMM-YY HH:MM"),"")&amp;" "&amp;Checks!$P$687</f>
        <v>Required
29-Oct-26 12:30 KUL</v>
      </c>
      <c r="D48" s="112" t="str">
        <f aca="false">IF(Checks!$U$687="","",Checks!$U$687)&amp;IF(Checks!$AB$687="","",CHAR(10)&amp;"CA: "&amp;Checks!$AB$687)</f>
        <v/>
      </c>
      <c r="E48" s="112" t="str">
        <f aca="false">IF(Checks!$V$687="","",Checks!$V$687)&amp;IF(Checks!$AC$687="","",IF(Checks!$V$687="","",CHAR(10))&amp;"N/A just.: "&amp;Checks!$AC$687)&amp;IF(Checks!$W$687="","",CHAR(10)&amp;"Batch: "&amp;Checks!$W$687)&amp;IF(AND(Checks!$X$687="",Checks!$Y$687=""),"",CHAR(10)&amp;"Exp: "&amp;Checks!$X$687&amp;"  /  Act: "&amp;Checks!$Y$687)</f>
        <v/>
      </c>
      <c r="F48" s="112" t="str">
        <f aca="false">IF(Checks!$Z$687="","","Evidence: "&amp;Checks!$Z$687)&amp;IF(Checks!$AA$687="","",IF(Checks!$Z$687="","",CHAR(10))&amp;"CA: "&amp;Checks!$AA$687)</f>
        <v/>
      </c>
      <c r="G48" s="112" t="str">
        <f aca="false">IF(ISNUMBER(Checks!$AD$687),TEXT(Checks!$AD$687,"DD-MMM-YY HH:MM")&amp;" "&amp;Checks!$P$687,"")&amp;IF(Checks!$AE$687="","",CHAR(10)&amp;"Verifier: "&amp;Checks!$AE$687)&amp;IF(Checks!$T$687="","",CHAR(10)&amp;"PIC: "&amp;Checks!$T$687)</f>
        <v/>
      </c>
      <c r="H48" s="113" t="str">
        <f aca="false">IF(Checks!$AH$687="","",Checks!$AH$687)</f>
        <v>OPEN</v>
      </c>
    </row>
    <row r="49" customFormat="false" ht="157.5" hidden="false" customHeight="true" outlineLevel="0" collapsed="false">
      <c r="A49" s="112" t="str">
        <f aca="false">Checks!$A$688&amp;CHAR(10)&amp;IF(Checks!$I$688="","",Checks!$I$688&amp;": ")&amp;Checks!$J$688</f>
        <v>F21-T12-13
F&amp;B Linen: Linen bag - prepared</v>
      </c>
      <c r="B49" s="112"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2" t="str">
        <f aca="false">Checks!$N$688&amp;CHAR(10)&amp;IF(ISNUMBER(Checks!$R$688),TEXT(Checks!$R$688,"DD-MMM-YY HH:MM"),"")&amp;" "&amp;Checks!$P$688</f>
        <v>Required
29-Oct-26 12:30 KUL</v>
      </c>
      <c r="D49" s="112" t="str">
        <f aca="false">IF(Checks!$U$688="","",Checks!$U$688)&amp;IF(Checks!$AB$688="","",CHAR(10)&amp;"CA: "&amp;Checks!$AB$688)</f>
        <v/>
      </c>
      <c r="E49" s="112" t="str">
        <f aca="false">IF(Checks!$V$688="","",Checks!$V$688)&amp;IF(Checks!$AC$688="","",IF(Checks!$V$688="","",CHAR(10))&amp;"N/A just.: "&amp;Checks!$AC$688)&amp;IF(Checks!$W$688="","",CHAR(10)&amp;"Batch: "&amp;Checks!$W$688)&amp;IF(AND(Checks!$X$688="",Checks!$Y$688=""),"",CHAR(10)&amp;"Exp: "&amp;Checks!$X$688&amp;"  /  Act: "&amp;Checks!$Y$688)</f>
        <v/>
      </c>
      <c r="F49" s="112" t="str">
        <f aca="false">IF(Checks!$Z$688="","","Evidence: "&amp;Checks!$Z$688)&amp;IF(Checks!$AA$688="","",IF(Checks!$Z$688="","",CHAR(10))&amp;"CA: "&amp;Checks!$AA$688)</f>
        <v/>
      </c>
      <c r="G49" s="112" t="str">
        <f aca="false">IF(ISNUMBER(Checks!$AD$688),TEXT(Checks!$AD$688,"DD-MMM-YY HH:MM")&amp;" "&amp;Checks!$P$688,"")&amp;IF(Checks!$AE$688="","",CHAR(10)&amp;"Verifier: "&amp;Checks!$AE$688)&amp;IF(Checks!$T$688="","",CHAR(10)&amp;"PIC: "&amp;Checks!$T$688)</f>
        <v/>
      </c>
      <c r="H49" s="113" t="str">
        <f aca="false">IF(Checks!$AH$688="","",Checks!$AH$688)</f>
        <v>OPEN</v>
      </c>
    </row>
    <row r="50" customFormat="false" ht="168.75" hidden="false" customHeight="true" outlineLevel="0" collapsed="false">
      <c r="A50" s="112" t="str">
        <f aca="false">Checks!$A$689&amp;CHAR(10)&amp;IF(Checks!$I$689="","",Checks!$I$689&amp;": ")&amp;Checks!$J$689</f>
        <v>F21-T12-14
Seat Linen: Seat pillow (BS &amp; BC) - prepared</v>
      </c>
      <c r="B50" s="112"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2" t="str">
        <f aca="false">Checks!$N$689&amp;CHAR(10)&amp;IF(ISNUMBER(Checks!$R$689),TEXT(Checks!$R$689,"DD-MMM-YY HH:MM"),"")&amp;" "&amp;Checks!$P$689</f>
        <v>Required
29-Oct-26 12:30 KUL</v>
      </c>
      <c r="D50" s="112" t="str">
        <f aca="false">IF(Checks!$U$689="","",Checks!$U$689)&amp;IF(Checks!$AB$689="","",CHAR(10)&amp;"CA: "&amp;Checks!$AB$689)</f>
        <v/>
      </c>
      <c r="E50" s="112" t="str">
        <f aca="false">IF(Checks!$V$689="","",Checks!$V$689)&amp;IF(Checks!$AC$689="","",IF(Checks!$V$689="","",CHAR(10))&amp;"N/A just.: "&amp;Checks!$AC$689)&amp;IF(Checks!$W$689="","",CHAR(10)&amp;"Batch: "&amp;Checks!$W$689)&amp;IF(AND(Checks!$X$689="",Checks!$Y$689=""),"",CHAR(10)&amp;"Exp: "&amp;Checks!$X$689&amp;"  /  Act: "&amp;Checks!$Y$689)</f>
        <v/>
      </c>
      <c r="F50" s="112" t="str">
        <f aca="false">IF(Checks!$Z$689="","","Evidence: "&amp;Checks!$Z$689)&amp;IF(Checks!$AA$689="","",IF(Checks!$Z$689="","",CHAR(10))&amp;"CA: "&amp;Checks!$AA$689)</f>
        <v/>
      </c>
      <c r="G50" s="112" t="str">
        <f aca="false">IF(ISNUMBER(Checks!$AD$689),TEXT(Checks!$AD$689,"DD-MMM-YY HH:MM")&amp;" "&amp;Checks!$P$689,"")&amp;IF(Checks!$AE$689="","",CHAR(10)&amp;"Verifier: "&amp;Checks!$AE$689)&amp;IF(Checks!$T$689="","",CHAR(10)&amp;"PIC: "&amp;Checks!$T$689)</f>
        <v/>
      </c>
      <c r="H50" s="113" t="str">
        <f aca="false">IF(Checks!$AH$689="","",Checks!$AH$689)</f>
        <v>OPEN</v>
      </c>
    </row>
    <row r="51" customFormat="false" ht="168.75" hidden="false" customHeight="true" outlineLevel="0" collapsed="false">
      <c r="A51" s="112" t="str">
        <f aca="false">Checks!$A$690&amp;CHAR(10)&amp;IF(Checks!$I$690="","",Checks!$I$690&amp;": ")&amp;Checks!$J$690</f>
        <v>F21-T12-15
Seat Linen: Blanket (BS &amp; BC) - prepared</v>
      </c>
      <c r="B51" s="112"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2" t="str">
        <f aca="false">Checks!$N$690&amp;CHAR(10)&amp;IF(ISNUMBER(Checks!$R$690),TEXT(Checks!$R$690,"DD-MMM-YY HH:MM"),"")&amp;" "&amp;Checks!$P$690</f>
        <v>Required
29-Oct-26 12:30 KUL</v>
      </c>
      <c r="D51" s="112" t="str">
        <f aca="false">IF(Checks!$U$690="","",Checks!$U$690)&amp;IF(Checks!$AB$690="","",CHAR(10)&amp;"CA: "&amp;Checks!$AB$690)</f>
        <v/>
      </c>
      <c r="E51" s="112" t="str">
        <f aca="false">IF(Checks!$V$690="","",Checks!$V$690)&amp;IF(Checks!$AC$690="","",IF(Checks!$V$690="","",CHAR(10))&amp;"N/A just.: "&amp;Checks!$AC$690)&amp;IF(Checks!$W$690="","",CHAR(10)&amp;"Batch: "&amp;Checks!$W$690)&amp;IF(AND(Checks!$X$690="",Checks!$Y$690=""),"",CHAR(10)&amp;"Exp: "&amp;Checks!$X$690&amp;"  /  Act: "&amp;Checks!$Y$690)</f>
        <v/>
      </c>
      <c r="F51" s="112" t="str">
        <f aca="false">IF(Checks!$Z$690="","","Evidence: "&amp;Checks!$Z$690)&amp;IF(Checks!$AA$690="","",IF(Checks!$Z$690="","",CHAR(10))&amp;"CA: "&amp;Checks!$AA$690)</f>
        <v/>
      </c>
      <c r="G51" s="112" t="str">
        <f aca="false">IF(ISNUMBER(Checks!$AD$690),TEXT(Checks!$AD$690,"DD-MMM-YY HH:MM")&amp;" "&amp;Checks!$P$690,"")&amp;IF(Checks!$AE$690="","",CHAR(10)&amp;"Verifier: "&amp;Checks!$AE$690)&amp;IF(Checks!$T$690="","",CHAR(10)&amp;"PIC: "&amp;Checks!$T$690)</f>
        <v/>
      </c>
      <c r="H51" s="113" t="str">
        <f aca="false">IF(Checks!$AH$690="","",Checks!$AH$690)</f>
        <v>OPEN</v>
      </c>
    </row>
    <row r="52" customFormat="false" ht="25.5" hidden="false" customHeight="true" outlineLevel="0" collapsed="false">
      <c r="A52" s="111"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1"/>
      <c r="C52" s="111"/>
      <c r="D52" s="111"/>
      <c r="E52" s="111"/>
      <c r="F52" s="111"/>
      <c r="G52" s="111"/>
      <c r="H52" s="111"/>
    </row>
    <row r="53" customFormat="false" ht="114" hidden="false" customHeight="true" outlineLevel="0" collapsed="false">
      <c r="A53" s="112" t="str">
        <f aca="false">Checks!$A$691&amp;CHAR(10)&amp;IF(Checks!$I$691="","",Checks!$I$691&amp;": ")&amp;Checks!$J$691</f>
        <v>F21-UPL-01
Meal: Meals physically uplifted on board - quantity vs menu checklist</v>
      </c>
      <c r="B53" s="112" t="str">
        <f aca="false">Checks!$K$691&amp;IF(Checks!$O$691="","",IF(Checks!$K$691="","",CHAR(10))&amp;"Note: "&amp;Checks!$O$691)</f>
        <v>Enter expected &amp; actual
Note: Confirm on board before departure; completion time must fall inside the uplift window.</v>
      </c>
      <c r="C53" s="112" t="str">
        <f aca="false">Checks!$N$691&amp;CHAR(10)&amp;IF(ISNUMBER(Checks!$R$691),TEXT(Checks!$R$691,"DD-MMM-YY HH:MM"),"")&amp;" "&amp;Checks!$P$691</f>
        <v>Required
30-Oct-26 14:45 LGK</v>
      </c>
      <c r="D53" s="112" t="str">
        <f aca="false">IF(Checks!$U$691="","",Checks!$U$691)&amp;IF(Checks!$AB$691="","",CHAR(10)&amp;"CA: "&amp;Checks!$AB$691)</f>
        <v/>
      </c>
      <c r="E53" s="112" t="str">
        <f aca="false">IF(Checks!$V$691="","",Checks!$V$691)&amp;IF(Checks!$AC$691="","",IF(Checks!$V$691="","",CHAR(10))&amp;"N/A just.: "&amp;Checks!$AC$691)&amp;IF(Checks!$W$691="","",CHAR(10)&amp;"Batch: "&amp;Checks!$W$691)&amp;IF(AND(Checks!$X$691="",Checks!$Y$691=""),"",CHAR(10)&amp;"Exp: "&amp;Checks!$X$691&amp;"  /  Act: "&amp;Checks!$Y$691)</f>
        <v/>
      </c>
      <c r="F53" s="112" t="str">
        <f aca="false">IF(Checks!$Z$691="","","Evidence: "&amp;Checks!$Z$691)&amp;IF(Checks!$AA$691="","",IF(Checks!$Z$691="","",CHAR(10))&amp;"CA: "&amp;Checks!$AA$691)</f>
        <v/>
      </c>
      <c r="G53" s="112" t="str">
        <f aca="false">IF(ISNUMBER(Checks!$AD$691),TEXT(Checks!$AD$691,"DD-MMM-YY HH:MM")&amp;" "&amp;Checks!$P$691,"")&amp;IF(Checks!$AE$691="","",CHAR(10)&amp;"Verifier: "&amp;Checks!$AE$691)&amp;IF(Checks!$T$691="","",CHAR(10)&amp;"PIC: "&amp;Checks!$T$691)</f>
        <v/>
      </c>
      <c r="H53" s="113" t="str">
        <f aca="false">IF(Checks!$AH$691="","",Checks!$AH$691)</f>
        <v>OPEN</v>
      </c>
    </row>
    <row r="54" customFormat="false" ht="114" hidden="false" customHeight="true" outlineLevel="0" collapsed="false">
      <c r="A54" s="112" t="str">
        <f aca="false">Checks!$A$692&amp;CHAR(10)&amp;IF(Checks!$I$692="","",Checks!$I$692&amp;": ")&amp;Checks!$J$692</f>
        <v>F21-UPL-02
Equipment: Equipment physically loaded at GLD positions - quantity &amp; positions</v>
      </c>
      <c r="B54" s="112" t="str">
        <f aca="false">Checks!$K$692&amp;IF(Checks!$O$692="","",IF(Checks!$K$692="","",CHAR(10))&amp;"Note: "&amp;Checks!$O$692)</f>
        <v>Enter expected &amp; actual
Note: Confirm on board before departure; completion time must fall inside the uplift window.</v>
      </c>
      <c r="C54" s="112" t="str">
        <f aca="false">Checks!$N$692&amp;CHAR(10)&amp;IF(ISNUMBER(Checks!$R$692),TEXT(Checks!$R$692,"DD-MMM-YY HH:MM"),"")&amp;" "&amp;Checks!$P$692</f>
        <v>Required
30-Oct-26 14:45 LGK</v>
      </c>
      <c r="D54" s="112" t="str">
        <f aca="false">IF(Checks!$U$692="","",Checks!$U$692)&amp;IF(Checks!$AB$692="","",CHAR(10)&amp;"CA: "&amp;Checks!$AB$692)</f>
        <v/>
      </c>
      <c r="E54" s="112" t="str">
        <f aca="false">IF(Checks!$V$692="","",Checks!$V$692)&amp;IF(Checks!$AC$692="","",IF(Checks!$V$692="","",CHAR(10))&amp;"N/A just.: "&amp;Checks!$AC$692)&amp;IF(Checks!$W$692="","",CHAR(10)&amp;"Batch: "&amp;Checks!$W$692)&amp;IF(AND(Checks!$X$692="",Checks!$Y$692=""),"",CHAR(10)&amp;"Exp: "&amp;Checks!$X$692&amp;"  /  Act: "&amp;Checks!$Y$692)</f>
        <v/>
      </c>
      <c r="F54" s="112" t="str">
        <f aca="false">IF(Checks!$Z$692="","","Evidence: "&amp;Checks!$Z$692)&amp;IF(Checks!$AA$692="","",IF(Checks!$Z$692="","",CHAR(10))&amp;"CA: "&amp;Checks!$AA$692)</f>
        <v/>
      </c>
      <c r="G54" s="112" t="str">
        <f aca="false">IF(ISNUMBER(Checks!$AD$692),TEXT(Checks!$AD$692,"DD-MMM-YY HH:MM")&amp;" "&amp;Checks!$P$692,"")&amp;IF(Checks!$AE$692="","",CHAR(10)&amp;"Verifier: "&amp;Checks!$AE$692)&amp;IF(Checks!$T$692="","",CHAR(10)&amp;"PIC: "&amp;Checks!$T$692)</f>
        <v/>
      </c>
      <c r="H54" s="113" t="str">
        <f aca="false">IF(Checks!$AH$692="","",Checks!$AH$692)</f>
        <v>OPEN</v>
      </c>
    </row>
    <row r="55" customFormat="false" ht="279" hidden="false" customHeight="true" outlineLevel="0" collapsed="false">
      <c r="A55" s="112" t="str">
        <f aca="false">Checks!$A$693&amp;CHAR(10)&amp;IF(Checks!$I$693="","",Checks!$I$693&amp;": ")&amp;Checks!$J$693</f>
        <v>F21-UPL-03
Uplift plan: Return catering for MH1437 physically loaded at KUL on the carrying flight (meals, equipment and all items below)</v>
      </c>
      <c r="B55" s="112"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2" t="str">
        <f aca="false">Checks!$N$693&amp;CHAR(10)&amp;IF(ISNUMBER(Checks!$R$693),TEXT(Checks!$R$693,"DD-MMM-YY HH:MM"),"")&amp;" "&amp;Checks!$P$693</f>
        <v>Required
29-Oct-26 18:30 KUL</v>
      </c>
      <c r="D55" s="112" t="str">
        <f aca="false">IF(Checks!$U$693="","",Checks!$U$693)&amp;IF(Checks!$AB$693="","",CHAR(10)&amp;"CA: "&amp;Checks!$AB$693)</f>
        <v/>
      </c>
      <c r="E55" s="112" t="str">
        <f aca="false">IF(Checks!$V$693="","",Checks!$V$693)&amp;IF(Checks!$AC$693="","",IF(Checks!$V$693="","",CHAR(10))&amp;"N/A just.: "&amp;Checks!$AC$693)&amp;IF(Checks!$W$693="","",CHAR(10)&amp;"Batch: "&amp;Checks!$W$693)&amp;IF(AND(Checks!$X$693="",Checks!$Y$693=""),"",CHAR(10)&amp;"Exp: "&amp;Checks!$X$693&amp;"  /  Act: "&amp;Checks!$Y$693)</f>
        <v/>
      </c>
      <c r="F55" s="112" t="str">
        <f aca="false">IF(Checks!$Z$693="","","Evidence: "&amp;Checks!$Z$693)&amp;IF(Checks!$AA$693="","",IF(Checks!$Z$693="","",CHAR(10))&amp;"CA: "&amp;Checks!$AA$693)</f>
        <v/>
      </c>
      <c r="G55" s="112" t="str">
        <f aca="false">IF(ISNUMBER(Checks!$AD$693),TEXT(Checks!$AD$693,"DD-MMM-YY HH:MM")&amp;" "&amp;Checks!$P$693,"")&amp;IF(Checks!$AE$693="","",CHAR(10)&amp;"Verifier: "&amp;Checks!$AE$693)&amp;IF(Checks!$T$693="","",CHAR(10)&amp;"PIC: "&amp;Checks!$T$693)</f>
        <v/>
      </c>
      <c r="H55" s="113" t="str">
        <f aca="false">IF(Checks!$AH$693="","",Checks!$AH$693)</f>
        <v>OPEN</v>
      </c>
    </row>
    <row r="56" customFormat="false" ht="114" hidden="false" customHeight="true" outlineLevel="0" collapsed="false">
      <c r="A56" s="112" t="str">
        <f aca="false">Checks!$A$694&amp;CHAR(10)&amp;IF(Checks!$I$694="","",Checks!$I$694&amp;": ")&amp;Checks!$J$694</f>
        <v>F21-UPL-04
Amenities: Disposable slippers in DAM cart (BC, on request) - on board</v>
      </c>
      <c r="B56" s="112" t="str">
        <f aca="false">Checks!$K$694&amp;IF(Checks!$O$694="","",IF(Checks!$K$694="","",CHAR(10))&amp;"Note: "&amp;Checks!$O$694)</f>
        <v>Available in DAM cart on request basis
Note: Sector has no BC slippers; note C83: disposable slipper available in DAM cart (on request basis).</v>
      </c>
      <c r="C56" s="112" t="str">
        <f aca="false">Checks!$N$694&amp;CHAR(10)&amp;IF(ISNUMBER(Checks!$R$694),TEXT(Checks!$R$694,"DD-MMM-YY HH:MM"),"")&amp;" "&amp;Checks!$P$694</f>
        <v>Required
30-Oct-26 14:45 LGK</v>
      </c>
      <c r="D56" s="112" t="str">
        <f aca="false">IF(Checks!$U$694="","",Checks!$U$694)&amp;IF(Checks!$AB$694="","",CHAR(10)&amp;"CA: "&amp;Checks!$AB$694)</f>
        <v/>
      </c>
      <c r="E56" s="112" t="str">
        <f aca="false">IF(Checks!$V$694="","",Checks!$V$694)&amp;IF(Checks!$AC$694="","",IF(Checks!$V$694="","",CHAR(10))&amp;"N/A just.: "&amp;Checks!$AC$694)&amp;IF(Checks!$W$694="","",CHAR(10)&amp;"Batch: "&amp;Checks!$W$694)&amp;IF(AND(Checks!$X$694="",Checks!$Y$694=""),"",CHAR(10)&amp;"Exp: "&amp;Checks!$X$694&amp;"  /  Act: "&amp;Checks!$Y$694)</f>
        <v/>
      </c>
      <c r="F56" s="112" t="str">
        <f aca="false">IF(Checks!$Z$694="","","Evidence: "&amp;Checks!$Z$694)&amp;IF(Checks!$AA$694="","",IF(Checks!$Z$694="","",CHAR(10))&amp;"CA: "&amp;Checks!$AA$694)</f>
        <v/>
      </c>
      <c r="G56" s="112" t="str">
        <f aca="false">IF(ISNUMBER(Checks!$AD$694),TEXT(Checks!$AD$694,"DD-MMM-YY HH:MM")&amp;" "&amp;Checks!$P$694,"")&amp;IF(Checks!$AE$694="","",CHAR(10)&amp;"Verifier: "&amp;Checks!$AE$694)&amp;IF(Checks!$T$694="","",CHAR(10)&amp;"PIC: "&amp;Checks!$T$694)</f>
        <v/>
      </c>
      <c r="H56" s="113" t="str">
        <f aca="false">IF(Checks!$AH$694="","",Checks!$AH$694)</f>
        <v>OPEN</v>
      </c>
    </row>
    <row r="57" customFormat="false" ht="114" hidden="false" customHeight="true" outlineLevel="0" collapsed="false">
      <c r="A57" s="112" t="str">
        <f aca="false">Checks!$A$695&amp;CHAR(10)&amp;IF(Checks!$I$695="","",Checks!$I$695&amp;": ")&amp;Checks!$J$695</f>
        <v>F21-UPL-05
F&amp;B Linen: Towel - on board</v>
      </c>
      <c r="B57" s="112" t="str">
        <f aca="false">Checks!$K$695&amp;IF(Checks!$O$695="","",IF(Checks!$K$695="","",CHAR(10))&amp;"Note: "&amp;Checks!$O$695)</f>
        <v>Available (ticked in reference)</v>
      </c>
      <c r="C57" s="112" t="str">
        <f aca="false">Checks!$N$695&amp;CHAR(10)&amp;IF(ISNUMBER(Checks!$R$695),TEXT(Checks!$R$695,"DD-MMM-YY HH:MM"),"")&amp;" "&amp;Checks!$P$695</f>
        <v>Required
30-Oct-26 14:45 LGK</v>
      </c>
      <c r="D57" s="112" t="str">
        <f aca="false">IF(Checks!$U$695="","",Checks!$U$695)&amp;IF(Checks!$AB$695="","",CHAR(10)&amp;"CA: "&amp;Checks!$AB$695)</f>
        <v/>
      </c>
      <c r="E57" s="112" t="str">
        <f aca="false">IF(Checks!$V$695="","",Checks!$V$695)&amp;IF(Checks!$AC$695="","",IF(Checks!$V$695="","",CHAR(10))&amp;"N/A just.: "&amp;Checks!$AC$695)&amp;IF(Checks!$W$695="","",CHAR(10)&amp;"Batch: "&amp;Checks!$W$695)&amp;IF(AND(Checks!$X$695="",Checks!$Y$695=""),"",CHAR(10)&amp;"Exp: "&amp;Checks!$X$695&amp;"  /  Act: "&amp;Checks!$Y$695)</f>
        <v/>
      </c>
      <c r="F57" s="112" t="str">
        <f aca="false">IF(Checks!$Z$695="","","Evidence: "&amp;Checks!$Z$695)&amp;IF(Checks!$AA$695="","",IF(Checks!$Z$695="","",CHAR(10))&amp;"CA: "&amp;Checks!$AA$695)</f>
        <v/>
      </c>
      <c r="G57" s="112" t="str">
        <f aca="false">IF(ISNUMBER(Checks!$AD$695),TEXT(Checks!$AD$695,"DD-MMM-YY HH:MM")&amp;" "&amp;Checks!$P$695,"")&amp;IF(Checks!$AE$695="","",CHAR(10)&amp;"Verifier: "&amp;Checks!$AE$695)&amp;IF(Checks!$T$695="","",CHAR(10)&amp;"PIC: "&amp;Checks!$T$695)</f>
        <v/>
      </c>
      <c r="H57" s="113" t="str">
        <f aca="false">IF(Checks!$AH$695="","",Checks!$AH$695)</f>
        <v>OPEN</v>
      </c>
    </row>
    <row r="58" customFormat="false" ht="114" hidden="false" customHeight="true" outlineLevel="0" collapsed="false">
      <c r="A58" s="112" t="str">
        <f aca="false">Checks!$A$696&amp;CHAR(10)&amp;IF(Checks!$I$696="","",Checks!$I$696&amp;": ")&amp;Checks!$J$696</f>
        <v>F21-UPL-06
F&amp;B Linen: Tray cloth - on board</v>
      </c>
      <c r="B58" s="112" t="str">
        <f aca="false">Checks!$K$696&amp;IF(Checks!$O$696="","",IF(Checks!$K$696="","",CHAR(10))&amp;"Note: "&amp;Checks!$O$696)</f>
        <v>Available (ticked in reference)</v>
      </c>
      <c r="C58" s="112" t="str">
        <f aca="false">Checks!$N$696&amp;CHAR(10)&amp;IF(ISNUMBER(Checks!$R$696),TEXT(Checks!$R$696,"DD-MMM-YY HH:MM"),"")&amp;" "&amp;Checks!$P$696</f>
        <v>Required
30-Oct-26 14:45 LGK</v>
      </c>
      <c r="D58" s="112" t="str">
        <f aca="false">IF(Checks!$U$696="","",Checks!$U$696)&amp;IF(Checks!$AB$696="","",CHAR(10)&amp;"CA: "&amp;Checks!$AB$696)</f>
        <v/>
      </c>
      <c r="E58" s="112" t="str">
        <f aca="false">IF(Checks!$V$696="","",Checks!$V$696)&amp;IF(Checks!$AC$696="","",IF(Checks!$V$696="","",CHAR(10))&amp;"N/A just.: "&amp;Checks!$AC$696)&amp;IF(Checks!$W$696="","",CHAR(10)&amp;"Batch: "&amp;Checks!$W$696)&amp;IF(AND(Checks!$X$696="",Checks!$Y$696=""),"",CHAR(10)&amp;"Exp: "&amp;Checks!$X$696&amp;"  /  Act: "&amp;Checks!$Y$696)</f>
        <v/>
      </c>
      <c r="F58" s="112" t="str">
        <f aca="false">IF(Checks!$Z$696="","","Evidence: "&amp;Checks!$Z$696)&amp;IF(Checks!$AA$696="","",IF(Checks!$Z$696="","",CHAR(10))&amp;"CA: "&amp;Checks!$AA$696)</f>
        <v/>
      </c>
      <c r="G58" s="112" t="str">
        <f aca="false">IF(ISNUMBER(Checks!$AD$696),TEXT(Checks!$AD$696,"DD-MMM-YY HH:MM")&amp;" "&amp;Checks!$P$696,"")&amp;IF(Checks!$AE$696="","",CHAR(10)&amp;"Verifier: "&amp;Checks!$AE$696)&amp;IF(Checks!$T$696="","",CHAR(10)&amp;"PIC: "&amp;Checks!$T$696)</f>
        <v/>
      </c>
      <c r="H58" s="113" t="str">
        <f aca="false">IF(Checks!$AH$696="","",Checks!$AH$696)</f>
        <v>OPEN</v>
      </c>
    </row>
    <row r="59" customFormat="false" ht="114" hidden="false" customHeight="true" outlineLevel="0" collapsed="false">
      <c r="A59" s="112" t="str">
        <f aca="false">Checks!$A$697&amp;CHAR(10)&amp;IF(Checks!$I$697="","",Checks!$I$697&amp;": ")&amp;Checks!$J$697</f>
        <v>F21-UPL-07
F&amp;B Linen: Napkin - on board</v>
      </c>
      <c r="B59" s="112" t="str">
        <f aca="false">Checks!$K$697&amp;IF(Checks!$O$697="","",IF(Checks!$K$697="","",CHAR(10))&amp;"Note: "&amp;Checks!$O$697)</f>
        <v>Available (ticked in reference)</v>
      </c>
      <c r="C59" s="112" t="str">
        <f aca="false">Checks!$N$697&amp;CHAR(10)&amp;IF(ISNUMBER(Checks!$R$697),TEXT(Checks!$R$697,"DD-MMM-YY HH:MM"),"")&amp;" "&amp;Checks!$P$697</f>
        <v>Required
30-Oct-26 14:45 LGK</v>
      </c>
      <c r="D59" s="112" t="str">
        <f aca="false">IF(Checks!$U$697="","",Checks!$U$697)&amp;IF(Checks!$AB$697="","",CHAR(10)&amp;"CA: "&amp;Checks!$AB$697)</f>
        <v/>
      </c>
      <c r="E59" s="112" t="str">
        <f aca="false">IF(Checks!$V$697="","",Checks!$V$697)&amp;IF(Checks!$AC$697="","",IF(Checks!$V$697="","",CHAR(10))&amp;"N/A just.: "&amp;Checks!$AC$697)&amp;IF(Checks!$W$697="","",CHAR(10)&amp;"Batch: "&amp;Checks!$W$697)&amp;IF(AND(Checks!$X$697="",Checks!$Y$697=""),"",CHAR(10)&amp;"Exp: "&amp;Checks!$X$697&amp;"  /  Act: "&amp;Checks!$Y$697)</f>
        <v/>
      </c>
      <c r="F59" s="112" t="str">
        <f aca="false">IF(Checks!$Z$697="","","Evidence: "&amp;Checks!$Z$697)&amp;IF(Checks!$AA$697="","",IF(Checks!$Z$697="","",CHAR(10))&amp;"CA: "&amp;Checks!$AA$697)</f>
        <v/>
      </c>
      <c r="G59" s="112" t="str">
        <f aca="false">IF(ISNUMBER(Checks!$AD$697),TEXT(Checks!$AD$697,"DD-MMM-YY HH:MM")&amp;" "&amp;Checks!$P$697,"")&amp;IF(Checks!$AE$697="","",CHAR(10)&amp;"Verifier: "&amp;Checks!$AE$697)&amp;IF(Checks!$T$697="","",CHAR(10)&amp;"PIC: "&amp;Checks!$T$697)</f>
        <v/>
      </c>
      <c r="H59" s="113" t="str">
        <f aca="false">IF(Checks!$AH$697="","",Checks!$AH$697)</f>
        <v>OPEN</v>
      </c>
    </row>
    <row r="60" customFormat="false" ht="114" hidden="false" customHeight="true" outlineLevel="0" collapsed="false">
      <c r="A60" s="112" t="str">
        <f aca="false">Checks!$A$698&amp;CHAR(10)&amp;IF(Checks!$I$698="","",Checks!$I$698&amp;": ")&amp;Checks!$J$698</f>
        <v>F21-UPL-08
F&amp;B Linen: Trolley cloth - on board</v>
      </c>
      <c r="B60" s="112" t="str">
        <f aca="false">SUBSTITUTE(Checks!$K$698&amp;IF(Checks!$O$698="","",IF(Checks!$K$698="","",CHAR(10))&amp;"Note: "&amp;Checks!$O$698),"F&amp;B LINEN!","Ref: F&amp;B LINEN!")</f>
        <v>Narrow body: Top only
Note: Per note Ref: F&amp;B LINEN!B79:C80.</v>
      </c>
      <c r="C60" s="112" t="str">
        <f aca="false">Checks!$N$698&amp;CHAR(10)&amp;IF(ISNUMBER(Checks!$R$698),TEXT(Checks!$R$698,"DD-MMM-YY HH:MM"),"")&amp;" "&amp;Checks!$P$698</f>
        <v>Required
30-Oct-26 14:45 LGK</v>
      </c>
      <c r="D60" s="112" t="str">
        <f aca="false">IF(Checks!$U$698="","",Checks!$U$698)&amp;IF(Checks!$AB$698="","",CHAR(10)&amp;"CA: "&amp;Checks!$AB$698)</f>
        <v/>
      </c>
      <c r="E60" s="112" t="str">
        <f aca="false">IF(Checks!$V$698="","",Checks!$V$698)&amp;IF(Checks!$AC$698="","",IF(Checks!$V$698="","",CHAR(10))&amp;"N/A just.: "&amp;Checks!$AC$698)&amp;IF(Checks!$W$698="","",CHAR(10)&amp;"Batch: "&amp;Checks!$W$698)&amp;IF(AND(Checks!$X$698="",Checks!$Y$698=""),"",CHAR(10)&amp;"Exp: "&amp;Checks!$X$698&amp;"  /  Act: "&amp;Checks!$Y$698)</f>
        <v/>
      </c>
      <c r="F60" s="112" t="str">
        <f aca="false">IF(Checks!$Z$698="","","Evidence: "&amp;Checks!$Z$698)&amp;IF(Checks!$AA$698="","",IF(Checks!$Z$698="","",CHAR(10))&amp;"CA: "&amp;Checks!$AA$698)</f>
        <v/>
      </c>
      <c r="G60" s="112" t="str">
        <f aca="false">IF(ISNUMBER(Checks!$AD$698),TEXT(Checks!$AD$698,"DD-MMM-YY HH:MM")&amp;" "&amp;Checks!$P$698,"")&amp;IF(Checks!$AE$698="","",CHAR(10)&amp;"Verifier: "&amp;Checks!$AE$698)&amp;IF(Checks!$T$698="","",CHAR(10)&amp;"PIC: "&amp;Checks!$T$698)</f>
        <v/>
      </c>
      <c r="H60" s="113" t="str">
        <f aca="false">IF(Checks!$AH$698="","",Checks!$AH$698)</f>
        <v>OPEN</v>
      </c>
    </row>
    <row r="61" customFormat="false" ht="114" hidden="false" customHeight="true" outlineLevel="0" collapsed="false">
      <c r="A61" s="112" t="str">
        <f aca="false">Checks!$A$699&amp;CHAR(10)&amp;IF(Checks!$I$699="","",Checks!$I$699&amp;": ")&amp;Checks!$J$699</f>
        <v>F21-UPL-09
F&amp;B Linen: Linen bag - on board</v>
      </c>
      <c r="B61" s="112" t="str">
        <f aca="false">Checks!$K$699&amp;IF(Checks!$O$699="","",IF(Checks!$K$699="","",CHAR(10))&amp;"Note: "&amp;Checks!$O$699)</f>
        <v>Available (ticked in reference)</v>
      </c>
      <c r="C61" s="112" t="str">
        <f aca="false">Checks!$N$699&amp;CHAR(10)&amp;IF(ISNUMBER(Checks!$R$699),TEXT(Checks!$R$699,"DD-MMM-YY HH:MM"),"")&amp;" "&amp;Checks!$P$699</f>
        <v>Required
30-Oct-26 14:45 LGK</v>
      </c>
      <c r="D61" s="112" t="str">
        <f aca="false">IF(Checks!$U$699="","",Checks!$U$699)&amp;IF(Checks!$AB$699="","",CHAR(10)&amp;"CA: "&amp;Checks!$AB$699)</f>
        <v/>
      </c>
      <c r="E61" s="112" t="str">
        <f aca="false">IF(Checks!$V$699="","",Checks!$V$699)&amp;IF(Checks!$AC$699="","",IF(Checks!$V$699="","",CHAR(10))&amp;"N/A just.: "&amp;Checks!$AC$699)&amp;IF(Checks!$W$699="","",CHAR(10)&amp;"Batch: "&amp;Checks!$W$699)&amp;IF(AND(Checks!$X$699="",Checks!$Y$699=""),"",CHAR(10)&amp;"Exp: "&amp;Checks!$X$699&amp;"  /  Act: "&amp;Checks!$Y$699)</f>
        <v/>
      </c>
      <c r="F61" s="112" t="str">
        <f aca="false">IF(Checks!$Z$699="","","Evidence: "&amp;Checks!$Z$699)&amp;IF(Checks!$AA$699="","",IF(Checks!$Z$699="","",CHAR(10))&amp;"CA: "&amp;Checks!$AA$699)</f>
        <v/>
      </c>
      <c r="G61" s="112" t="str">
        <f aca="false">IF(ISNUMBER(Checks!$AD$699),TEXT(Checks!$AD$699,"DD-MMM-YY HH:MM")&amp;" "&amp;Checks!$P$699,"")&amp;IF(Checks!$AE$699="","",CHAR(10)&amp;"Verifier: "&amp;Checks!$AE$699)&amp;IF(Checks!$T$699="","",CHAR(10)&amp;"PIC: "&amp;Checks!$T$699)</f>
        <v/>
      </c>
      <c r="H61" s="113" t="str">
        <f aca="false">IF(Checks!$AH$699="","",Checks!$AH$699)</f>
        <v>OPEN</v>
      </c>
    </row>
    <row r="62" customFormat="false" ht="114" hidden="false" customHeight="true" outlineLevel="0" collapsed="false">
      <c r="A62" s="112" t="str">
        <f aca="false">Checks!$A$700&amp;CHAR(10)&amp;IF(Checks!$I$700="","",Checks!$I$700&amp;": ")&amp;Checks!$J$700</f>
        <v>F21-UPL-10
Seat Linen: Seat pillow (BS &amp; BC) - on board</v>
      </c>
      <c r="B62" s="112" t="str">
        <f aca="false">Checks!$K$700&amp;IF(Checks!$O$700="","",IF(Checks!$K$700="","",CHAR(10))&amp;"Note: "&amp;Checks!$O$700)</f>
        <v>Available 100% (ticked in reference)</v>
      </c>
      <c r="C62" s="112" t="str">
        <f aca="false">Checks!$N$700&amp;CHAR(10)&amp;IF(ISNUMBER(Checks!$R$700),TEXT(Checks!$R$700,"DD-MMM-YY HH:MM"),"")&amp;" "&amp;Checks!$P$700</f>
        <v>Required
30-Oct-26 14:45 LGK</v>
      </c>
      <c r="D62" s="112" t="str">
        <f aca="false">IF(Checks!$U$700="","",Checks!$U$700)&amp;IF(Checks!$AB$700="","",CHAR(10)&amp;"CA: "&amp;Checks!$AB$700)</f>
        <v/>
      </c>
      <c r="E62" s="112" t="str">
        <f aca="false">IF(Checks!$V$700="","",Checks!$V$700)&amp;IF(Checks!$AC$700="","",IF(Checks!$V$700="","",CHAR(10))&amp;"N/A just.: "&amp;Checks!$AC$700)&amp;IF(Checks!$W$700="","",CHAR(10)&amp;"Batch: "&amp;Checks!$W$700)&amp;IF(AND(Checks!$X$700="",Checks!$Y$700=""),"",CHAR(10)&amp;"Exp: "&amp;Checks!$X$700&amp;"  /  Act: "&amp;Checks!$Y$700)</f>
        <v/>
      </c>
      <c r="F62" s="112" t="str">
        <f aca="false">IF(Checks!$Z$700="","","Evidence: "&amp;Checks!$Z$700)&amp;IF(Checks!$AA$700="","",IF(Checks!$Z$700="","",CHAR(10))&amp;"CA: "&amp;Checks!$AA$700)</f>
        <v/>
      </c>
      <c r="G62" s="112" t="str">
        <f aca="false">IF(ISNUMBER(Checks!$AD$700),TEXT(Checks!$AD$700,"DD-MMM-YY HH:MM")&amp;" "&amp;Checks!$P$700,"")&amp;IF(Checks!$AE$700="","",CHAR(10)&amp;"Verifier: "&amp;Checks!$AE$700)&amp;IF(Checks!$T$700="","",CHAR(10)&amp;"PIC: "&amp;Checks!$T$700)</f>
        <v/>
      </c>
      <c r="H62" s="113" t="str">
        <f aca="false">IF(Checks!$AH$700="","",Checks!$AH$700)</f>
        <v>OPEN</v>
      </c>
    </row>
    <row r="63" customFormat="false" ht="114" hidden="false" customHeight="true" outlineLevel="0" collapsed="false">
      <c r="A63" s="112" t="str">
        <f aca="false">Checks!$A$701&amp;CHAR(10)&amp;IF(Checks!$I$701="","",Checks!$I$701&amp;": ")&amp;Checks!$J$701</f>
        <v>F21-UPL-11
Seat Linen: Blanket (BS &amp; BC) - on board</v>
      </c>
      <c r="B63" s="112" t="str">
        <f aca="false">Checks!$K$701&amp;IF(Checks!$O$701="","",IF(Checks!$K$701="","",CHAR(10))&amp;"Note: "&amp;Checks!$O$701)</f>
        <v>Available 100% (ticked in reference)</v>
      </c>
      <c r="C63" s="112" t="str">
        <f aca="false">Checks!$N$701&amp;CHAR(10)&amp;IF(ISNUMBER(Checks!$R$701),TEXT(Checks!$R$701,"DD-MMM-YY HH:MM"),"")&amp;" "&amp;Checks!$P$701</f>
        <v>Required
30-Oct-26 14:45 LGK</v>
      </c>
      <c r="D63" s="112" t="str">
        <f aca="false">IF(Checks!$U$701="","",Checks!$U$701)&amp;IF(Checks!$AB$701="","",CHAR(10)&amp;"CA: "&amp;Checks!$AB$701)</f>
        <v/>
      </c>
      <c r="E63" s="112" t="str">
        <f aca="false">IF(Checks!$V$701="","",Checks!$V$701)&amp;IF(Checks!$AC$701="","",IF(Checks!$V$701="","",CHAR(10))&amp;"N/A just.: "&amp;Checks!$AC$701)&amp;IF(Checks!$W$701="","",CHAR(10)&amp;"Batch: "&amp;Checks!$W$701)&amp;IF(AND(Checks!$X$701="",Checks!$Y$701=""),"",CHAR(10)&amp;"Exp: "&amp;Checks!$X$701&amp;"  /  Act: "&amp;Checks!$Y$701)</f>
        <v/>
      </c>
      <c r="F63" s="112" t="str">
        <f aca="false">IF(Checks!$Z$701="","","Evidence: "&amp;Checks!$Z$701)&amp;IF(Checks!$AA$701="","",IF(Checks!$Z$701="","",CHAR(10))&amp;"CA: "&amp;Checks!$AA$701)</f>
        <v/>
      </c>
      <c r="G63" s="112" t="str">
        <f aca="false">IF(ISNUMBER(Checks!$AD$701),TEXT(Checks!$AD$701,"DD-MMM-YY HH:MM")&amp;" "&amp;Checks!$P$701,"")&amp;IF(Checks!$AE$701="","",CHAR(10)&amp;"Verifier: "&amp;Checks!$AE$701)&amp;IF(Checks!$T$701="","",CHAR(10)&amp;"PIC: "&amp;Checks!$T$701)</f>
        <v/>
      </c>
      <c r="H63" s="113" t="str">
        <f aca="false">IF(Checks!$AH$701="","",Checks!$AH$701)</f>
        <v>OPEN</v>
      </c>
    </row>
    <row r="65" customFormat="false" ht="24" hidden="false" customHeight="true" outlineLevel="0" collapsed="false">
      <c r="A65" s="114" t="s">
        <v>1647</v>
      </c>
      <c r="B65" s="114"/>
      <c r="C65" s="114"/>
      <c r="D65" s="114"/>
      <c r="E65" s="114" t="s">
        <v>1648</v>
      </c>
      <c r="F65" s="114"/>
      <c r="G65" s="114"/>
      <c r="H65" s="114"/>
    </row>
    <row r="66" customFormat="false" ht="21.75" hidden="false" customHeight="true" outlineLevel="0" collapsed="false">
      <c r="A66" s="115"/>
      <c r="B66" s="115"/>
      <c r="C66" s="115"/>
      <c r="D66" s="115"/>
      <c r="E66" s="115"/>
      <c r="F66" s="115"/>
      <c r="G66" s="115"/>
      <c r="H66" s="115"/>
    </row>
    <row r="67" customFormat="false" ht="21.75" hidden="false" customHeight="true" outlineLevel="0" collapsed="false">
      <c r="A67" s="115"/>
      <c r="B67" s="115"/>
      <c r="C67" s="115"/>
      <c r="D67" s="115"/>
      <c r="E67" s="115"/>
      <c r="F67" s="115"/>
      <c r="G67" s="115"/>
      <c r="H67" s="115"/>
    </row>
    <row r="68" customFormat="false" ht="21.75" hidden="false" customHeight="true" outlineLevel="0" collapsed="false">
      <c r="A68" s="115"/>
      <c r="B68" s="115"/>
      <c r="C68" s="115"/>
      <c r="D68" s="115"/>
      <c r="E68" s="115"/>
      <c r="F68" s="115"/>
      <c r="G68" s="115"/>
      <c r="H68" s="115"/>
    </row>
    <row r="69" customFormat="false" ht="21.75" hidden="false" customHeight="true" outlineLevel="0" collapsed="false">
      <c r="A69" s="115"/>
      <c r="B69" s="115"/>
      <c r="C69" s="115"/>
      <c r="D69" s="115"/>
      <c r="E69" s="115"/>
      <c r="F69" s="115"/>
      <c r="G69" s="115"/>
      <c r="H69" s="115"/>
    </row>
    <row r="70" customFormat="false" ht="21.75" hidden="false" customHeight="true" outlineLevel="0" collapsed="false">
      <c r="A70" s="115"/>
      <c r="B70" s="115"/>
      <c r="C70" s="115"/>
      <c r="D70" s="115"/>
      <c r="E70" s="115"/>
      <c r="F70" s="115"/>
      <c r="G70" s="115"/>
      <c r="H70" s="115"/>
    </row>
    <row r="71" customFormat="false" ht="21.75" hidden="false" customHeight="true" outlineLevel="0" collapsed="false">
      <c r="A71" s="115"/>
      <c r="B71" s="115"/>
      <c r="C71" s="115"/>
      <c r="D71" s="115"/>
      <c r="E71" s="115"/>
      <c r="F71" s="115"/>
      <c r="G71" s="115"/>
      <c r="H71" s="115"/>
    </row>
    <row r="72" customFormat="false" ht="21.75" hidden="false" customHeight="true" outlineLevel="0" collapsed="false">
      <c r="A72" s="115"/>
      <c r="B72" s="115"/>
      <c r="C72" s="115"/>
      <c r="D72" s="115"/>
      <c r="E72" s="115"/>
      <c r="F72" s="115"/>
      <c r="G72" s="115"/>
      <c r="H72" s="115"/>
    </row>
    <row r="73" customFormat="false" ht="21.75" hidden="false" customHeight="true" outlineLevel="0" collapsed="false">
      <c r="A73" s="115"/>
      <c r="B73" s="115"/>
      <c r="C73" s="115"/>
      <c r="D73" s="115"/>
      <c r="E73" s="115"/>
      <c r="F73" s="115"/>
      <c r="G73" s="115"/>
      <c r="H73" s="115"/>
    </row>
    <row r="74" customFormat="false" ht="21.75" hidden="false" customHeight="true" outlineLevel="0" collapsed="false">
      <c r="A74" s="115"/>
      <c r="B74" s="115"/>
      <c r="C74" s="115"/>
      <c r="D74" s="115"/>
      <c r="E74" s="115"/>
      <c r="F74" s="115"/>
      <c r="G74" s="115"/>
      <c r="H74" s="115"/>
    </row>
    <row r="75" customFormat="false" ht="21.75" hidden="false" customHeight="true" outlineLevel="0" collapsed="false">
      <c r="A75" s="115"/>
      <c r="B75" s="115"/>
      <c r="C75" s="115"/>
      <c r="D75" s="115"/>
      <c r="E75" s="115"/>
      <c r="F75" s="115"/>
      <c r="G75" s="115"/>
      <c r="H75" s="115"/>
    </row>
  </sheetData>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3">
    <cfRule type="expression" priority="17" aboveAverage="0" equalAverage="0" bottom="0" percent="0" rank="0" text="" dxfId="34">
      <formula>LEFT($H24,3)="N/A"</formula>
    </cfRule>
  </conditionalFormatting>
  <conditionalFormatting sqref="D24:D63">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0" t="str">
        <f aca="false">"SKYTRAX 2026 CATERING READINESS CHECKLIST  |  F22  "&amp;Flights!$F$26&amp;"  "&amp;TEXT(Flights!$D$26,"DD-MMM-YY")&amp;" ("&amp;Flights!$E$26&amp;")  "&amp;Flights!$G$26&amp;" → "&amp;Flights!$H$26&amp;"  |  Class "&amp;Flights!$K$26</f>
        <v>SKYTRAX 2026 CATERING READINESS CHECKLIST  |  F22  MH0002  30-Oct-26 (FRI)  KUL → LHR  |  Class BC</v>
      </c>
      <c r="B1" s="90"/>
      <c r="C1" s="90"/>
      <c r="D1" s="90"/>
      <c r="E1" s="90"/>
      <c r="F1" s="90"/>
      <c r="G1" s="90"/>
      <c r="H1" s="90"/>
    </row>
    <row r="2" customFormat="false" ht="12.75" hidden="false" customHeight="true" outlineLevel="0" collapsed="false">
      <c r="A2" s="91" t="s">
        <v>1602</v>
      </c>
      <c r="B2" s="92" t="str">
        <f aca="false">Flights!$F$26&amp;"   "&amp;TEXT(Flights!$D$26,"DD-MMM-YY")&amp;" ("&amp;Flights!$E$26&amp;")"</f>
        <v>MH0002   30-Oct-26 (FRI)</v>
      </c>
      <c r="C2" s="92"/>
      <c r="D2" s="92"/>
      <c r="E2" s="93" t="s">
        <v>1603</v>
      </c>
      <c r="F2" s="94" t="str">
        <f aca="false">Flights!$AT$26</f>
        <v>NOT READY – DOCUMENTS</v>
      </c>
      <c r="G2" s="94"/>
      <c r="H2" s="94"/>
    </row>
    <row r="3" customFormat="false" ht="24" hidden="false" customHeight="true" outlineLevel="0" collapsed="false">
      <c r="A3" s="91" t="s">
        <v>1604</v>
      </c>
      <c r="B3" s="92" t="str">
        <f aca="false">Flights!$G$26&amp;" → "&amp;Flights!$H$26&amp;"   Class "&amp;Flights!$K$26&amp;"   Seat "&amp;Flights!$O$26</f>
        <v>KUL → LHR   Class BC   Seat 5A</v>
      </c>
      <c r="C3" s="92"/>
      <c r="D3" s="92"/>
      <c r="E3" s="93" t="s">
        <v>66</v>
      </c>
      <c r="F3" s="93" t="s">
        <v>1605</v>
      </c>
      <c r="G3" s="93" t="s">
        <v>1606</v>
      </c>
      <c r="H3" s="93"/>
    </row>
    <row r="4" customFormat="false" ht="24" hidden="false" customHeight="true" outlineLevel="0" collapsed="false">
      <c r="A4" s="91" t="s">
        <v>1607</v>
      </c>
      <c r="B4" s="92" t="str">
        <f aca="false">IF(ISNUMBER(Flights!$I$26),TEXT(Flights!$I$26,"DD-MMM-YY HH:MM"),"")&amp;" "&amp;Flights!$G$26&amp;"  →  "&amp;IF(ISNUMBER(Flights!$J$26),TEXT(Flights!$J$26,"DD-MMM-YY HH:MM"),"")&amp;" "&amp;Flights!$H$26</f>
        <v>30-Oct-26 23:20 KUL  →  31-Oct-26 05:55 LHR</v>
      </c>
      <c r="C4" s="92"/>
      <c r="D4" s="92"/>
      <c r="E4" s="91" t="s">
        <v>1608</v>
      </c>
      <c r="F4" s="95" t="str">
        <f aca="false">IF(ISNUMBER(Flights!$AG$26),TEXT(Flights!$AG$26,"DD-MMM-YY HH:MM"),"")&amp;" "&amp;Flights!$V$26</f>
        <v>23-Oct-26 23:20 KUL</v>
      </c>
      <c r="G4" s="96" t="n">
        <f aca="false">Flights!$AJ$26</f>
        <v>0</v>
      </c>
      <c r="H4" s="96"/>
    </row>
    <row r="5" customFormat="false" ht="24" hidden="false" customHeight="true" outlineLevel="0" collapsed="false">
      <c r="A5" s="91" t="s">
        <v>1609</v>
      </c>
      <c r="B5" s="92" t="str">
        <f aca="false">Flights!$L$26&amp;" – "&amp;Flights!$M$26</f>
        <v>A350 – A350-900: A359 (9M-MAB..MAG, row 6) or A350 9M-MAH (row 7) - tail to confirm</v>
      </c>
      <c r="C5" s="92"/>
      <c r="D5" s="92"/>
      <c r="E5" s="91" t="s">
        <v>1610</v>
      </c>
      <c r="F5" s="95" t="str">
        <f aca="false">IF(ISNUMBER(Flights!$AH$26),TEXT(Flights!$AH$26,"DD-MMM-YY HH:MM"),"")&amp;" "&amp;Flights!$V$26</f>
        <v>29-Oct-26 23:20 KUL</v>
      </c>
      <c r="G5" s="96" t="n">
        <f aca="false">Flights!$AK$26</f>
        <v>0</v>
      </c>
      <c r="H5" s="96"/>
    </row>
    <row r="6" customFormat="false" ht="24" hidden="false" customHeight="true" outlineLevel="0" collapsed="false">
      <c r="A6" s="91" t="s">
        <v>1611</v>
      </c>
      <c r="B6" s="92" t="str">
        <f aca="false">IF(TRIM(Flights!$N$26)="","__________________",Flights!$N$26)</f>
        <v>__________________</v>
      </c>
      <c r="C6" s="92"/>
      <c r="D6" s="92"/>
      <c r="E6" s="91" t="s">
        <v>1612</v>
      </c>
      <c r="F6" s="95" t="str">
        <f aca="false">IF(ISNUMBER(Flights!$AI$26),TEXT(Flights!$AI$26,"DD-MMM-YY HH:MM"),"")&amp;" "&amp;Flights!$V$26&amp;IF(Flights!$AI$26=Flights!$AH$26,"  (= T-24H due)","")</f>
        <v>30-Oct-26 11:20 KUL</v>
      </c>
      <c r="G6" s="96" t="n">
        <f aca="false">Flights!$AL$26</f>
        <v>0</v>
      </c>
      <c r="H6" s="96"/>
    </row>
    <row r="7" customFormat="false" ht="24" hidden="false" customHeight="true" outlineLevel="0" collapsed="false">
      <c r="A7" s="91" t="s">
        <v>1613</v>
      </c>
      <c r="B7" s="92" t="str">
        <f aca="false">Flights!$T$26</f>
        <v>2.5 Meal (Meal)</v>
      </c>
      <c r="C7" s="92"/>
      <c r="D7" s="92"/>
      <c r="E7" s="91" t="s">
        <v>1614</v>
      </c>
      <c r="F7" s="95" t="str">
        <f aca="false">"STD "&amp;IF(ISNUMBER(Flights!$I$26),TEXT(Flights!$I$26,"DD-MMM-YY HH:MM"),"")&amp;" "&amp;Flights!$G$26&amp;" (dep stn)"</f>
        <v>STD 30-Oct-26 23:20 KUL (dep stn)</v>
      </c>
      <c r="G7" s="96" t="n">
        <f aca="false">Flights!$AM$26</f>
        <v>0</v>
      </c>
      <c r="H7" s="96"/>
    </row>
    <row r="8" customFormat="false" ht="12.75" hidden="false" customHeight="true" outlineLevel="0" collapsed="false">
      <c r="A8" s="91" t="s">
        <v>148</v>
      </c>
      <c r="B8" s="92" t="str">
        <f aca="false">Flights!$V$26&amp;"   (reference uplift stns: "&amp;Flights!$U$26&amp;")"</f>
        <v>KUL   (reference uplift stns: KUL/LHR)</v>
      </c>
      <c r="C8" s="92"/>
      <c r="D8" s="92"/>
      <c r="E8" s="91" t="s">
        <v>1615</v>
      </c>
      <c r="F8" s="97" t="s">
        <v>1616</v>
      </c>
      <c r="G8" s="96" t="n">
        <f aca="false">Flights!$AN$26</f>
        <v>0</v>
      </c>
      <c r="H8" s="96"/>
    </row>
    <row r="9" customFormat="false" ht="12.75" hidden="false" customHeight="true" outlineLevel="0" collapsed="false">
      <c r="A9" s="91" t="s">
        <v>1617</v>
      </c>
      <c r="B9" s="92" t="str">
        <f aca="false">TRIM(Flights!$P$26&amp;"  "&amp;Flights!$Q$26)</f>
        <v>7H 15M</v>
      </c>
      <c r="C9" s="92"/>
      <c r="D9" s="92"/>
      <c r="E9" s="91" t="s">
        <v>1618</v>
      </c>
      <c r="F9" s="98" t="n">
        <f aca="false">Flights!$AP$26</f>
        <v>0</v>
      </c>
      <c r="G9" s="98" t="n">
        <f aca="false">Flights!$AQ$26</f>
        <v>0</v>
      </c>
      <c r="H9" s="98" t="n">
        <f aca="false">Flights!$AU$26</f>
        <v>0</v>
      </c>
    </row>
    <row r="10" customFormat="false" ht="24" hidden="false" customHeight="true" outlineLevel="0" collapsed="false">
      <c r="A10" s="91" t="s">
        <v>1619</v>
      </c>
      <c r="B10" s="92" t="str">
        <f aca="false">IF(TRIM(Flights!$X$26)="","__________________",Flights!$X$26)</f>
        <v>__________________</v>
      </c>
      <c r="C10" s="92"/>
      <c r="D10" s="92"/>
      <c r="E10" s="91" t="s">
        <v>1620</v>
      </c>
      <c r="F10" s="98" t="n">
        <f aca="false">Flights!$AO$26</f>
        <v>46</v>
      </c>
      <c r="G10" s="98" t="n">
        <f aca="false">Flights!$AS$26</f>
        <v>2</v>
      </c>
      <c r="H10" s="98" t="n">
        <f aca="false">Flights!$AR$26</f>
        <v>2</v>
      </c>
    </row>
    <row r="11" customFormat="false" ht="21" hidden="false" customHeight="true" outlineLevel="0" collapsed="false">
      <c r="A11" s="91" t="s">
        <v>1621</v>
      </c>
      <c r="B11" s="92" t="str">
        <f aca="false">IF(TRIM(Flights!$Y$26)="","__________________",Flights!$Y$26)</f>
        <v>__________________</v>
      </c>
      <c r="C11" s="92"/>
      <c r="D11" s="92"/>
      <c r="E11" s="91" t="s">
        <v>1622</v>
      </c>
      <c r="F11" s="98" t="str">
        <f aca="false">Flights!$AV$26&amp;" / "&amp;Flights!$AW$26</f>
        <v>0 / 46</v>
      </c>
      <c r="G11" s="99" t="str">
        <f aca="false">IF(ISNUMBER(Settings!$B$6),TEXT(Settings!$B$6,"DD-MMM-YY HH:MM"),"")</f>
        <v>28-Sep-26 03:05</v>
      </c>
      <c r="H11" s="99"/>
    </row>
    <row r="12" customFormat="false" ht="34.5" hidden="false" customHeight="true" outlineLevel="0" collapsed="false">
      <c r="A12" s="100" t="s">
        <v>1623</v>
      </c>
      <c r="B12" s="100"/>
      <c r="C12" s="100"/>
      <c r="D12" s="100"/>
      <c r="E12" s="101" t="s">
        <v>1624</v>
      </c>
      <c r="F12" s="102" t="s">
        <v>1625</v>
      </c>
      <c r="G12" s="103" t="s">
        <v>87</v>
      </c>
      <c r="H12" s="104" t="s">
        <v>1626</v>
      </c>
    </row>
    <row r="13" customFormat="false" ht="13.5" hidden="false" customHeight="true" outlineLevel="0" collapsed="false">
      <c r="A13" s="93" t="s">
        <v>1627</v>
      </c>
      <c r="B13" s="93" t="s">
        <v>1628</v>
      </c>
      <c r="C13" s="93" t="s">
        <v>1629</v>
      </c>
      <c r="D13" s="93"/>
      <c r="E13" s="93" t="s">
        <v>1630</v>
      </c>
      <c r="F13" s="93" t="s">
        <v>1631</v>
      </c>
      <c r="G13" s="93"/>
      <c r="H13" s="93"/>
    </row>
    <row r="14" customFormat="false" ht="36" hidden="false" customHeight="true" outlineLevel="0" collapsed="false">
      <c r="A14" s="91" t="s">
        <v>1632</v>
      </c>
      <c r="B14" s="92" t="str">
        <f aca="false">IF(Documents!$F$26="","",Documents!$F$26)</f>
        <v/>
      </c>
      <c r="C14" s="97" t="str">
        <f aca="false">IF(Documents!$G$26="","",Documents!$G$26)&amp;IF(ISNUMBER(Documents!$H$26),"  "&amp;TEXT(Documents!$H$26,"DD-MMM-YY"),"")</f>
        <v/>
      </c>
      <c r="D14" s="97"/>
      <c r="E14" s="105" t="str">
        <f aca="false">IF(Documents!$J$26="OUTSTANDING","OUTSTANDING – attach before T-7D (due "&amp;IF(ISNUMBER(Flights!$AG$26),TEXT(Flights!$AG$26,"DD-MMM-YY HH:MM"),"")&amp;" "&amp;Flights!$V$26&amp;")",IF(Documents!$J$26="","Status not recorded",Documents!$J$26))</f>
        <v>OUTSTANDING – attach before T-7D (due 23-Oct-26 23:20 KUL)</v>
      </c>
      <c r="F14" s="106" t="str">
        <f aca="false">"Staple behind this sheet as page A1."&amp;IF(Documents!$I$26="",""," Location: "&amp;Documents!$I$26)</f>
        <v>Staple behind this sheet as page A1.</v>
      </c>
      <c r="G14" s="106"/>
      <c r="H14" s="106"/>
    </row>
    <row r="15" customFormat="false" ht="36" hidden="false" customHeight="true" outlineLevel="0" collapsed="false">
      <c r="A15" s="91" t="s">
        <v>1633</v>
      </c>
      <c r="B15" s="92" t="str">
        <f aca="false">IF(Documents!$K$26="","",Documents!$K$26)</f>
        <v/>
      </c>
      <c r="C15" s="97" t="str">
        <f aca="false">IF(Documents!$L$26="","",Documents!$L$26)&amp;IF(ISNUMBER(Documents!$M$26),"  "&amp;TEXT(Documents!$M$26,"DD-MMM-YY"),"")</f>
        <v/>
      </c>
      <c r="D15" s="97"/>
      <c r="E15" s="105" t="str">
        <f aca="false">IF(Documents!$O$26="OUTSTANDING","OUTSTANDING – attach before T-7D (due "&amp;IF(ISNUMBER(Flights!$AG$26),TEXT(Flights!$AG$26,"DD-MMM-YY HH:MM"),"")&amp;" "&amp;Flights!$V$26&amp;")",IF(Documents!$O$26="","Status not recorded",Documents!$O$26))</f>
        <v>OUTSTANDING – attach before T-7D (due 23-Oct-26 23:20 KUL)</v>
      </c>
      <c r="F15" s="106" t="str">
        <f aca="false">"Staple behind this sheet as page A2."&amp;IF(Documents!$N$26="",""," Location: "&amp;Documents!$N$26)</f>
        <v>Staple behind this sheet as page A2.</v>
      </c>
      <c r="G15" s="106"/>
      <c r="H15" s="106"/>
    </row>
    <row r="16" customFormat="false" ht="22.5" hidden="false" customHeight="true" outlineLevel="0" collapsed="false">
      <c r="A16" s="91" t="s">
        <v>1634</v>
      </c>
      <c r="B16" s="107" t="str">
        <f aca="false">IF(Documents!$Q$26="","",Documents!$Q$26)</f>
        <v>Not supplied with brief – obtain from caterer / MAGCS.</v>
      </c>
      <c r="C16" s="107"/>
      <c r="D16" s="107"/>
      <c r="E16" s="107"/>
      <c r="F16" s="107"/>
      <c r="G16" s="107"/>
      <c r="H16" s="107"/>
    </row>
    <row r="17" customFormat="false" ht="13.5" hidden="false" customHeight="true" outlineLevel="0" collapsed="false">
      <c r="A17" s="108" t="s">
        <v>1635</v>
      </c>
      <c r="B17" s="108"/>
      <c r="C17" s="108" t="s">
        <v>1636</v>
      </c>
      <c r="D17" s="108"/>
      <c r="E17" s="108"/>
      <c r="F17" s="108" t="s">
        <v>1637</v>
      </c>
      <c r="G17" s="108"/>
      <c r="H17" s="108"/>
    </row>
    <row r="18" customFormat="false" ht="18" hidden="false" customHeight="true" outlineLevel="0" collapsed="false">
      <c r="A18" s="92" t="str">
        <f aca="false">"Name: "&amp;IF(TRIM(Flights!$Y$26)="","__________________",Flights!$Y$26)</f>
        <v>Name: __________________</v>
      </c>
      <c r="B18" s="92"/>
      <c r="C18" s="92" t="str">
        <f aca="false">"Name: __________________"</f>
        <v>Name: __________________</v>
      </c>
      <c r="D18" s="92"/>
      <c r="E18" s="92"/>
      <c r="F18" s="92" t="str">
        <f aca="false">"Name: __________________"&amp;"   Station: "&amp;Flights!$V$26</f>
        <v>Name: __________________   Station: KUL</v>
      </c>
      <c r="G18" s="92"/>
      <c r="H18" s="92"/>
    </row>
    <row r="19" customFormat="false" ht="30" hidden="false" customHeight="true" outlineLevel="0" collapsed="false">
      <c r="A19" s="109" t="s">
        <v>1638</v>
      </c>
      <c r="B19" s="109"/>
      <c r="C19" s="109" t="s">
        <v>1638</v>
      </c>
      <c r="D19" s="109"/>
      <c r="E19" s="109"/>
      <c r="F19" s="109" t="s">
        <v>1638</v>
      </c>
      <c r="G19" s="109"/>
      <c r="H19" s="109"/>
    </row>
    <row r="20" customFormat="false" ht="13.5" hidden="false" customHeight="true" outlineLevel="0" collapsed="false">
      <c r="A20" s="110" t="s">
        <v>1639</v>
      </c>
      <c r="B20" s="110"/>
      <c r="C20" s="110"/>
      <c r="D20" s="110"/>
      <c r="E20" s="110"/>
      <c r="F20" s="110"/>
      <c r="G20" s="110"/>
      <c r="H20" s="110"/>
    </row>
    <row r="21" customFormat="false" ht="24" hidden="false" customHeight="true" outlineLevel="0" collapsed="false">
      <c r="A21" s="93" t="s">
        <v>1640</v>
      </c>
      <c r="B21" s="93" t="s">
        <v>1641</v>
      </c>
      <c r="C21" s="93" t="s">
        <v>1642</v>
      </c>
      <c r="D21" s="93" t="s">
        <v>1643</v>
      </c>
      <c r="E21" s="93" t="s">
        <v>1644</v>
      </c>
      <c r="F21" s="93" t="s">
        <v>1645</v>
      </c>
      <c r="G21" s="93" t="s">
        <v>1646</v>
      </c>
      <c r="H21" s="93" t="s">
        <v>119</v>
      </c>
    </row>
    <row r="22" customFormat="false" ht="25.5" hidden="false" customHeight="true" outlineLevel="0" collapsed="false">
      <c r="A22" s="111"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1"/>
      <c r="C22" s="111"/>
      <c r="D22" s="111"/>
      <c r="E22" s="111"/>
      <c r="F22" s="111"/>
      <c r="G22" s="111"/>
      <c r="H22" s="111"/>
    </row>
    <row r="23" customFormat="false" ht="114" hidden="false" customHeight="true" outlineLevel="0" collapsed="false">
      <c r="A23" s="112" t="str">
        <f aca="false">Checks!$A$702&amp;CHAR(10)&amp;IF(Checks!$I$702="","",Checks!$I$702&amp;": ")&amp;Checks!$J$702</f>
        <v>F22-T7-01
Meal: Meal sensory testing completed for this flight's menu cycle (assessed class)</v>
      </c>
      <c r="B23" s="112" t="str">
        <f aca="false">Checks!$K$702&amp;IF(Checks!$O$702="","",IF(Checks!$K$702="","",CHAR(10))&amp;"Note: "&amp;Checks!$O$702)</f>
        <v>Record panel result / score in Result</v>
      </c>
      <c r="C23" s="112" t="str">
        <f aca="false">Checks!$N$702&amp;CHAR(10)&amp;IF(ISNUMBER(Checks!$R$702),TEXT(Checks!$R$702,"DD-MMM-YY HH:MM"),"")&amp;" "&amp;Checks!$P$702</f>
        <v>Required
23-Oct-26 23:20 KUL</v>
      </c>
      <c r="D23" s="112" t="str">
        <f aca="false">IF(Checks!$U$702="","",Checks!$U$702)&amp;IF(Checks!$AB$702="","",CHAR(10)&amp;"CA: "&amp;Checks!$AB$702)</f>
        <v/>
      </c>
      <c r="E23" s="112" t="str">
        <f aca="false">IF(Checks!$V$702="","",Checks!$V$702)&amp;IF(Checks!$AC$702="","",IF(Checks!$V$702="","",CHAR(10))&amp;"N/A just.: "&amp;Checks!$AC$702)&amp;IF(Checks!$W$702="","",CHAR(10)&amp;"Batch: "&amp;Checks!$W$702)&amp;IF(AND(Checks!$X$702="",Checks!$Y$702=""),"",CHAR(10)&amp;"Exp: "&amp;Checks!$X$702&amp;"  /  Act: "&amp;Checks!$Y$702)</f>
        <v/>
      </c>
      <c r="F23" s="112" t="str">
        <f aca="false">IF(Checks!$Z$702="","","Evidence: "&amp;Checks!$Z$702)&amp;IF(Checks!$AA$702="","",IF(Checks!$Z$702="","",CHAR(10))&amp;"CA: "&amp;Checks!$AA$702)</f>
        <v/>
      </c>
      <c r="G23" s="112" t="str">
        <f aca="false">IF(ISNUMBER(Checks!$AD$702),TEXT(Checks!$AD$702,"DD-MMM-YY HH:MM")&amp;" "&amp;Checks!$P$702,"")&amp;IF(Checks!$AE$702="","",CHAR(10)&amp;"Verifier: "&amp;Checks!$AE$702)&amp;IF(Checks!$T$702="","",CHAR(10)&amp;"PIC: "&amp;Checks!$T$702)</f>
        <v/>
      </c>
      <c r="H23" s="113" t="str">
        <f aca="false">IF(Checks!$AH$702="","",Checks!$AH$702)</f>
        <v>OPEN</v>
      </c>
    </row>
    <row r="24" customFormat="false" ht="114" hidden="false" customHeight="true" outlineLevel="0" collapsed="false">
      <c r="A24" s="112" t="str">
        <f aca="false">Checks!$A$703&amp;CHAR(10)&amp;IF(Checks!$I$703="","",Checks!$I$703&amp;": ")&amp;Checks!$J$703</f>
        <v>F22-T7-02
Menu: Printed menu cards confirmed (content, cycle, language, quantity)</v>
      </c>
      <c r="B24" s="112" t="str">
        <f aca="false">Checks!$K$703&amp;IF(Checks!$O$703="","",IF(Checks!$K$703="","",CHAR(10))&amp;"Note: "&amp;Checks!$O$703)</f>
        <v>Menu card matches approved menu for this flight</v>
      </c>
      <c r="C24" s="112" t="str">
        <f aca="false">Checks!$N$703&amp;CHAR(10)&amp;IF(ISNUMBER(Checks!$R$703),TEXT(Checks!$R$703,"DD-MMM-YY HH:MM"),"")&amp;" "&amp;Checks!$P$703</f>
        <v>Required
23-Oct-26 23:20 KUL</v>
      </c>
      <c r="D24" s="112" t="str">
        <f aca="false">IF(Checks!$U$703="","",Checks!$U$703)&amp;IF(Checks!$AB$703="","",CHAR(10)&amp;"CA: "&amp;Checks!$AB$703)</f>
        <v/>
      </c>
      <c r="E24" s="112" t="str">
        <f aca="false">IF(Checks!$V$703="","",Checks!$V$703)&amp;IF(Checks!$AC$703="","",IF(Checks!$V$703="","",CHAR(10))&amp;"N/A just.: "&amp;Checks!$AC$703)&amp;IF(Checks!$W$703="","",CHAR(10)&amp;"Batch: "&amp;Checks!$W$703)&amp;IF(AND(Checks!$X$703="",Checks!$Y$703=""),"",CHAR(10)&amp;"Exp: "&amp;Checks!$X$703&amp;"  /  Act: "&amp;Checks!$Y$703)</f>
        <v/>
      </c>
      <c r="F24" s="112" t="str">
        <f aca="false">IF(Checks!$Z$703="","","Evidence: "&amp;Checks!$Z$703)&amp;IF(Checks!$AA$703="","",IF(Checks!$Z$703="","",CHAR(10))&amp;"CA: "&amp;Checks!$AA$703)</f>
        <v/>
      </c>
      <c r="G24" s="112" t="str">
        <f aca="false">IF(ISNUMBER(Checks!$AD$703),TEXT(Checks!$AD$703,"DD-MMM-YY HH:MM")&amp;" "&amp;Checks!$P$703,"")&amp;IF(Checks!$AE$703="","",CHAR(10)&amp;"Verifier: "&amp;Checks!$AE$703)&amp;IF(Checks!$T$703="","",CHAR(10)&amp;"PIC: "&amp;Checks!$T$703)</f>
        <v/>
      </c>
      <c r="H24" s="113" t="str">
        <f aca="false">IF(Checks!$AH$703="","",Checks!$AH$703)</f>
        <v>OPEN</v>
      </c>
    </row>
    <row r="25" customFormat="false" ht="114" hidden="false" customHeight="true" outlineLevel="0" collapsed="false">
      <c r="A25" s="112" t="str">
        <f aca="false">Checks!$A$704&amp;CHAR(10)&amp;IF(Checks!$I$704="","",Checks!$I$704&amp;": ")&amp;Checks!$J$704</f>
        <v>F22-T7-03
IFE: Digital menu in IFE confirmed (A339 only)</v>
      </c>
      <c r="B25" s="112" t="str">
        <f aca="false">Checks!$K$704&amp;IF(Checks!$O$704="","",IF(Checks!$K$704="","",CHAR(10))&amp;"Note: "&amp;Checks!$O$704)</f>
        <v>Applies when fleet = A339
Note: Digital IFE menu applies to A339 only (user brief). Applicability follows the Fleet cell on Flights.</v>
      </c>
      <c r="C25" s="112" t="str">
        <f aca="false">Checks!$N$704&amp;CHAR(10)&amp;IF(ISNUMBER(Checks!$R$704),TEXT(Checks!$R$704,"DD-MMM-YY HH:MM"),"")&amp;" "&amp;Checks!$P$704</f>
        <v>N/A – rule
23-Oct-26 23:20 KUL</v>
      </c>
      <c r="D25" s="112" t="str">
        <f aca="false">IF(Checks!$U$704="","",Checks!$U$704)&amp;IF(Checks!$AB$704="","",CHAR(10)&amp;"CA: "&amp;Checks!$AB$704)</f>
        <v/>
      </c>
      <c r="E25" s="112" t="str">
        <f aca="false">IF(Checks!$V$704="","",Checks!$V$704)&amp;IF(Checks!$AC$704="","",IF(Checks!$V$704="","",CHAR(10))&amp;"N/A just.: "&amp;Checks!$AC$704)&amp;IF(Checks!$W$704="","",CHAR(10)&amp;"Batch: "&amp;Checks!$W$704)&amp;IF(AND(Checks!$X$704="",Checks!$Y$704=""),"",CHAR(10)&amp;"Exp: "&amp;Checks!$X$704&amp;"  /  Act: "&amp;Checks!$Y$704)</f>
        <v/>
      </c>
      <c r="F25" s="112" t="str">
        <f aca="false">IF(Checks!$Z$704="","","Evidence: "&amp;Checks!$Z$704)&amp;IF(Checks!$AA$704="","",IF(Checks!$Z$704="","",CHAR(10))&amp;"CA: "&amp;Checks!$AA$704)</f>
        <v/>
      </c>
      <c r="G25" s="112" t="str">
        <f aca="false">IF(ISNUMBER(Checks!$AD$704),TEXT(Checks!$AD$704,"DD-MMM-YY HH:MM")&amp;" "&amp;Checks!$P$704,"")&amp;IF(Checks!$AE$704="","",CHAR(10)&amp;"Verifier: "&amp;Checks!$AE$704)&amp;IF(Checks!$T$704="","",CHAR(10)&amp;"PIC: "&amp;Checks!$T$704)</f>
        <v/>
      </c>
      <c r="H25" s="113" t="str">
        <f aca="false">IF(Checks!$AH$704="","",Checks!$AH$704)</f>
        <v>N/A – RULE</v>
      </c>
    </row>
    <row r="26" customFormat="false" ht="114" hidden="false" customHeight="true" outlineLevel="0" collapsed="false">
      <c r="A26" s="112" t="str">
        <f aca="false">Checks!$A$705&amp;CHAR(10)&amp;IF(Checks!$I$705="","",Checks!$I$705&amp;": ")&amp;Checks!$J$705</f>
        <v>F22-T7-04
Staffing: Experienced catering officer assigned to this flight</v>
      </c>
      <c r="B26" s="112" t="str">
        <f aca="false">Checks!$K$705&amp;IF(Checks!$O$705="","",IF(Checks!$K$705="","",CHAR(10))&amp;"Note: "&amp;Checks!$O$705)</f>
        <v>Record officer name in Result</v>
      </c>
      <c r="C26" s="112" t="str">
        <f aca="false">Checks!$N$705&amp;CHAR(10)&amp;IF(ISNUMBER(Checks!$R$705),TEXT(Checks!$R$705,"DD-MMM-YY HH:MM"),"")&amp;" "&amp;Checks!$P$705</f>
        <v>Required
23-Oct-26 23:20 KUL</v>
      </c>
      <c r="D26" s="112" t="str">
        <f aca="false">IF(Checks!$U$705="","",Checks!$U$705)&amp;IF(Checks!$AB$705="","",CHAR(10)&amp;"CA: "&amp;Checks!$AB$705)</f>
        <v/>
      </c>
      <c r="E26" s="112" t="str">
        <f aca="false">IF(Checks!$V$705="","",Checks!$V$705)&amp;IF(Checks!$AC$705="","",IF(Checks!$V$705="","",CHAR(10))&amp;"N/A just.: "&amp;Checks!$AC$705)&amp;IF(Checks!$W$705="","",CHAR(10)&amp;"Batch: "&amp;Checks!$W$705)&amp;IF(AND(Checks!$X$705="",Checks!$Y$705=""),"",CHAR(10)&amp;"Exp: "&amp;Checks!$X$705&amp;"  /  Act: "&amp;Checks!$Y$705)</f>
        <v/>
      </c>
      <c r="F26" s="112" t="str">
        <f aca="false">IF(Checks!$Z$705="","","Evidence: "&amp;Checks!$Z$705)&amp;IF(Checks!$AA$705="","",IF(Checks!$Z$705="","",CHAR(10))&amp;"CA: "&amp;Checks!$AA$705)</f>
        <v/>
      </c>
      <c r="G26" s="112" t="str">
        <f aca="false">IF(ISNUMBER(Checks!$AD$705),TEXT(Checks!$AD$705,"DD-MMM-YY HH:MM")&amp;" "&amp;Checks!$P$705,"")&amp;IF(Checks!$AE$705="","",CHAR(10)&amp;"Verifier: "&amp;Checks!$AE$705)&amp;IF(Checks!$T$705="","",CHAR(10)&amp;"PIC: "&amp;Checks!$T$705)</f>
        <v/>
      </c>
      <c r="H26" s="113" t="str">
        <f aca="false">IF(Checks!$AH$705="","",Checks!$AH$705)</f>
        <v>OPEN</v>
      </c>
    </row>
    <row r="27" customFormat="false" ht="114" hidden="false" customHeight="true" outlineLevel="0" collapsed="false">
      <c r="A27" s="112" t="str">
        <f aca="false">Checks!$A$706&amp;CHAR(10)&amp;IF(Checks!$I$706="","",Checks!$I$706&amp;": ")&amp;Checks!$J$706</f>
        <v>F22-T7-05
ISOP: All latest applicable ISOP revisions communicated to caterer</v>
      </c>
      <c r="B27" s="112" t="str">
        <f aca="false">Checks!$K$706&amp;IF(Checks!$O$706="","",IF(Checks!$K$706="","",CHAR(10))&amp;"Note: "&amp;Checks!$O$706)</f>
        <v>List revision numbers in Result (see ISOP register)</v>
      </c>
      <c r="C27" s="112" t="str">
        <f aca="false">Checks!$N$706&amp;CHAR(10)&amp;IF(ISNUMBER(Checks!$R$706),TEXT(Checks!$R$706,"DD-MMM-YY HH:MM"),"")&amp;" "&amp;Checks!$P$706</f>
        <v>Required
23-Oct-26 23:20 KUL</v>
      </c>
      <c r="D27" s="112" t="str">
        <f aca="false">IF(Checks!$U$706="","",Checks!$U$706)&amp;IF(Checks!$AB$706="","",CHAR(10)&amp;"CA: "&amp;Checks!$AB$706)</f>
        <v/>
      </c>
      <c r="E27" s="112" t="str">
        <f aca="false">IF(Checks!$V$706="","",Checks!$V$706)&amp;IF(Checks!$AC$706="","",IF(Checks!$V$706="","",CHAR(10))&amp;"N/A just.: "&amp;Checks!$AC$706)&amp;IF(Checks!$W$706="","",CHAR(10)&amp;"Batch: "&amp;Checks!$W$706)&amp;IF(AND(Checks!$X$706="",Checks!$Y$706=""),"",CHAR(10)&amp;"Exp: "&amp;Checks!$X$706&amp;"  /  Act: "&amp;Checks!$Y$706)</f>
        <v/>
      </c>
      <c r="F27" s="112" t="str">
        <f aca="false">IF(Checks!$Z$706="","","Evidence: "&amp;Checks!$Z$706)&amp;IF(Checks!$AA$706="","",IF(Checks!$Z$706="","",CHAR(10))&amp;"CA: "&amp;Checks!$AA$706)</f>
        <v/>
      </c>
      <c r="G27" s="112" t="str">
        <f aca="false">IF(ISNUMBER(Checks!$AD$706),TEXT(Checks!$AD$706,"DD-MMM-YY HH:MM")&amp;" "&amp;Checks!$P$706,"")&amp;IF(Checks!$AE$706="","",CHAR(10)&amp;"Verifier: "&amp;Checks!$AE$706)&amp;IF(Checks!$T$706="","",CHAR(10)&amp;"PIC: "&amp;Checks!$T$706)</f>
        <v/>
      </c>
      <c r="H27" s="113" t="str">
        <f aca="false">IF(Checks!$AH$706="","",Checks!$AH$706)</f>
        <v>OPEN</v>
      </c>
    </row>
    <row r="28" customFormat="false" ht="114" hidden="false" customHeight="true" outlineLevel="0" collapsed="false">
      <c r="A28" s="112" t="str">
        <f aca="false">Checks!$A$707&amp;CHAR(10)&amp;IF(Checks!$I$707="","",Checks!$I$707&amp;": ")&amp;Checks!$J$707</f>
        <v>F22-T7-06
ISOP: Caterer acknowledgement of ISOP revisions recorded</v>
      </c>
      <c r="B28" s="112" t="str">
        <f aca="false">Checks!$K$707&amp;IF(Checks!$O$707="","",IF(Checks!$K$707="","",CHAR(10))&amp;"Note: "&amp;Checks!$O$707)</f>
        <v>Record acknowledgement ref in Evidence</v>
      </c>
      <c r="C28" s="112" t="str">
        <f aca="false">Checks!$N$707&amp;CHAR(10)&amp;IF(ISNUMBER(Checks!$R$707),TEXT(Checks!$R$707,"DD-MMM-YY HH:MM"),"")&amp;" "&amp;Checks!$P$707</f>
        <v>Required
23-Oct-26 23:20 KUL</v>
      </c>
      <c r="D28" s="112" t="str">
        <f aca="false">IF(Checks!$U$707="","",Checks!$U$707)&amp;IF(Checks!$AB$707="","",CHAR(10)&amp;"CA: "&amp;Checks!$AB$707)</f>
        <v/>
      </c>
      <c r="E28" s="112" t="str">
        <f aca="false">IF(Checks!$V$707="","",Checks!$V$707)&amp;IF(Checks!$AC$707="","",IF(Checks!$V$707="","",CHAR(10))&amp;"N/A just.: "&amp;Checks!$AC$707)&amp;IF(Checks!$W$707="","",CHAR(10)&amp;"Batch: "&amp;Checks!$W$707)&amp;IF(AND(Checks!$X$707="",Checks!$Y$707=""),"",CHAR(10)&amp;"Exp: "&amp;Checks!$X$707&amp;"  /  Act: "&amp;Checks!$Y$707)</f>
        <v/>
      </c>
      <c r="F28" s="112" t="str">
        <f aca="false">IF(Checks!$Z$707="","","Evidence: "&amp;Checks!$Z$707)&amp;IF(Checks!$AA$707="","",IF(Checks!$Z$707="","",CHAR(10))&amp;"CA: "&amp;Checks!$AA$707)</f>
        <v/>
      </c>
      <c r="G28" s="112" t="str">
        <f aca="false">IF(ISNUMBER(Checks!$AD$707),TEXT(Checks!$AD$707,"DD-MMM-YY HH:MM")&amp;" "&amp;Checks!$P$707,"")&amp;IF(Checks!$AE$707="","",CHAR(10)&amp;"Verifier: "&amp;Checks!$AE$707)&amp;IF(Checks!$T$707="","",CHAR(10)&amp;"PIC: "&amp;Checks!$T$707)</f>
        <v/>
      </c>
      <c r="H28" s="113" t="str">
        <f aca="false">IF(Checks!$AH$707="","",Checks!$AH$707)</f>
        <v>OPEN</v>
      </c>
    </row>
    <row r="29" customFormat="false" ht="114" hidden="false" customHeight="true" outlineLevel="0" collapsed="false">
      <c r="A29" s="112" t="str">
        <f aca="false">Checks!$A$708&amp;CHAR(10)&amp;IF(Checks!$I$708="","",Checks!$I$708&amp;": ")&amp;Checks!$J$708</f>
        <v>F22-T7-07
Documents: Galley loading diagram (GLD) received, revision recorded &amp; attached</v>
      </c>
      <c r="B29" s="112" t="str">
        <f aca="false">Checks!$K$708&amp;IF(Checks!$O$708="","",IF(Checks!$K$708="","",CHAR(10))&amp;"Note: "&amp;Checks!$O$708)</f>
        <v>Documents sheet row complete</v>
      </c>
      <c r="C29" s="112" t="str">
        <f aca="false">Checks!$N$708&amp;CHAR(10)&amp;IF(ISNUMBER(Checks!$R$708),TEXT(Checks!$R$708,"DD-MMM-YY HH:MM"),"")&amp;" "&amp;Checks!$P$708</f>
        <v>Required
23-Oct-26 23:20 KUL</v>
      </c>
      <c r="D29" s="112" t="str">
        <f aca="false">IF(Checks!$U$708="","",Checks!$U$708)&amp;IF(Checks!$AB$708="","",CHAR(10)&amp;"CA: "&amp;Checks!$AB$708)</f>
        <v/>
      </c>
      <c r="E29" s="112" t="str">
        <f aca="false">IF(Checks!$V$708="","",Checks!$V$708)&amp;IF(Checks!$AC$708="","",IF(Checks!$V$708="","",CHAR(10))&amp;"N/A just.: "&amp;Checks!$AC$708)&amp;IF(Checks!$W$708="","",CHAR(10)&amp;"Batch: "&amp;Checks!$W$708)&amp;IF(AND(Checks!$X$708="",Checks!$Y$708=""),"",CHAR(10)&amp;"Exp: "&amp;Checks!$X$708&amp;"  /  Act: "&amp;Checks!$Y$708)</f>
        <v/>
      </c>
      <c r="F29" s="112" t="str">
        <f aca="false">IF(Checks!$Z$708="","","Evidence: "&amp;Checks!$Z$708)&amp;IF(Checks!$AA$708="","",IF(Checks!$Z$708="","",CHAR(10))&amp;"CA: "&amp;Checks!$AA$708)</f>
        <v/>
      </c>
      <c r="G29" s="112" t="str">
        <f aca="false">IF(ISNUMBER(Checks!$AD$708),TEXT(Checks!$AD$708,"DD-MMM-YY HH:MM")&amp;" "&amp;Checks!$P$708,"")&amp;IF(Checks!$AE$708="","",CHAR(10)&amp;"Verifier: "&amp;Checks!$AE$708)&amp;IF(Checks!$T$708="","",CHAR(10)&amp;"PIC: "&amp;Checks!$T$708)</f>
        <v/>
      </c>
      <c r="H29" s="113" t="str">
        <f aca="false">IF(Checks!$AH$708="","",Checks!$AH$708)</f>
        <v>OPEN</v>
      </c>
    </row>
    <row r="30" customFormat="false" ht="114" hidden="false" customHeight="true" outlineLevel="0" collapsed="false">
      <c r="A30" s="112" t="str">
        <f aca="false">Checks!$A$709&amp;CHAR(10)&amp;IF(Checks!$I$709="","",Checks!$I$709&amp;": ")&amp;Checks!$J$709</f>
        <v>F22-T7-08
Documents: Menu checklist received, revision recorded &amp; attached</v>
      </c>
      <c r="B30" s="112" t="str">
        <f aca="false">Checks!$K$709&amp;IF(Checks!$O$709="","",IF(Checks!$K$709="","",CHAR(10))&amp;"Note: "&amp;Checks!$O$709)</f>
        <v>Documents sheet row complete</v>
      </c>
      <c r="C30" s="112" t="str">
        <f aca="false">Checks!$N$709&amp;CHAR(10)&amp;IF(ISNUMBER(Checks!$R$709),TEXT(Checks!$R$709,"DD-MMM-YY HH:MM"),"")&amp;" "&amp;Checks!$P$709</f>
        <v>Required
23-Oct-26 23:20 KUL</v>
      </c>
      <c r="D30" s="112" t="str">
        <f aca="false">IF(Checks!$U$709="","",Checks!$U$709)&amp;IF(Checks!$AB$709="","",CHAR(10)&amp;"CA: "&amp;Checks!$AB$709)</f>
        <v/>
      </c>
      <c r="E30" s="112" t="str">
        <f aca="false">IF(Checks!$V$709="","",Checks!$V$709)&amp;IF(Checks!$AC$709="","",IF(Checks!$V$709="","",CHAR(10))&amp;"N/A just.: "&amp;Checks!$AC$709)&amp;IF(Checks!$W$709="","",CHAR(10)&amp;"Batch: "&amp;Checks!$W$709)&amp;IF(AND(Checks!$X$709="",Checks!$Y$709=""),"",CHAR(10)&amp;"Exp: "&amp;Checks!$X$709&amp;"  /  Act: "&amp;Checks!$Y$709)</f>
        <v/>
      </c>
      <c r="F30" s="112" t="str">
        <f aca="false">IF(Checks!$Z$709="","","Evidence: "&amp;Checks!$Z$709)&amp;IF(Checks!$AA$709="","",IF(Checks!$Z$709="","",CHAR(10))&amp;"CA: "&amp;Checks!$AA$709)</f>
        <v/>
      </c>
      <c r="G30" s="112" t="str">
        <f aca="false">IF(ISNUMBER(Checks!$AD$709),TEXT(Checks!$AD$709,"DD-MMM-YY HH:MM")&amp;" "&amp;Checks!$P$709,"")&amp;IF(Checks!$AE$709="","",CHAR(10)&amp;"Verifier: "&amp;Checks!$AE$709)&amp;IF(Checks!$T$709="","",CHAR(10)&amp;"PIC: "&amp;Checks!$T$709)</f>
        <v/>
      </c>
      <c r="H30" s="113" t="str">
        <f aca="false">IF(Checks!$AH$709="","",Checks!$AH$709)</f>
        <v>OPEN</v>
      </c>
    </row>
    <row r="31" customFormat="false" ht="114" hidden="false" customHeight="true" outlineLevel="0" collapsed="false">
      <c r="A31" s="112" t="str">
        <f aca="false">Checks!$A$710&amp;CHAR(10)&amp;IF(Checks!$I$710="","",Checks!$I$710&amp;": ")&amp;Checks!$J$710</f>
        <v>F22-T7-09
Uplift plan: Uplift plan confirmed with caterer vs STD Uplift Information</v>
      </c>
      <c r="B31" s="112" t="str">
        <f aca="false">Checks!$K$710&amp;IF(Checks!$O$710="","",IF(Checks!$K$710="","",CHAR(10))&amp;"Note: "&amp;Checks!$O$710)</f>
        <v>Service: 2.5 Meal (Meal); meal uplift stn KUL (ref lists KUL/LHR)</v>
      </c>
      <c r="C31" s="112" t="str">
        <f aca="false">Checks!$N$710&amp;CHAR(10)&amp;IF(ISNUMBER(Checks!$R$710),TEXT(Checks!$R$710,"DD-MMM-YY HH:MM"),"")&amp;" "&amp;Checks!$P$710</f>
        <v>Required
23-Oct-26 23:20 KUL</v>
      </c>
      <c r="D31" s="112" t="str">
        <f aca="false">IF(Checks!$U$710="","",Checks!$U$710)&amp;IF(Checks!$AB$710="","",CHAR(10)&amp;"CA: "&amp;Checks!$AB$710)</f>
        <v/>
      </c>
      <c r="E31" s="112" t="str">
        <f aca="false">IF(Checks!$V$710="","",Checks!$V$710)&amp;IF(Checks!$AC$710="","",IF(Checks!$V$710="","",CHAR(10))&amp;"N/A just.: "&amp;Checks!$AC$710)&amp;IF(Checks!$W$710="","",CHAR(10)&amp;"Batch: "&amp;Checks!$W$710)&amp;IF(AND(Checks!$X$710="",Checks!$Y$710=""),"",CHAR(10)&amp;"Exp: "&amp;Checks!$X$710&amp;"  /  Act: "&amp;Checks!$Y$710)</f>
        <v/>
      </c>
      <c r="F31" s="112" t="str">
        <f aca="false">IF(Checks!$Z$710="","","Evidence: "&amp;Checks!$Z$710)&amp;IF(Checks!$AA$710="","",IF(Checks!$Z$710="","",CHAR(10))&amp;"CA: "&amp;Checks!$AA$710)</f>
        <v/>
      </c>
      <c r="G31" s="112" t="str">
        <f aca="false">IF(ISNUMBER(Checks!$AD$710),TEXT(Checks!$AD$710,"DD-MMM-YY HH:MM")&amp;" "&amp;Checks!$P$710,"")&amp;IF(Checks!$AE$710="","",CHAR(10)&amp;"Verifier: "&amp;Checks!$AE$710)&amp;IF(Checks!$T$710="","",CHAR(10)&amp;"PIC: "&amp;Checks!$T$710)</f>
        <v/>
      </c>
      <c r="H31" s="113" t="str">
        <f aca="false">IF(Checks!$AH$710="","",Checks!$AH$710)</f>
        <v>OPEN</v>
      </c>
    </row>
    <row r="32" customFormat="false" ht="25.5" hidden="false" customHeight="true" outlineLevel="0" collapsed="false">
      <c r="A32" s="111"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1"/>
      <c r="C32" s="111"/>
      <c r="D32" s="111"/>
      <c r="E32" s="111"/>
      <c r="F32" s="111"/>
      <c r="G32" s="111"/>
      <c r="H32" s="111"/>
    </row>
    <row r="33" customFormat="false" ht="114" hidden="false" customHeight="true" outlineLevel="0" collapsed="false">
      <c r="A33" s="112" t="str">
        <f aca="false">Checks!$A$711&amp;CHAR(10)&amp;IF(Checks!$I$711="","",Checks!$I$711&amp;": ")&amp;Checks!$J$711</f>
        <v>F22-T24-01
Meal: Sensory test repeated on ACTUAL production batch for this flight</v>
      </c>
      <c r="B33" s="112" t="str">
        <f aca="false">Checks!$K$711&amp;IF(Checks!$O$711="","",IF(Checks!$K$711="","",CHAR(10))&amp;"Note: "&amp;Checks!$O$711)</f>
        <v>Batch ID, result, CA and acceptance mandatory</v>
      </c>
      <c r="C33" s="112" t="str">
        <f aca="false">Checks!$N$711&amp;CHAR(10)&amp;IF(ISNUMBER(Checks!$R$711),TEXT(Checks!$R$711,"DD-MMM-YY HH:MM"),"")&amp;" "&amp;Checks!$P$711</f>
        <v>Required
29-Oct-26 23:20 KUL</v>
      </c>
      <c r="D33" s="112" t="str">
        <f aca="false">IF(Checks!$U$711="","",Checks!$U$711)&amp;IF(Checks!$AB$711="","",CHAR(10)&amp;"CA: "&amp;Checks!$AB$711)</f>
        <v/>
      </c>
      <c r="E33" s="112" t="str">
        <f aca="false">IF(Checks!$V$711="","",Checks!$V$711)&amp;IF(Checks!$AC$711="","",IF(Checks!$V$711="","",CHAR(10))&amp;"N/A just.: "&amp;Checks!$AC$711)&amp;IF(Checks!$W$711="","",CHAR(10)&amp;"Batch: "&amp;Checks!$W$711)&amp;IF(AND(Checks!$X$711="",Checks!$Y$711=""),"",CHAR(10)&amp;"Exp: "&amp;Checks!$X$711&amp;"  /  Act: "&amp;Checks!$Y$711)</f>
        <v/>
      </c>
      <c r="F33" s="112" t="str">
        <f aca="false">IF(Checks!$Z$711="","","Evidence: "&amp;Checks!$Z$711)&amp;IF(Checks!$AA$711="","",IF(Checks!$Z$711="","",CHAR(10))&amp;"CA: "&amp;Checks!$AA$711)</f>
        <v/>
      </c>
      <c r="G33" s="112" t="str">
        <f aca="false">IF(ISNUMBER(Checks!$AD$711),TEXT(Checks!$AD$711,"DD-MMM-YY HH:MM")&amp;" "&amp;Checks!$P$711,"")&amp;IF(Checks!$AE$711="","",CHAR(10)&amp;"Verifier: "&amp;Checks!$AE$711)&amp;IF(Checks!$T$711="","",CHAR(10)&amp;"PIC: "&amp;Checks!$T$711)</f>
        <v/>
      </c>
      <c r="H33" s="113" t="str">
        <f aca="false">IF(Checks!$AH$711="","",Checks!$AH$711)</f>
        <v>OPEN</v>
      </c>
    </row>
    <row r="34" customFormat="false" ht="25.5" hidden="false" customHeight="true" outlineLevel="0" collapsed="false">
      <c r="A34" s="111"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1"/>
      <c r="C34" s="111"/>
      <c r="D34" s="111"/>
      <c r="E34" s="111"/>
      <c r="F34" s="111"/>
      <c r="G34" s="111"/>
      <c r="H34" s="111"/>
    </row>
    <row r="35" customFormat="false" ht="114" hidden="false" customHeight="true" outlineLevel="0" collapsed="false">
      <c r="A35" s="112" t="str">
        <f aca="false">Checks!$A$712&amp;CHAR(10)&amp;IF(Checks!$I$712="","",Checks!$I$712&amp;": ")&amp;Checks!$J$712</f>
        <v>F22-T12-01
Meal: Meal quality vs menu checklist</v>
      </c>
      <c r="B35" s="112" t="str">
        <f aca="false">Checks!$K$712&amp;IF(Checks!$O$712="","",IF(Checks!$K$712="","",CHAR(10))&amp;"Note: "&amp;Checks!$O$712)</f>
        <v>Note: Preparation check at caterer - does NOT confirm loading.</v>
      </c>
      <c r="C35" s="112" t="str">
        <f aca="false">Checks!$N$712&amp;CHAR(10)&amp;IF(ISNUMBER(Checks!$R$712),TEXT(Checks!$R$712,"DD-MMM-YY HH:MM"),"")&amp;" "&amp;Checks!$P$712</f>
        <v>Required
30-Oct-26 11:20 KUL</v>
      </c>
      <c r="D35" s="112" t="str">
        <f aca="false">IF(Checks!$U$712="","",Checks!$U$712)&amp;IF(Checks!$AB$712="","",CHAR(10)&amp;"CA: "&amp;Checks!$AB$712)</f>
        <v/>
      </c>
      <c r="E35" s="112" t="str">
        <f aca="false">IF(Checks!$V$712="","",Checks!$V$712)&amp;IF(Checks!$AC$712="","",IF(Checks!$V$712="","",CHAR(10))&amp;"N/A just.: "&amp;Checks!$AC$712)&amp;IF(Checks!$W$712="","",CHAR(10)&amp;"Batch: "&amp;Checks!$W$712)&amp;IF(AND(Checks!$X$712="",Checks!$Y$712=""),"",CHAR(10)&amp;"Exp: "&amp;Checks!$X$712&amp;"  /  Act: "&amp;Checks!$Y$712)</f>
        <v/>
      </c>
      <c r="F35" s="112" t="str">
        <f aca="false">IF(Checks!$Z$712="","","Evidence: "&amp;Checks!$Z$712)&amp;IF(Checks!$AA$712="","",IF(Checks!$Z$712="","",CHAR(10))&amp;"CA: "&amp;Checks!$AA$712)</f>
        <v/>
      </c>
      <c r="G35" s="112" t="str">
        <f aca="false">IF(ISNUMBER(Checks!$AD$712),TEXT(Checks!$AD$712,"DD-MMM-YY HH:MM")&amp;" "&amp;Checks!$P$712,"")&amp;IF(Checks!$AE$712="","",CHAR(10)&amp;"Verifier: "&amp;Checks!$AE$712)&amp;IF(Checks!$T$712="","",CHAR(10)&amp;"PIC: "&amp;Checks!$T$712)</f>
        <v/>
      </c>
      <c r="H35" s="113" t="str">
        <f aca="false">IF(Checks!$AH$712="","",Checks!$AH$712)</f>
        <v>OPEN</v>
      </c>
    </row>
    <row r="36" customFormat="false" ht="114" hidden="false" customHeight="true" outlineLevel="0" collapsed="false">
      <c r="A36" s="112" t="str">
        <f aca="false">Checks!$A$713&amp;CHAR(10)&amp;IF(Checks!$I$713="","",Checks!$I$713&amp;": ")&amp;Checks!$J$713</f>
        <v>F22-T12-02
Meal: Meal quantities vs menu checklist</v>
      </c>
      <c r="B36" s="112" t="str">
        <f aca="false">Checks!$K$713&amp;IF(Checks!$O$713="","",IF(Checks!$K$713="","",CHAR(10))&amp;"Note: "&amp;Checks!$O$713)</f>
        <v>Enter expected &amp; actual
Note: Preparation check at caterer - does NOT confirm loading.</v>
      </c>
      <c r="C36" s="112" t="str">
        <f aca="false">Checks!$N$713&amp;CHAR(10)&amp;IF(ISNUMBER(Checks!$R$713),TEXT(Checks!$R$713,"DD-MMM-YY HH:MM"),"")&amp;" "&amp;Checks!$P$713</f>
        <v>Required
30-Oct-26 11:20 KUL</v>
      </c>
      <c r="D36" s="112" t="str">
        <f aca="false">IF(Checks!$U$713="","",Checks!$U$713)&amp;IF(Checks!$AB$713="","",CHAR(10)&amp;"CA: "&amp;Checks!$AB$713)</f>
        <v/>
      </c>
      <c r="E36" s="112" t="str">
        <f aca="false">IF(Checks!$V$713="","",Checks!$V$713)&amp;IF(Checks!$AC$713="","",IF(Checks!$V$713="","",CHAR(10))&amp;"N/A just.: "&amp;Checks!$AC$713)&amp;IF(Checks!$W$713="","",CHAR(10)&amp;"Batch: "&amp;Checks!$W$713)&amp;IF(AND(Checks!$X$713="",Checks!$Y$713=""),"",CHAR(10)&amp;"Exp: "&amp;Checks!$X$713&amp;"  /  Act: "&amp;Checks!$Y$713)</f>
        <v/>
      </c>
      <c r="F36" s="112" t="str">
        <f aca="false">IF(Checks!$Z$713="","","Evidence: "&amp;Checks!$Z$713)&amp;IF(Checks!$AA$713="","",IF(Checks!$Z$713="","",CHAR(10))&amp;"CA: "&amp;Checks!$AA$713)</f>
        <v/>
      </c>
      <c r="G36" s="112" t="str">
        <f aca="false">IF(ISNUMBER(Checks!$AD$713),TEXT(Checks!$AD$713,"DD-MMM-YY HH:MM")&amp;" "&amp;Checks!$P$713,"")&amp;IF(Checks!$AE$713="","",CHAR(10)&amp;"Verifier: "&amp;Checks!$AE$713)&amp;IF(Checks!$T$713="","",CHAR(10)&amp;"PIC: "&amp;Checks!$T$713)</f>
        <v/>
      </c>
      <c r="H36" s="113" t="str">
        <f aca="false">IF(Checks!$AH$713="","",Checks!$AH$713)</f>
        <v>OPEN</v>
      </c>
    </row>
    <row r="37" customFormat="false" ht="114" hidden="false" customHeight="true" outlineLevel="0" collapsed="false">
      <c r="A37" s="112" t="str">
        <f aca="false">Checks!$A$714&amp;CHAR(10)&amp;IF(Checks!$I$714="","",Checks!$I$714&amp;": ")&amp;Checks!$J$714</f>
        <v>F22-T12-03
Equipment: Equipment cleanliness vs GLD</v>
      </c>
      <c r="B37" s="112" t="str">
        <f aca="false">Checks!$K$714&amp;IF(Checks!$O$714="","",IF(Checks!$K$714="","",CHAR(10))&amp;"Note: "&amp;Checks!$O$714)</f>
        <v>Note: Preparation check at caterer - does NOT confirm loading.</v>
      </c>
      <c r="C37" s="112" t="str">
        <f aca="false">Checks!$N$714&amp;CHAR(10)&amp;IF(ISNUMBER(Checks!$R$714),TEXT(Checks!$R$714,"DD-MMM-YY HH:MM"),"")&amp;" "&amp;Checks!$P$714</f>
        <v>Required
30-Oct-26 11:20 KUL</v>
      </c>
      <c r="D37" s="112" t="str">
        <f aca="false">IF(Checks!$U$714="","",Checks!$U$714)&amp;IF(Checks!$AB$714="","",CHAR(10)&amp;"CA: "&amp;Checks!$AB$714)</f>
        <v/>
      </c>
      <c r="E37" s="112" t="str">
        <f aca="false">IF(Checks!$V$714="","",Checks!$V$714)&amp;IF(Checks!$AC$714="","",IF(Checks!$V$714="","",CHAR(10))&amp;"N/A just.: "&amp;Checks!$AC$714)&amp;IF(Checks!$W$714="","",CHAR(10)&amp;"Batch: "&amp;Checks!$W$714)&amp;IF(AND(Checks!$X$714="",Checks!$Y$714=""),"",CHAR(10)&amp;"Exp: "&amp;Checks!$X$714&amp;"  /  Act: "&amp;Checks!$Y$714)</f>
        <v/>
      </c>
      <c r="F37" s="112" t="str">
        <f aca="false">IF(Checks!$Z$714="","","Evidence: "&amp;Checks!$Z$714)&amp;IF(Checks!$AA$714="","",IF(Checks!$Z$714="","",CHAR(10))&amp;"CA: "&amp;Checks!$AA$714)</f>
        <v/>
      </c>
      <c r="G37" s="112" t="str">
        <f aca="false">IF(ISNUMBER(Checks!$AD$714),TEXT(Checks!$AD$714,"DD-MMM-YY HH:MM")&amp;" "&amp;Checks!$P$714,"")&amp;IF(Checks!$AE$714="","",CHAR(10)&amp;"Verifier: "&amp;Checks!$AE$714)&amp;IF(Checks!$T$714="","",CHAR(10)&amp;"PIC: "&amp;Checks!$T$714)</f>
        <v/>
      </c>
      <c r="H37" s="113" t="str">
        <f aca="false">IF(Checks!$AH$714="","",Checks!$AH$714)</f>
        <v>OPEN</v>
      </c>
    </row>
    <row r="38" customFormat="false" ht="114" hidden="false" customHeight="true" outlineLevel="0" collapsed="false">
      <c r="A38" s="112" t="str">
        <f aca="false">Checks!$A$715&amp;CHAR(10)&amp;IF(Checks!$I$715="","",Checks!$I$715&amp;": ")&amp;Checks!$J$715</f>
        <v>F22-T12-04
Equipment: Equipment presentation vs GLD</v>
      </c>
      <c r="B38" s="112" t="str">
        <f aca="false">Checks!$K$715&amp;IF(Checks!$O$715="","",IF(Checks!$K$715="","",CHAR(10))&amp;"Note: "&amp;Checks!$O$715)</f>
        <v>Note: Preparation check at caterer - does NOT confirm loading.</v>
      </c>
      <c r="C38" s="112" t="str">
        <f aca="false">Checks!$N$715&amp;CHAR(10)&amp;IF(ISNUMBER(Checks!$R$715),TEXT(Checks!$R$715,"DD-MMM-YY HH:MM"),"")&amp;" "&amp;Checks!$P$715</f>
        <v>Required
30-Oct-26 11:20 KUL</v>
      </c>
      <c r="D38" s="112" t="str">
        <f aca="false">IF(Checks!$U$715="","",Checks!$U$715)&amp;IF(Checks!$AB$715="","",CHAR(10)&amp;"CA: "&amp;Checks!$AB$715)</f>
        <v/>
      </c>
      <c r="E38" s="112" t="str">
        <f aca="false">IF(Checks!$V$715="","",Checks!$V$715)&amp;IF(Checks!$AC$715="","",IF(Checks!$V$715="","",CHAR(10))&amp;"N/A just.: "&amp;Checks!$AC$715)&amp;IF(Checks!$W$715="","",CHAR(10)&amp;"Batch: "&amp;Checks!$W$715)&amp;IF(AND(Checks!$X$715="",Checks!$Y$715=""),"",CHAR(10)&amp;"Exp: "&amp;Checks!$X$715&amp;"  /  Act: "&amp;Checks!$Y$715)</f>
        <v/>
      </c>
      <c r="F38" s="112" t="str">
        <f aca="false">IF(Checks!$Z$715="","","Evidence: "&amp;Checks!$Z$715)&amp;IF(Checks!$AA$715="","",IF(Checks!$Z$715="","",CHAR(10))&amp;"CA: "&amp;Checks!$AA$715)</f>
        <v/>
      </c>
      <c r="G38" s="112" t="str">
        <f aca="false">IF(ISNUMBER(Checks!$AD$715),TEXT(Checks!$AD$715,"DD-MMM-YY HH:MM")&amp;" "&amp;Checks!$P$715,"")&amp;IF(Checks!$AE$715="","",CHAR(10)&amp;"Verifier: "&amp;Checks!$AE$715)&amp;IF(Checks!$T$715="","",CHAR(10)&amp;"PIC: "&amp;Checks!$T$715)</f>
        <v/>
      </c>
      <c r="H38" s="113" t="str">
        <f aca="false">IF(Checks!$AH$715="","",Checks!$AH$715)</f>
        <v>OPEN</v>
      </c>
    </row>
    <row r="39" customFormat="false" ht="114" hidden="false" customHeight="true" outlineLevel="0" collapsed="false">
      <c r="A39" s="112" t="str">
        <f aca="false">Checks!$A$716&amp;CHAR(10)&amp;IF(Checks!$I$716="","",Checks!$I$716&amp;": ")&amp;Checks!$J$716</f>
        <v>F22-T12-05
Equipment: Equipment serviceability vs GLD</v>
      </c>
      <c r="B39" s="112" t="str">
        <f aca="false">Checks!$K$716&amp;IF(Checks!$O$716="","",IF(Checks!$K$716="","",CHAR(10))&amp;"Note: "&amp;Checks!$O$716)</f>
        <v>Note: Preparation check at caterer - does NOT confirm loading.</v>
      </c>
      <c r="C39" s="112" t="str">
        <f aca="false">Checks!$N$716&amp;CHAR(10)&amp;IF(ISNUMBER(Checks!$R$716),TEXT(Checks!$R$716,"DD-MMM-YY HH:MM"),"")&amp;" "&amp;Checks!$P$716</f>
        <v>Required
30-Oct-26 11:20 KUL</v>
      </c>
      <c r="D39" s="112" t="str">
        <f aca="false">IF(Checks!$U$716="","",Checks!$U$716)&amp;IF(Checks!$AB$716="","",CHAR(10)&amp;"CA: "&amp;Checks!$AB$716)</f>
        <v/>
      </c>
      <c r="E39" s="112" t="str">
        <f aca="false">IF(Checks!$V$716="","",Checks!$V$716)&amp;IF(Checks!$AC$716="","",IF(Checks!$V$716="","",CHAR(10))&amp;"N/A just.: "&amp;Checks!$AC$716)&amp;IF(Checks!$W$716="","",CHAR(10)&amp;"Batch: "&amp;Checks!$W$716)&amp;IF(AND(Checks!$X$716="",Checks!$Y$716=""),"",CHAR(10)&amp;"Exp: "&amp;Checks!$X$716&amp;"  /  Act: "&amp;Checks!$Y$716)</f>
        <v/>
      </c>
      <c r="F39" s="112" t="str">
        <f aca="false">IF(Checks!$Z$716="","","Evidence: "&amp;Checks!$Z$716)&amp;IF(Checks!$AA$716="","",IF(Checks!$Z$716="","",CHAR(10))&amp;"CA: "&amp;Checks!$AA$716)</f>
        <v/>
      </c>
      <c r="G39" s="112" t="str">
        <f aca="false">IF(ISNUMBER(Checks!$AD$716),TEXT(Checks!$AD$716,"DD-MMM-YY HH:MM")&amp;" "&amp;Checks!$P$716,"")&amp;IF(Checks!$AE$716="","",CHAR(10)&amp;"Verifier: "&amp;Checks!$AE$716)&amp;IF(Checks!$T$716="","",CHAR(10)&amp;"PIC: "&amp;Checks!$T$716)</f>
        <v/>
      </c>
      <c r="H39" s="113" t="str">
        <f aca="false">IF(Checks!$AH$716="","",Checks!$AH$716)</f>
        <v>OPEN</v>
      </c>
    </row>
    <row r="40" customFormat="false" ht="322.5" hidden="false" customHeight="true" outlineLevel="0" collapsed="false">
      <c r="A40" s="112" t="str">
        <f aca="false">Checks!$A$717&amp;CHAR(10)&amp;IF(Checks!$I$717="","",Checks!$I$717&amp;": ")&amp;Checks!$J$717</f>
        <v>F22-T12-06
Equipment: Equipment quantities vs GLD</v>
      </c>
      <c r="B40" s="112"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2" t="str">
        <f aca="false">Checks!$N$717&amp;CHAR(10)&amp;IF(ISNUMBER(Checks!$R$717),TEXT(Checks!$R$717,"DD-MMM-YY HH:MM"),"")&amp;" "&amp;Checks!$P$717</f>
        <v>Required
30-Oct-26 11:20 KUL</v>
      </c>
      <c r="D40" s="112" t="str">
        <f aca="false">IF(Checks!$U$717="","",Checks!$U$717)&amp;IF(Checks!$AB$717="","",CHAR(10)&amp;"CA: "&amp;Checks!$AB$717)</f>
        <v/>
      </c>
      <c r="E40" s="112" t="str">
        <f aca="false">IF(Checks!$V$717="","",Checks!$V$717)&amp;IF(Checks!$AC$717="","",IF(Checks!$V$717="","",CHAR(10))&amp;"N/A just.: "&amp;Checks!$AC$717)&amp;IF(Checks!$W$717="","",CHAR(10)&amp;"Batch: "&amp;Checks!$W$717)&amp;IF(AND(Checks!$X$717="",Checks!$Y$717=""),"",CHAR(10)&amp;"Exp: "&amp;Checks!$X$717&amp;"  /  Act: "&amp;Checks!$Y$717)</f>
        <v/>
      </c>
      <c r="F40" s="112" t="str">
        <f aca="false">IF(Checks!$Z$717="","","Evidence: "&amp;Checks!$Z$717)&amp;IF(Checks!$AA$717="","",IF(Checks!$Z$717="","",CHAR(10))&amp;"CA: "&amp;Checks!$AA$717)</f>
        <v/>
      </c>
      <c r="G40" s="112" t="str">
        <f aca="false">IF(ISNUMBER(Checks!$AD$717),TEXT(Checks!$AD$717,"DD-MMM-YY HH:MM")&amp;" "&amp;Checks!$P$717,"")&amp;IF(Checks!$AE$717="","",CHAR(10)&amp;"Verifier: "&amp;Checks!$AE$717)&amp;IF(Checks!$T$717="","",CHAR(10)&amp;"PIC: "&amp;Checks!$T$717)</f>
        <v/>
      </c>
      <c r="H40" s="113" t="str">
        <f aca="false">IF(Checks!$AH$717="","",Checks!$AH$717)</f>
        <v>OPEN</v>
      </c>
    </row>
    <row r="41" customFormat="false" ht="114" hidden="false" customHeight="true" outlineLevel="0" collapsed="false">
      <c r="A41" s="112" t="str">
        <f aca="false">Checks!$A$718&amp;CHAR(10)&amp;IF(Checks!$I$718="","",Checks!$I$718&amp;": ")&amp;Checks!$J$718</f>
        <v>F22-T12-07
Equipment: Loading positions planned vs GLD</v>
      </c>
      <c r="B41" s="112" t="str">
        <f aca="false">Checks!$K$718&amp;IF(Checks!$O$718="","",IF(Checks!$K$718="","",CHAR(10))&amp;"Note: "&amp;Checks!$O$718)</f>
        <v>Note: Preparation check at caterer - does NOT confirm loading.</v>
      </c>
      <c r="C41" s="112" t="str">
        <f aca="false">Checks!$N$718&amp;CHAR(10)&amp;IF(ISNUMBER(Checks!$R$718),TEXT(Checks!$R$718,"DD-MMM-YY HH:MM"),"")&amp;" "&amp;Checks!$P$718</f>
        <v>Required
30-Oct-26 11:20 KUL</v>
      </c>
      <c r="D41" s="112" t="str">
        <f aca="false">IF(Checks!$U$718="","",Checks!$U$718)&amp;IF(Checks!$AB$718="","",CHAR(10)&amp;"CA: "&amp;Checks!$AB$718)</f>
        <v/>
      </c>
      <c r="E41" s="112" t="str">
        <f aca="false">IF(Checks!$V$718="","",Checks!$V$718)&amp;IF(Checks!$AC$718="","",IF(Checks!$V$718="","",CHAR(10))&amp;"N/A just.: "&amp;Checks!$AC$718)&amp;IF(Checks!$W$718="","",CHAR(10)&amp;"Batch: "&amp;Checks!$W$718)&amp;IF(AND(Checks!$X$718="",Checks!$Y$718=""),"",CHAR(10)&amp;"Exp: "&amp;Checks!$X$718&amp;"  /  Act: "&amp;Checks!$Y$718)</f>
        <v/>
      </c>
      <c r="F41" s="112" t="str">
        <f aca="false">IF(Checks!$Z$718="","","Evidence: "&amp;Checks!$Z$718)&amp;IF(Checks!$AA$718="","",IF(Checks!$Z$718="","",CHAR(10))&amp;"CA: "&amp;Checks!$AA$718)</f>
        <v/>
      </c>
      <c r="G41" s="112" t="str">
        <f aca="false">IF(ISNUMBER(Checks!$AD$718),TEXT(Checks!$AD$718,"DD-MMM-YY HH:MM")&amp;" "&amp;Checks!$P$718,"")&amp;IF(Checks!$AE$718="","",CHAR(10)&amp;"Verifier: "&amp;Checks!$AE$718)&amp;IF(Checks!$T$718="","",CHAR(10)&amp;"PIC: "&amp;Checks!$T$718)</f>
        <v/>
      </c>
      <c r="H41" s="113" t="str">
        <f aca="false">IF(Checks!$AH$718="","",Checks!$AH$718)</f>
        <v>OPEN</v>
      </c>
    </row>
    <row r="42" customFormat="false" ht="213" hidden="false" customHeight="true" outlineLevel="0" collapsed="false">
      <c r="A42" s="112" t="str">
        <f aca="false">Checks!$A$719&amp;CHAR(10)&amp;IF(Checks!$I$719="","",Checks!$I$719&amp;": ")&amp;Checks!$J$719</f>
        <v>F22-T12-08
Amenities: Toiletry kits - prepared</v>
      </c>
      <c r="B42" s="112"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2" t="str">
        <f aca="false">Checks!$N$719&amp;CHAR(10)&amp;IF(ISNUMBER(Checks!$R$719),TEXT(Checks!$R$719,"DD-MMM-YY HH:MM"),"")&amp;" "&amp;Checks!$P$719</f>
        <v>Clarification required
30-Oct-26 11:20 KUL</v>
      </c>
      <c r="D42" s="112" t="str">
        <f aca="false">IF(Checks!$U$719="","",Checks!$U$719)&amp;IF(Checks!$AB$719="","",CHAR(10)&amp;"CA: "&amp;Checks!$AB$719)</f>
        <v/>
      </c>
      <c r="E42" s="112" t="str">
        <f aca="false">IF(Checks!$V$719="","",Checks!$V$719)&amp;IF(Checks!$AC$719="","",IF(Checks!$V$719="","",CHAR(10))&amp;"N/A just.: "&amp;Checks!$AC$719)&amp;IF(Checks!$W$719="","",CHAR(10)&amp;"Batch: "&amp;Checks!$W$719)&amp;IF(AND(Checks!$X$719="",Checks!$Y$719=""),"",CHAR(10)&amp;"Exp: "&amp;Checks!$X$719&amp;"  /  Act: "&amp;Checks!$Y$719)</f>
        <v/>
      </c>
      <c r="F42" s="112" t="str">
        <f aca="false">IF(Checks!$Z$719="","","Evidence: "&amp;Checks!$Z$719)&amp;IF(Checks!$AA$719="","",IF(Checks!$Z$719="","",CHAR(10))&amp;"CA: "&amp;Checks!$AA$719)</f>
        <v/>
      </c>
      <c r="G42" s="112" t="str">
        <f aca="false">IF(ISNUMBER(Checks!$AD$719),TEXT(Checks!$AD$719,"DD-MMM-YY HH:MM")&amp;" "&amp;Checks!$P$719,"")&amp;IF(Checks!$AE$719="","",CHAR(10)&amp;"Verifier: "&amp;Checks!$AE$719)&amp;IF(Checks!$T$719="","",CHAR(10)&amp;"PIC: "&amp;Checks!$T$719)</f>
        <v/>
      </c>
      <c r="H42" s="113" t="str">
        <f aca="false">IF(Checks!$AH$719="","",Checks!$AH$719)</f>
        <v>OPEN – CLARIFICATION</v>
      </c>
    </row>
    <row r="43" customFormat="false" ht="114" hidden="false" customHeight="true" outlineLevel="0" collapsed="false">
      <c r="A43" s="112" t="str">
        <f aca="false">Checks!$A$720&amp;CHAR(10)&amp;IF(Checks!$I$720="","",Checks!$I$720&amp;": ")&amp;Checks!$J$720</f>
        <v>F22-T12-09
Amenities: Pajamas (BC) - prepared</v>
      </c>
      <c r="B43" s="112" t="str">
        <f aca="false">Checks!$K$720&amp;IF(Checks!$O$720="","",IF(Checks!$K$720="","",CHAR(10))&amp;"Note: "&amp;Checks!$O$720)</f>
        <v>Available - BC red-eye only
Note: Red-eye departure 2320 local.</v>
      </c>
      <c r="C43" s="112" t="str">
        <f aca="false">Checks!$N$720&amp;CHAR(10)&amp;IF(ISNUMBER(Checks!$R$720),TEXT(Checks!$R$720,"DD-MMM-YY HH:MM"),"")&amp;" "&amp;Checks!$P$720</f>
        <v>Required
30-Oct-26 11:20 KUL</v>
      </c>
      <c r="D43" s="112" t="str">
        <f aca="false">IF(Checks!$U$720="","",Checks!$U$720)&amp;IF(Checks!$AB$720="","",CHAR(10)&amp;"CA: "&amp;Checks!$AB$720)</f>
        <v/>
      </c>
      <c r="E43" s="112" t="str">
        <f aca="false">IF(Checks!$V$720="","",Checks!$V$720)&amp;IF(Checks!$AC$720="","",IF(Checks!$V$720="","",CHAR(10))&amp;"N/A just.: "&amp;Checks!$AC$720)&amp;IF(Checks!$W$720="","",CHAR(10)&amp;"Batch: "&amp;Checks!$W$720)&amp;IF(AND(Checks!$X$720="",Checks!$Y$720=""),"",CHAR(10)&amp;"Exp: "&amp;Checks!$X$720&amp;"  /  Act: "&amp;Checks!$Y$720)</f>
        <v/>
      </c>
      <c r="F43" s="112" t="str">
        <f aca="false">IF(Checks!$Z$720="","","Evidence: "&amp;Checks!$Z$720)&amp;IF(Checks!$AA$720="","",IF(Checks!$Z$720="","",CHAR(10))&amp;"CA: "&amp;Checks!$AA$720)</f>
        <v/>
      </c>
      <c r="G43" s="112" t="str">
        <f aca="false">IF(ISNUMBER(Checks!$AD$720),TEXT(Checks!$AD$720,"DD-MMM-YY HH:MM")&amp;" "&amp;Checks!$P$720,"")&amp;IF(Checks!$AE$720="","",CHAR(10)&amp;"Verifier: "&amp;Checks!$AE$720)&amp;IF(Checks!$T$720="","",CHAR(10)&amp;"PIC: "&amp;Checks!$T$720)</f>
        <v/>
      </c>
      <c r="H43" s="113" t="str">
        <f aca="false">IF(Checks!$AH$720="","",Checks!$AH$720)</f>
        <v>OPEN</v>
      </c>
    </row>
    <row r="44" customFormat="false" ht="114" hidden="false" customHeight="true" outlineLevel="0" collapsed="false">
      <c r="A44" s="112" t="str">
        <f aca="false">Checks!$A$721&amp;CHAR(10)&amp;IF(Checks!$I$721="","",Checks!$I$721&amp;": ")&amp;Checks!$J$721</f>
        <v>F22-T12-10
Amenities: Slippers (BS/BC) - prepared</v>
      </c>
      <c r="B44" s="112" t="str">
        <f aca="false">Checks!$K$721&amp;IF(Checks!$O$721="","",IF(Checks!$K$721="","",CHAR(10))&amp;"Note: "&amp;Checks!$O$721)</f>
        <v>Available (ticked in reference)</v>
      </c>
      <c r="C44" s="112" t="str">
        <f aca="false">Checks!$N$721&amp;CHAR(10)&amp;IF(ISNUMBER(Checks!$R$721),TEXT(Checks!$R$721,"DD-MMM-YY HH:MM"),"")&amp;" "&amp;Checks!$P$721</f>
        <v>Required
30-Oct-26 11:20 KUL</v>
      </c>
      <c r="D44" s="112" t="str">
        <f aca="false">IF(Checks!$U$721="","",Checks!$U$721)&amp;IF(Checks!$AB$721="","",CHAR(10)&amp;"CA: "&amp;Checks!$AB$721)</f>
        <v/>
      </c>
      <c r="E44" s="112" t="str">
        <f aca="false">IF(Checks!$V$721="","",Checks!$V$721)&amp;IF(Checks!$AC$721="","",IF(Checks!$V$721="","",CHAR(10))&amp;"N/A just.: "&amp;Checks!$AC$721)&amp;IF(Checks!$W$721="","",CHAR(10)&amp;"Batch: "&amp;Checks!$W$721)&amp;IF(AND(Checks!$X$721="",Checks!$Y$721=""),"",CHAR(10)&amp;"Exp: "&amp;Checks!$X$721&amp;"  /  Act: "&amp;Checks!$Y$721)</f>
        <v/>
      </c>
      <c r="F44" s="112" t="str">
        <f aca="false">IF(Checks!$Z$721="","","Evidence: "&amp;Checks!$Z$721)&amp;IF(Checks!$AA$721="","",IF(Checks!$Z$721="","",CHAR(10))&amp;"CA: "&amp;Checks!$AA$721)</f>
        <v/>
      </c>
      <c r="G44" s="112" t="str">
        <f aca="false">IF(ISNUMBER(Checks!$AD$721),TEXT(Checks!$AD$721,"DD-MMM-YY HH:MM")&amp;" "&amp;Checks!$P$721,"")&amp;IF(Checks!$AE$721="","",CHAR(10)&amp;"Verifier: "&amp;Checks!$AE$721)&amp;IF(Checks!$T$721="","",CHAR(10)&amp;"PIC: "&amp;Checks!$T$721)</f>
        <v/>
      </c>
      <c r="H44" s="113" t="str">
        <f aca="false">IF(Checks!$AH$721="","",Checks!$AH$721)</f>
        <v>OPEN</v>
      </c>
    </row>
    <row r="45" customFormat="false" ht="114" hidden="false" customHeight="true" outlineLevel="0" collapsed="false">
      <c r="A45" s="112" t="str">
        <f aca="false">Checks!$A$722&amp;CHAR(10)&amp;IF(Checks!$I$722="","",Checks!$I$722&amp;": ")&amp;Checks!$J$722</f>
        <v>F22-T12-11
F&amp;B Linen: Towel - prepared</v>
      </c>
      <c r="B45" s="112" t="str">
        <f aca="false">Checks!$K$722&amp;IF(Checks!$O$722="","",IF(Checks!$K$722="","",CHAR(10))&amp;"Note: "&amp;Checks!$O$722)</f>
        <v>Available (ticked in reference)
Note: Reference gives no uplift stn for this item: preparation checked at the meal uplift stn (KUL) - confirm with caterer.</v>
      </c>
      <c r="C45" s="112" t="str">
        <f aca="false">Checks!$N$722&amp;CHAR(10)&amp;IF(ISNUMBER(Checks!$R$722),TEXT(Checks!$R$722,"DD-MMM-YY HH:MM"),"")&amp;" "&amp;Checks!$P$722</f>
        <v>Required
30-Oct-26 11:20 KUL</v>
      </c>
      <c r="D45" s="112" t="str">
        <f aca="false">IF(Checks!$U$722="","",Checks!$U$722)&amp;IF(Checks!$AB$722="","",CHAR(10)&amp;"CA: "&amp;Checks!$AB$722)</f>
        <v/>
      </c>
      <c r="E45" s="112" t="str">
        <f aca="false">IF(Checks!$V$722="","",Checks!$V$722)&amp;IF(Checks!$AC$722="","",IF(Checks!$V$722="","",CHAR(10))&amp;"N/A just.: "&amp;Checks!$AC$722)&amp;IF(Checks!$W$722="","",CHAR(10)&amp;"Batch: "&amp;Checks!$W$722)&amp;IF(AND(Checks!$X$722="",Checks!$Y$722=""),"",CHAR(10)&amp;"Exp: "&amp;Checks!$X$722&amp;"  /  Act: "&amp;Checks!$Y$722)</f>
        <v/>
      </c>
      <c r="F45" s="112" t="str">
        <f aca="false">IF(Checks!$Z$722="","","Evidence: "&amp;Checks!$Z$722)&amp;IF(Checks!$AA$722="","",IF(Checks!$Z$722="","",CHAR(10))&amp;"CA: "&amp;Checks!$AA$722)</f>
        <v/>
      </c>
      <c r="G45" s="112" t="str">
        <f aca="false">IF(ISNUMBER(Checks!$AD$722),TEXT(Checks!$AD$722,"DD-MMM-YY HH:MM")&amp;" "&amp;Checks!$P$722,"")&amp;IF(Checks!$AE$722="","",CHAR(10)&amp;"Verifier: "&amp;Checks!$AE$722)&amp;IF(Checks!$T$722="","",CHAR(10)&amp;"PIC: "&amp;Checks!$T$722)</f>
        <v/>
      </c>
      <c r="H45" s="113" t="str">
        <f aca="false">IF(Checks!$AH$722="","",Checks!$AH$722)</f>
        <v>OPEN</v>
      </c>
    </row>
    <row r="46" customFormat="false" ht="114" hidden="false" customHeight="true" outlineLevel="0" collapsed="false">
      <c r="A46" s="112" t="str">
        <f aca="false">Checks!$A$723&amp;CHAR(10)&amp;IF(Checks!$I$723="","",Checks!$I$723&amp;": ")&amp;Checks!$J$723</f>
        <v>F22-T12-12
F&amp;B Linen: Tray cloth - prepared</v>
      </c>
      <c r="B46" s="112" t="str">
        <f aca="false">Checks!$K$723&amp;IF(Checks!$O$723="","",IF(Checks!$K$723="","",CHAR(10))&amp;"Note: "&amp;Checks!$O$723)</f>
        <v>Available (ticked in reference)
Note: Reference gives no uplift stn for this item: preparation checked at the meal uplift stn (KUL) - confirm with caterer.</v>
      </c>
      <c r="C46" s="112" t="str">
        <f aca="false">Checks!$N$723&amp;CHAR(10)&amp;IF(ISNUMBER(Checks!$R$723),TEXT(Checks!$R$723,"DD-MMM-YY HH:MM"),"")&amp;" "&amp;Checks!$P$723</f>
        <v>Required
30-Oct-26 11:20 KUL</v>
      </c>
      <c r="D46" s="112" t="str">
        <f aca="false">IF(Checks!$U$723="","",Checks!$U$723)&amp;IF(Checks!$AB$723="","",CHAR(10)&amp;"CA: "&amp;Checks!$AB$723)</f>
        <v/>
      </c>
      <c r="E46" s="112" t="str">
        <f aca="false">IF(Checks!$V$723="","",Checks!$V$723)&amp;IF(Checks!$AC$723="","",IF(Checks!$V$723="","",CHAR(10))&amp;"N/A just.: "&amp;Checks!$AC$723)&amp;IF(Checks!$W$723="","",CHAR(10)&amp;"Batch: "&amp;Checks!$W$723)&amp;IF(AND(Checks!$X$723="",Checks!$Y$723=""),"",CHAR(10)&amp;"Exp: "&amp;Checks!$X$723&amp;"  /  Act: "&amp;Checks!$Y$723)</f>
        <v/>
      </c>
      <c r="F46" s="112" t="str">
        <f aca="false">IF(Checks!$Z$723="","","Evidence: "&amp;Checks!$Z$723)&amp;IF(Checks!$AA$723="","",IF(Checks!$Z$723="","",CHAR(10))&amp;"CA: "&amp;Checks!$AA$723)</f>
        <v/>
      </c>
      <c r="G46" s="112" t="str">
        <f aca="false">IF(ISNUMBER(Checks!$AD$723),TEXT(Checks!$AD$723,"DD-MMM-YY HH:MM")&amp;" "&amp;Checks!$P$723,"")&amp;IF(Checks!$AE$723="","",CHAR(10)&amp;"Verifier: "&amp;Checks!$AE$723)&amp;IF(Checks!$T$723="","",CHAR(10)&amp;"PIC: "&amp;Checks!$T$723)</f>
        <v/>
      </c>
      <c r="H46" s="113" t="str">
        <f aca="false">IF(Checks!$AH$723="","",Checks!$AH$723)</f>
        <v>OPEN</v>
      </c>
    </row>
    <row r="47" customFormat="false" ht="114" hidden="false" customHeight="true" outlineLevel="0" collapsed="false">
      <c r="A47" s="112" t="str">
        <f aca="false">Checks!$A$724&amp;CHAR(10)&amp;IF(Checks!$I$724="","",Checks!$I$724&amp;": ")&amp;Checks!$J$724</f>
        <v>F22-T12-13
F&amp;B Linen: Napkin - prepared</v>
      </c>
      <c r="B47" s="112" t="str">
        <f aca="false">Checks!$K$724&amp;IF(Checks!$O$724="","",IF(Checks!$K$724="","",CHAR(10))&amp;"Note: "&amp;Checks!$O$724)</f>
        <v>Available (ticked in reference)
Note: Reference gives no uplift stn for this item: preparation checked at the meal uplift stn (KUL) - confirm with caterer.</v>
      </c>
      <c r="C47" s="112" t="str">
        <f aca="false">Checks!$N$724&amp;CHAR(10)&amp;IF(ISNUMBER(Checks!$R$724),TEXT(Checks!$R$724,"DD-MMM-YY HH:MM"),"")&amp;" "&amp;Checks!$P$724</f>
        <v>Required
30-Oct-26 11:20 KUL</v>
      </c>
      <c r="D47" s="112" t="str">
        <f aca="false">IF(Checks!$U$724="","",Checks!$U$724)&amp;IF(Checks!$AB$724="","",CHAR(10)&amp;"CA: "&amp;Checks!$AB$724)</f>
        <v/>
      </c>
      <c r="E47" s="112" t="str">
        <f aca="false">IF(Checks!$V$724="","",Checks!$V$724)&amp;IF(Checks!$AC$724="","",IF(Checks!$V$724="","",CHAR(10))&amp;"N/A just.: "&amp;Checks!$AC$724)&amp;IF(Checks!$W$724="","",CHAR(10)&amp;"Batch: "&amp;Checks!$W$724)&amp;IF(AND(Checks!$X$724="",Checks!$Y$724=""),"",CHAR(10)&amp;"Exp: "&amp;Checks!$X$724&amp;"  /  Act: "&amp;Checks!$Y$724)</f>
        <v/>
      </c>
      <c r="F47" s="112" t="str">
        <f aca="false">IF(Checks!$Z$724="","","Evidence: "&amp;Checks!$Z$724)&amp;IF(Checks!$AA$724="","",IF(Checks!$Z$724="","",CHAR(10))&amp;"CA: "&amp;Checks!$AA$724)</f>
        <v/>
      </c>
      <c r="G47" s="112" t="str">
        <f aca="false">IF(ISNUMBER(Checks!$AD$724),TEXT(Checks!$AD$724,"DD-MMM-YY HH:MM")&amp;" "&amp;Checks!$P$724,"")&amp;IF(Checks!$AE$724="","",CHAR(10)&amp;"Verifier: "&amp;Checks!$AE$724)&amp;IF(Checks!$T$724="","",CHAR(10)&amp;"PIC: "&amp;Checks!$T$724)</f>
        <v/>
      </c>
      <c r="H47" s="113" t="str">
        <f aca="false">IF(Checks!$AH$724="","",Checks!$AH$724)</f>
        <v>OPEN</v>
      </c>
    </row>
    <row r="48" customFormat="false" ht="114" hidden="false" customHeight="true" outlineLevel="0" collapsed="false">
      <c r="A48" s="112" t="str">
        <f aca="false">Checks!$A$725&amp;CHAR(10)&amp;IF(Checks!$I$725="","",Checks!$I$725&amp;": ")&amp;Checks!$J$725</f>
        <v>F22-T12-14
F&amp;B Linen: Table cloth - prepared</v>
      </c>
      <c r="B48" s="112" t="str">
        <f aca="false">Checks!$K$725&amp;IF(Checks!$O$725="","",IF(Checks!$K$725="","",CHAR(10))&amp;"Note: "&amp;Checks!$O$725)</f>
        <v>Available (ticked in reference)
Note: Reference gives no uplift stn for this item: preparation checked at the meal uplift stn (KUL) - confirm with caterer.</v>
      </c>
      <c r="C48" s="112" t="str">
        <f aca="false">Checks!$N$725&amp;CHAR(10)&amp;IF(ISNUMBER(Checks!$R$725),TEXT(Checks!$R$725,"DD-MMM-YY HH:MM"),"")&amp;" "&amp;Checks!$P$725</f>
        <v>Required
30-Oct-26 11:20 KUL</v>
      </c>
      <c r="D48" s="112" t="str">
        <f aca="false">IF(Checks!$U$725="","",Checks!$U$725)&amp;IF(Checks!$AB$725="","",CHAR(10)&amp;"CA: "&amp;Checks!$AB$725)</f>
        <v/>
      </c>
      <c r="E48" s="112" t="str">
        <f aca="false">IF(Checks!$V$725="","",Checks!$V$725)&amp;IF(Checks!$AC$725="","",IF(Checks!$V$725="","",CHAR(10))&amp;"N/A just.: "&amp;Checks!$AC$725)&amp;IF(Checks!$W$725="","",CHAR(10)&amp;"Batch: "&amp;Checks!$W$725)&amp;IF(AND(Checks!$X$725="",Checks!$Y$725=""),"",CHAR(10)&amp;"Exp: "&amp;Checks!$X$725&amp;"  /  Act: "&amp;Checks!$Y$725)</f>
        <v/>
      </c>
      <c r="F48" s="112" t="str">
        <f aca="false">IF(Checks!$Z$725="","","Evidence: "&amp;Checks!$Z$725)&amp;IF(Checks!$AA$725="","",IF(Checks!$Z$725="","",CHAR(10))&amp;"CA: "&amp;Checks!$AA$725)</f>
        <v/>
      </c>
      <c r="G48" s="112" t="str">
        <f aca="false">IF(ISNUMBER(Checks!$AD$725),TEXT(Checks!$AD$725,"DD-MMM-YY HH:MM")&amp;" "&amp;Checks!$P$725,"")&amp;IF(Checks!$AE$725="","",CHAR(10)&amp;"Verifier: "&amp;Checks!$AE$725)&amp;IF(Checks!$T$725="","",CHAR(10)&amp;"PIC: "&amp;Checks!$T$725)</f>
        <v/>
      </c>
      <c r="H48" s="113" t="str">
        <f aca="false">IF(Checks!$AH$725="","",Checks!$AH$725)</f>
        <v>OPEN</v>
      </c>
    </row>
    <row r="49" customFormat="false" ht="114" hidden="false" customHeight="true" outlineLevel="0" collapsed="false">
      <c r="A49" s="112" t="str">
        <f aca="false">Checks!$A$726&amp;CHAR(10)&amp;IF(Checks!$I$726="","",Checks!$I$726&amp;": ")&amp;Checks!$J$726</f>
        <v>F22-T12-15
F&amp;B Linen: Bread linen (using table cloth) - prepared</v>
      </c>
      <c r="B49" s="112" t="str">
        <f aca="false">Checks!$K$726&amp;IF(Checks!$O$726="","",IF(Checks!$K$726="","",CHAR(10))&amp;"Note: "&amp;Checks!$O$726)</f>
        <v>Available (ticked in reference)
Note: Reference gives no uplift stn for this item: preparation checked at the meal uplift stn (KUL) - confirm with caterer.</v>
      </c>
      <c r="C49" s="112" t="str">
        <f aca="false">Checks!$N$726&amp;CHAR(10)&amp;IF(ISNUMBER(Checks!$R$726),TEXT(Checks!$R$726,"DD-MMM-YY HH:MM"),"")&amp;" "&amp;Checks!$P$726</f>
        <v>Required
30-Oct-26 11:20 KUL</v>
      </c>
      <c r="D49" s="112" t="str">
        <f aca="false">IF(Checks!$U$726="","",Checks!$U$726)&amp;IF(Checks!$AB$726="","",CHAR(10)&amp;"CA: "&amp;Checks!$AB$726)</f>
        <v/>
      </c>
      <c r="E49" s="112" t="str">
        <f aca="false">IF(Checks!$V$726="","",Checks!$V$726)&amp;IF(Checks!$AC$726="","",IF(Checks!$V$726="","",CHAR(10))&amp;"N/A just.: "&amp;Checks!$AC$726)&amp;IF(Checks!$W$726="","",CHAR(10)&amp;"Batch: "&amp;Checks!$W$726)&amp;IF(AND(Checks!$X$726="",Checks!$Y$726=""),"",CHAR(10)&amp;"Exp: "&amp;Checks!$X$726&amp;"  /  Act: "&amp;Checks!$Y$726)</f>
        <v/>
      </c>
      <c r="F49" s="112" t="str">
        <f aca="false">IF(Checks!$Z$726="","","Evidence: "&amp;Checks!$Z$726)&amp;IF(Checks!$AA$726="","",IF(Checks!$Z$726="","",CHAR(10))&amp;"CA: "&amp;Checks!$AA$726)</f>
        <v/>
      </c>
      <c r="G49" s="112" t="str">
        <f aca="false">IF(ISNUMBER(Checks!$AD$726),TEXT(Checks!$AD$726,"DD-MMM-YY HH:MM")&amp;" "&amp;Checks!$P$726,"")&amp;IF(Checks!$AE$726="","",CHAR(10)&amp;"Verifier: "&amp;Checks!$AE$726)&amp;IF(Checks!$T$726="","",CHAR(10)&amp;"PIC: "&amp;Checks!$T$726)</f>
        <v/>
      </c>
      <c r="H49" s="113" t="str">
        <f aca="false">IF(Checks!$AH$726="","",Checks!$AH$726)</f>
        <v>OPEN</v>
      </c>
    </row>
    <row r="50" customFormat="false" ht="124.5" hidden="false" customHeight="true" outlineLevel="0" collapsed="false">
      <c r="A50" s="112" t="str">
        <f aca="false">Checks!$A$727&amp;CHAR(10)&amp;IF(Checks!$I$727="","",Checks!$I$727&amp;": ")&amp;Checks!$J$727</f>
        <v>F22-T12-16
F&amp;B Linen: Trolley cloth - prepared</v>
      </c>
      <c r="B50" s="112"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2" t="str">
        <f aca="false">Checks!$N$727&amp;CHAR(10)&amp;IF(ISNUMBER(Checks!$R$727),TEXT(Checks!$R$727,"DD-MMM-YY HH:MM"),"")&amp;" "&amp;Checks!$P$727</f>
        <v>Required
30-Oct-26 11:20 KUL</v>
      </c>
      <c r="D50" s="112" t="str">
        <f aca="false">IF(Checks!$U$727="","",Checks!$U$727)&amp;IF(Checks!$AB$727="","",CHAR(10)&amp;"CA: "&amp;Checks!$AB$727)</f>
        <v/>
      </c>
      <c r="E50" s="112" t="str">
        <f aca="false">IF(Checks!$V$727="","",Checks!$V$727)&amp;IF(Checks!$AC$727="","",IF(Checks!$V$727="","",CHAR(10))&amp;"N/A just.: "&amp;Checks!$AC$727)&amp;IF(Checks!$W$727="","",CHAR(10)&amp;"Batch: "&amp;Checks!$W$727)&amp;IF(AND(Checks!$X$727="",Checks!$Y$727=""),"",CHAR(10)&amp;"Exp: "&amp;Checks!$X$727&amp;"  /  Act: "&amp;Checks!$Y$727)</f>
        <v/>
      </c>
      <c r="F50" s="112" t="str">
        <f aca="false">IF(Checks!$Z$727="","","Evidence: "&amp;Checks!$Z$727)&amp;IF(Checks!$AA$727="","",IF(Checks!$Z$727="","",CHAR(10))&amp;"CA: "&amp;Checks!$AA$727)</f>
        <v/>
      </c>
      <c r="G50" s="112" t="str">
        <f aca="false">IF(ISNUMBER(Checks!$AD$727),TEXT(Checks!$AD$727,"DD-MMM-YY HH:MM")&amp;" "&amp;Checks!$P$727,"")&amp;IF(Checks!$AE$727="","",CHAR(10)&amp;"Verifier: "&amp;Checks!$AE$727)&amp;IF(Checks!$T$727="","",CHAR(10)&amp;"PIC: "&amp;Checks!$T$727)</f>
        <v/>
      </c>
      <c r="H50" s="113" t="str">
        <f aca="false">IF(Checks!$AH$727="","",Checks!$AH$727)</f>
        <v>OPEN</v>
      </c>
    </row>
    <row r="51" customFormat="false" ht="114" hidden="false" customHeight="true" outlineLevel="0" collapsed="false">
      <c r="A51" s="112" t="str">
        <f aca="false">Checks!$A$728&amp;CHAR(10)&amp;IF(Checks!$I$728="","",Checks!$I$728&amp;": ")&amp;Checks!$J$728</f>
        <v>F22-T12-17
F&amp;B Linen: Linen bag - prepared</v>
      </c>
      <c r="B51" s="112" t="str">
        <f aca="false">Checks!$K$728&amp;IF(Checks!$O$728="","",IF(Checks!$K$728="","",CHAR(10))&amp;"Note: "&amp;Checks!$O$728)</f>
        <v>Available (ticked in reference)
Note: Reference gives no uplift stn for this item: preparation checked at the meal uplift stn (KUL) - confirm with caterer.</v>
      </c>
      <c r="C51" s="112" t="str">
        <f aca="false">Checks!$N$728&amp;CHAR(10)&amp;IF(ISNUMBER(Checks!$R$728),TEXT(Checks!$R$728,"DD-MMM-YY HH:MM"),"")&amp;" "&amp;Checks!$P$728</f>
        <v>Required
30-Oct-26 11:20 KUL</v>
      </c>
      <c r="D51" s="112" t="str">
        <f aca="false">IF(Checks!$U$728="","",Checks!$U$728)&amp;IF(Checks!$AB$728="","",CHAR(10)&amp;"CA: "&amp;Checks!$AB$728)</f>
        <v/>
      </c>
      <c r="E51" s="112" t="str">
        <f aca="false">IF(Checks!$V$728="","",Checks!$V$728)&amp;IF(Checks!$AC$728="","",IF(Checks!$V$728="","",CHAR(10))&amp;"N/A just.: "&amp;Checks!$AC$728)&amp;IF(Checks!$W$728="","",CHAR(10)&amp;"Batch: "&amp;Checks!$W$728)&amp;IF(AND(Checks!$X$728="",Checks!$Y$728=""),"",CHAR(10)&amp;"Exp: "&amp;Checks!$X$728&amp;"  /  Act: "&amp;Checks!$Y$728)</f>
        <v/>
      </c>
      <c r="F51" s="112" t="str">
        <f aca="false">IF(Checks!$Z$728="","","Evidence: "&amp;Checks!$Z$728)&amp;IF(Checks!$AA$728="","",IF(Checks!$Z$728="","",CHAR(10))&amp;"CA: "&amp;Checks!$AA$728)</f>
        <v/>
      </c>
      <c r="G51" s="112" t="str">
        <f aca="false">IF(ISNUMBER(Checks!$AD$728),TEXT(Checks!$AD$728,"DD-MMM-YY HH:MM")&amp;" "&amp;Checks!$P$728,"")&amp;IF(Checks!$AE$728="","",CHAR(10)&amp;"Verifier: "&amp;Checks!$AE$728)&amp;IF(Checks!$T$728="","",CHAR(10)&amp;"PIC: "&amp;Checks!$T$728)</f>
        <v/>
      </c>
      <c r="H51" s="113" t="str">
        <f aca="false">IF(Checks!$AH$728="","",Checks!$AH$728)</f>
        <v>OPEN</v>
      </c>
    </row>
    <row r="52" customFormat="false" ht="114" hidden="false" customHeight="true" outlineLevel="0" collapsed="false">
      <c r="A52" s="112" t="str">
        <f aca="false">Checks!$A$729&amp;CHAR(10)&amp;IF(Checks!$I$729="","",Checks!$I$729&amp;": ")&amp;Checks!$J$729</f>
        <v>F22-T12-18
Seat Linen: Seat pillow (BS &amp; BC) - prepared</v>
      </c>
      <c r="B52" s="112" t="str">
        <f aca="false">Checks!$K$729&amp;IF(Checks!$O$729="","",IF(Checks!$K$729="","",CHAR(10))&amp;"Note: "&amp;Checks!$O$729)</f>
        <v>Available 100% (ticked in reference)
Note: Reference gives no uplift stn for this item: preparation checked at the meal uplift stn (KUL) - confirm with caterer.</v>
      </c>
      <c r="C52" s="112" t="str">
        <f aca="false">Checks!$N$729&amp;CHAR(10)&amp;IF(ISNUMBER(Checks!$R$729),TEXT(Checks!$R$729,"DD-MMM-YY HH:MM"),"")&amp;" "&amp;Checks!$P$729</f>
        <v>Required
30-Oct-26 11:20 KUL</v>
      </c>
      <c r="D52" s="112" t="str">
        <f aca="false">IF(Checks!$U$729="","",Checks!$U$729)&amp;IF(Checks!$AB$729="","",CHAR(10)&amp;"CA: "&amp;Checks!$AB$729)</f>
        <v/>
      </c>
      <c r="E52" s="112" t="str">
        <f aca="false">IF(Checks!$V$729="","",Checks!$V$729)&amp;IF(Checks!$AC$729="","",IF(Checks!$V$729="","",CHAR(10))&amp;"N/A just.: "&amp;Checks!$AC$729)&amp;IF(Checks!$W$729="","",CHAR(10)&amp;"Batch: "&amp;Checks!$W$729)&amp;IF(AND(Checks!$X$729="",Checks!$Y$729=""),"",CHAR(10)&amp;"Exp: "&amp;Checks!$X$729&amp;"  /  Act: "&amp;Checks!$Y$729)</f>
        <v/>
      </c>
      <c r="F52" s="112" t="str">
        <f aca="false">IF(Checks!$Z$729="","","Evidence: "&amp;Checks!$Z$729)&amp;IF(Checks!$AA$729="","",IF(Checks!$Z$729="","",CHAR(10))&amp;"CA: "&amp;Checks!$AA$729)</f>
        <v/>
      </c>
      <c r="G52" s="112" t="str">
        <f aca="false">IF(ISNUMBER(Checks!$AD$729),TEXT(Checks!$AD$729,"DD-MMM-YY HH:MM")&amp;" "&amp;Checks!$P$729,"")&amp;IF(Checks!$AE$729="","",CHAR(10)&amp;"Verifier: "&amp;Checks!$AE$729)&amp;IF(Checks!$T$729="","",CHAR(10)&amp;"PIC: "&amp;Checks!$T$729)</f>
        <v/>
      </c>
      <c r="H52" s="113" t="str">
        <f aca="false">IF(Checks!$AH$729="","",Checks!$AH$729)</f>
        <v>OPEN</v>
      </c>
    </row>
    <row r="53" customFormat="false" ht="114" hidden="false" customHeight="true" outlineLevel="0" collapsed="false">
      <c r="A53" s="112" t="str">
        <f aca="false">Checks!$A$730&amp;CHAR(10)&amp;IF(Checks!$I$730="","",Checks!$I$730&amp;": ")&amp;Checks!$J$730</f>
        <v>F22-T12-19
Seat Linen: Duvet (BS &amp; BC) - prepared</v>
      </c>
      <c r="B53" s="112" t="str">
        <f aca="false">Checks!$K$730&amp;IF(Checks!$O$730="","",IF(Checks!$K$730="","",CHAR(10))&amp;"Note: "&amp;Checks!$O$730)</f>
        <v>Available 100% (ticked in reference)
Note: Reference gives no uplift stn for this item: preparation checked at the meal uplift stn (KUL) - confirm with caterer.</v>
      </c>
      <c r="C53" s="112" t="str">
        <f aca="false">Checks!$N$730&amp;CHAR(10)&amp;IF(ISNUMBER(Checks!$R$730),TEXT(Checks!$R$730,"DD-MMM-YY HH:MM"),"")&amp;" "&amp;Checks!$P$730</f>
        <v>Required
30-Oct-26 11:20 KUL</v>
      </c>
      <c r="D53" s="112" t="str">
        <f aca="false">IF(Checks!$U$730="","",Checks!$U$730)&amp;IF(Checks!$AB$730="","",CHAR(10)&amp;"CA: "&amp;Checks!$AB$730)</f>
        <v/>
      </c>
      <c r="E53" s="112" t="str">
        <f aca="false">IF(Checks!$V$730="","",Checks!$V$730)&amp;IF(Checks!$AC$730="","",IF(Checks!$V$730="","",CHAR(10))&amp;"N/A just.: "&amp;Checks!$AC$730)&amp;IF(Checks!$W$730="","",CHAR(10)&amp;"Batch: "&amp;Checks!$W$730)&amp;IF(AND(Checks!$X$730="",Checks!$Y$730=""),"",CHAR(10)&amp;"Exp: "&amp;Checks!$X$730&amp;"  /  Act: "&amp;Checks!$Y$730)</f>
        <v/>
      </c>
      <c r="F53" s="112" t="str">
        <f aca="false">IF(Checks!$Z$730="","","Evidence: "&amp;Checks!$Z$730)&amp;IF(Checks!$AA$730="","",IF(Checks!$Z$730="","",CHAR(10))&amp;"CA: "&amp;Checks!$AA$730)</f>
        <v/>
      </c>
      <c r="G53" s="112" t="str">
        <f aca="false">IF(ISNUMBER(Checks!$AD$730),TEXT(Checks!$AD$730,"DD-MMM-YY HH:MM")&amp;" "&amp;Checks!$P$730,"")&amp;IF(Checks!$AE$730="","",CHAR(10)&amp;"Verifier: "&amp;Checks!$AE$730)&amp;IF(Checks!$T$730="","",CHAR(10)&amp;"PIC: "&amp;Checks!$T$730)</f>
        <v/>
      </c>
      <c r="H53" s="113" t="str">
        <f aca="false">IF(Checks!$AH$730="","",Checks!$AH$730)</f>
        <v>OPEN</v>
      </c>
    </row>
    <row r="54" customFormat="false" ht="114" hidden="false" customHeight="true" outlineLevel="0" collapsed="false">
      <c r="A54" s="112" t="str">
        <f aca="false">Checks!$A$731&amp;CHAR(10)&amp;IF(Checks!$I$731="","",Checks!$I$731&amp;": ")&amp;Checks!$J$731</f>
        <v>F22-T12-20
Seat Linen: Mattress (BS &amp; BC) - prepared</v>
      </c>
      <c r="B54" s="112" t="str">
        <f aca="false">Checks!$K$731&amp;IF(Checks!$O$731="","",IF(Checks!$K$731="","",CHAR(10))&amp;"Note: "&amp;Checks!$O$731)</f>
        <v>Available 100% (ticked in reference)
Note: Reference gives no uplift stn for this item: preparation checked at the meal uplift stn (KUL) - confirm with caterer.</v>
      </c>
      <c r="C54" s="112" t="str">
        <f aca="false">Checks!$N$731&amp;CHAR(10)&amp;IF(ISNUMBER(Checks!$R$731),TEXT(Checks!$R$731,"DD-MMM-YY HH:MM"),"")&amp;" "&amp;Checks!$P$731</f>
        <v>Required
30-Oct-26 11:20 KUL</v>
      </c>
      <c r="D54" s="112" t="str">
        <f aca="false">IF(Checks!$U$731="","",Checks!$U$731)&amp;IF(Checks!$AB$731="","",CHAR(10)&amp;"CA: "&amp;Checks!$AB$731)</f>
        <v/>
      </c>
      <c r="E54" s="112" t="str">
        <f aca="false">IF(Checks!$V$731="","",Checks!$V$731)&amp;IF(Checks!$AC$731="","",IF(Checks!$V$731="","",CHAR(10))&amp;"N/A just.: "&amp;Checks!$AC$731)&amp;IF(Checks!$W$731="","",CHAR(10)&amp;"Batch: "&amp;Checks!$W$731)&amp;IF(AND(Checks!$X$731="",Checks!$Y$731=""),"",CHAR(10)&amp;"Exp: "&amp;Checks!$X$731&amp;"  /  Act: "&amp;Checks!$Y$731)</f>
        <v/>
      </c>
      <c r="F54" s="112" t="str">
        <f aca="false">IF(Checks!$Z$731="","","Evidence: "&amp;Checks!$Z$731)&amp;IF(Checks!$AA$731="","",IF(Checks!$Z$731="","",CHAR(10))&amp;"CA: "&amp;Checks!$AA$731)</f>
        <v/>
      </c>
      <c r="G54" s="112" t="str">
        <f aca="false">IF(ISNUMBER(Checks!$AD$731),TEXT(Checks!$AD$731,"DD-MMM-YY HH:MM")&amp;" "&amp;Checks!$P$731,"")&amp;IF(Checks!$AE$731="","",CHAR(10)&amp;"Verifier: "&amp;Checks!$AE$731)&amp;IF(Checks!$T$731="","",CHAR(10)&amp;"PIC: "&amp;Checks!$T$731)</f>
        <v/>
      </c>
      <c r="H54" s="113" t="str">
        <f aca="false">IF(Checks!$AH$731="","",Checks!$AH$731)</f>
        <v>OPEN</v>
      </c>
    </row>
    <row r="55" customFormat="false" ht="114" hidden="false" customHeight="true" outlineLevel="0" collapsed="false">
      <c r="A55" s="112" t="str">
        <f aca="false">Checks!$A$732&amp;CHAR(10)&amp;IF(Checks!$I$732="","",Checks!$I$732&amp;": ")&amp;Checks!$J$732</f>
        <v>F22-T12-21
Signature Drinks: Signature drink &amp; garnish (BC) - prepared</v>
      </c>
      <c r="B55" s="112" t="str">
        <f aca="false">Checks!$K$732&amp;IF(Checks!$O$732="","",IF(Checks!$K$732="","",CHAR(10))&amp;"Note: "&amp;Checks!$O$732)</f>
        <v>Available (ticked in reference)
Note: Signature drinks &amp; garnish uplifted from KUL (note D79).</v>
      </c>
      <c r="C55" s="112" t="str">
        <f aca="false">Checks!$N$732&amp;CHAR(10)&amp;IF(ISNUMBER(Checks!$R$732),TEXT(Checks!$R$732,"DD-MMM-YY HH:MM"),"")&amp;" "&amp;Checks!$P$732</f>
        <v>Required
30-Oct-26 11:20 KUL</v>
      </c>
      <c r="D55" s="112" t="str">
        <f aca="false">IF(Checks!$U$732="","",Checks!$U$732)&amp;IF(Checks!$AB$732="","",CHAR(10)&amp;"CA: "&amp;Checks!$AB$732)</f>
        <v/>
      </c>
      <c r="E55" s="112" t="str">
        <f aca="false">IF(Checks!$V$732="","",Checks!$V$732)&amp;IF(Checks!$AC$732="","",IF(Checks!$V$732="","",CHAR(10))&amp;"N/A just.: "&amp;Checks!$AC$732)&amp;IF(Checks!$W$732="","",CHAR(10)&amp;"Batch: "&amp;Checks!$W$732)&amp;IF(AND(Checks!$X$732="",Checks!$Y$732=""),"",CHAR(10)&amp;"Exp: "&amp;Checks!$X$732&amp;"  /  Act: "&amp;Checks!$Y$732)</f>
        <v/>
      </c>
      <c r="F55" s="112" t="str">
        <f aca="false">IF(Checks!$Z$732="","","Evidence: "&amp;Checks!$Z$732)&amp;IF(Checks!$AA$732="","",IF(Checks!$Z$732="","",CHAR(10))&amp;"CA: "&amp;Checks!$AA$732)</f>
        <v/>
      </c>
      <c r="G55" s="112" t="str">
        <f aca="false">IF(ISNUMBER(Checks!$AD$732),TEXT(Checks!$AD$732,"DD-MMM-YY HH:MM")&amp;" "&amp;Checks!$P$732,"")&amp;IF(Checks!$AE$732="","",CHAR(10)&amp;"Verifier: "&amp;Checks!$AE$732)&amp;IF(Checks!$T$732="","",CHAR(10)&amp;"PIC: "&amp;Checks!$T$732)</f>
        <v/>
      </c>
      <c r="H55" s="113" t="str">
        <f aca="false">IF(Checks!$AH$732="","",Checks!$AH$732)</f>
        <v>OPEN</v>
      </c>
    </row>
    <row r="56" customFormat="false" ht="25.5" hidden="false" customHeight="true" outlineLevel="0" collapsed="false">
      <c r="A56" s="111"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1"/>
      <c r="C56" s="111"/>
      <c r="D56" s="111"/>
      <c r="E56" s="111"/>
      <c r="F56" s="111"/>
      <c r="G56" s="111"/>
      <c r="H56" s="111"/>
    </row>
    <row r="57" customFormat="false" ht="114" hidden="false" customHeight="true" outlineLevel="0" collapsed="false">
      <c r="A57" s="112" t="str">
        <f aca="false">Checks!$A$733&amp;CHAR(10)&amp;IF(Checks!$I$733="","",Checks!$I$733&amp;": ")&amp;Checks!$J$733</f>
        <v>F22-UPL-01
Meal: Meals physically uplifted on board - quantity vs menu checklist</v>
      </c>
      <c r="B57" s="112" t="str">
        <f aca="false">Checks!$K$733&amp;IF(Checks!$O$733="","",IF(Checks!$K$733="","",CHAR(10))&amp;"Note: "&amp;Checks!$O$733)</f>
        <v>Enter expected &amp; actual
Note: Confirm on board before departure; completion time must fall inside the uplift window.</v>
      </c>
      <c r="C57" s="112" t="str">
        <f aca="false">Checks!$N$733&amp;CHAR(10)&amp;IF(ISNUMBER(Checks!$R$733),TEXT(Checks!$R$733,"DD-MMM-YY HH:MM"),"")&amp;" "&amp;Checks!$P$733</f>
        <v>Required
30-Oct-26 23:20 KUL</v>
      </c>
      <c r="D57" s="112" t="str">
        <f aca="false">IF(Checks!$U$733="","",Checks!$U$733)&amp;IF(Checks!$AB$733="","",CHAR(10)&amp;"CA: "&amp;Checks!$AB$733)</f>
        <v/>
      </c>
      <c r="E57" s="112" t="str">
        <f aca="false">IF(Checks!$V$733="","",Checks!$V$733)&amp;IF(Checks!$AC$733="","",IF(Checks!$V$733="","",CHAR(10))&amp;"N/A just.: "&amp;Checks!$AC$733)&amp;IF(Checks!$W$733="","",CHAR(10)&amp;"Batch: "&amp;Checks!$W$733)&amp;IF(AND(Checks!$X$733="",Checks!$Y$733=""),"",CHAR(10)&amp;"Exp: "&amp;Checks!$X$733&amp;"  /  Act: "&amp;Checks!$Y$733)</f>
        <v/>
      </c>
      <c r="F57" s="112" t="str">
        <f aca="false">IF(Checks!$Z$733="","","Evidence: "&amp;Checks!$Z$733)&amp;IF(Checks!$AA$733="","",IF(Checks!$Z$733="","",CHAR(10))&amp;"CA: "&amp;Checks!$AA$733)</f>
        <v/>
      </c>
      <c r="G57" s="112" t="str">
        <f aca="false">IF(ISNUMBER(Checks!$AD$733),TEXT(Checks!$AD$733,"DD-MMM-YY HH:MM")&amp;" "&amp;Checks!$P$733,"")&amp;IF(Checks!$AE$733="","",CHAR(10)&amp;"Verifier: "&amp;Checks!$AE$733)&amp;IF(Checks!$T$733="","",CHAR(10)&amp;"PIC: "&amp;Checks!$T$733)</f>
        <v/>
      </c>
      <c r="H57" s="113" t="str">
        <f aca="false">IF(Checks!$AH$733="","",Checks!$AH$733)</f>
        <v>OPEN</v>
      </c>
    </row>
    <row r="58" customFormat="false" ht="114" hidden="false" customHeight="true" outlineLevel="0" collapsed="false">
      <c r="A58" s="112" t="str">
        <f aca="false">Checks!$A$734&amp;CHAR(10)&amp;IF(Checks!$I$734="","",Checks!$I$734&amp;": ")&amp;Checks!$J$734</f>
        <v>F22-UPL-02
Equipment: Equipment physically loaded at GLD positions - quantity &amp; positions</v>
      </c>
      <c r="B58" s="112" t="str">
        <f aca="false">Checks!$K$734&amp;IF(Checks!$O$734="","",IF(Checks!$K$734="","",CHAR(10))&amp;"Note: "&amp;Checks!$O$734)</f>
        <v>Enter expected &amp; actual
Note: Confirm on board before departure; completion time must fall inside the uplift window.</v>
      </c>
      <c r="C58" s="112" t="str">
        <f aca="false">Checks!$N$734&amp;CHAR(10)&amp;IF(ISNUMBER(Checks!$R$734),TEXT(Checks!$R$734,"DD-MMM-YY HH:MM"),"")&amp;" "&amp;Checks!$P$734</f>
        <v>Required
30-Oct-26 23:20 KUL</v>
      </c>
      <c r="D58" s="112" t="str">
        <f aca="false">IF(Checks!$U$734="","",Checks!$U$734)&amp;IF(Checks!$AB$734="","",CHAR(10)&amp;"CA: "&amp;Checks!$AB$734)</f>
        <v/>
      </c>
      <c r="E58" s="112" t="str">
        <f aca="false">IF(Checks!$V$734="","",Checks!$V$734)&amp;IF(Checks!$AC$734="","",IF(Checks!$V$734="","",CHAR(10))&amp;"N/A just.: "&amp;Checks!$AC$734)&amp;IF(Checks!$W$734="","",CHAR(10)&amp;"Batch: "&amp;Checks!$W$734)&amp;IF(AND(Checks!$X$734="",Checks!$Y$734=""),"",CHAR(10)&amp;"Exp: "&amp;Checks!$X$734&amp;"  /  Act: "&amp;Checks!$Y$734)</f>
        <v/>
      </c>
      <c r="F58" s="112" t="str">
        <f aca="false">IF(Checks!$Z$734="","","Evidence: "&amp;Checks!$Z$734)&amp;IF(Checks!$AA$734="","",IF(Checks!$Z$734="","",CHAR(10))&amp;"CA: "&amp;Checks!$AA$734)</f>
        <v/>
      </c>
      <c r="G58" s="112" t="str">
        <f aca="false">IF(ISNUMBER(Checks!$AD$734),TEXT(Checks!$AD$734,"DD-MMM-YY HH:MM")&amp;" "&amp;Checks!$P$734,"")&amp;IF(Checks!$AE$734="","",CHAR(10)&amp;"Verifier: "&amp;Checks!$AE$734)&amp;IF(Checks!$T$734="","",CHAR(10)&amp;"PIC: "&amp;Checks!$T$734)</f>
        <v/>
      </c>
      <c r="H58" s="113" t="str">
        <f aca="false">IF(Checks!$AH$734="","",Checks!$AH$734)</f>
        <v>OPEN</v>
      </c>
    </row>
    <row r="59" customFormat="false" ht="213" hidden="false" customHeight="true" outlineLevel="0" collapsed="false">
      <c r="A59" s="112" t="str">
        <f aca="false">Checks!$A$735&amp;CHAR(10)&amp;IF(Checks!$I$735="","",Checks!$I$735&amp;": ")&amp;Checks!$J$735</f>
        <v>F22-UPL-03
Amenities: Toiletry kits - on board</v>
      </c>
      <c r="B59" s="112"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2" t="str">
        <f aca="false">Checks!$N$735&amp;CHAR(10)&amp;IF(ISNUMBER(Checks!$R$735),TEXT(Checks!$R$735,"DD-MMM-YY HH:MM"),"")&amp;" "&amp;Checks!$P$735</f>
        <v>Clarification required
30-Oct-26 23:20 KUL</v>
      </c>
      <c r="D59" s="112" t="str">
        <f aca="false">IF(Checks!$U$735="","",Checks!$U$735)&amp;IF(Checks!$AB$735="","",CHAR(10)&amp;"CA: "&amp;Checks!$AB$735)</f>
        <v/>
      </c>
      <c r="E59" s="112" t="str">
        <f aca="false">IF(Checks!$V$735="","",Checks!$V$735)&amp;IF(Checks!$AC$735="","",IF(Checks!$V$735="","",CHAR(10))&amp;"N/A just.: "&amp;Checks!$AC$735)&amp;IF(Checks!$W$735="","",CHAR(10)&amp;"Batch: "&amp;Checks!$W$735)&amp;IF(AND(Checks!$X$735="",Checks!$Y$735=""),"",CHAR(10)&amp;"Exp: "&amp;Checks!$X$735&amp;"  /  Act: "&amp;Checks!$Y$735)</f>
        <v/>
      </c>
      <c r="F59" s="112" t="str">
        <f aca="false">IF(Checks!$Z$735="","","Evidence: "&amp;Checks!$Z$735)&amp;IF(Checks!$AA$735="","",IF(Checks!$Z$735="","",CHAR(10))&amp;"CA: "&amp;Checks!$AA$735)</f>
        <v/>
      </c>
      <c r="G59" s="112" t="str">
        <f aca="false">IF(ISNUMBER(Checks!$AD$735),TEXT(Checks!$AD$735,"DD-MMM-YY HH:MM")&amp;" "&amp;Checks!$P$735,"")&amp;IF(Checks!$AE$735="","",CHAR(10)&amp;"Verifier: "&amp;Checks!$AE$735)&amp;IF(Checks!$T$735="","",CHAR(10)&amp;"PIC: "&amp;Checks!$T$735)</f>
        <v/>
      </c>
      <c r="H59" s="113" t="str">
        <f aca="false">IF(Checks!$AH$735="","",Checks!$AH$735)</f>
        <v>OPEN – CLARIFICATION</v>
      </c>
    </row>
    <row r="60" customFormat="false" ht="114" hidden="false" customHeight="true" outlineLevel="0" collapsed="false">
      <c r="A60" s="112" t="str">
        <f aca="false">Checks!$A$736&amp;CHAR(10)&amp;IF(Checks!$I$736="","",Checks!$I$736&amp;": ")&amp;Checks!$J$736</f>
        <v>F22-UPL-04
Amenities: Pajamas (BC) - on board</v>
      </c>
      <c r="B60" s="112" t="str">
        <f aca="false">Checks!$K$736&amp;IF(Checks!$O$736="","",IF(Checks!$K$736="","",CHAR(10))&amp;"Note: "&amp;Checks!$O$736)</f>
        <v>Available - BC red-eye only
Note: Red-eye departure 2320 local.</v>
      </c>
      <c r="C60" s="112" t="str">
        <f aca="false">Checks!$N$736&amp;CHAR(10)&amp;IF(ISNUMBER(Checks!$R$736),TEXT(Checks!$R$736,"DD-MMM-YY HH:MM"),"")&amp;" "&amp;Checks!$P$736</f>
        <v>Required
30-Oct-26 23:20 KUL</v>
      </c>
      <c r="D60" s="112" t="str">
        <f aca="false">IF(Checks!$U$736="","",Checks!$U$736)&amp;IF(Checks!$AB$736="","",CHAR(10)&amp;"CA: "&amp;Checks!$AB$736)</f>
        <v/>
      </c>
      <c r="E60" s="112" t="str">
        <f aca="false">IF(Checks!$V$736="","",Checks!$V$736)&amp;IF(Checks!$AC$736="","",IF(Checks!$V$736="","",CHAR(10))&amp;"N/A just.: "&amp;Checks!$AC$736)&amp;IF(Checks!$W$736="","",CHAR(10)&amp;"Batch: "&amp;Checks!$W$736)&amp;IF(AND(Checks!$X$736="",Checks!$Y$736=""),"",CHAR(10)&amp;"Exp: "&amp;Checks!$X$736&amp;"  /  Act: "&amp;Checks!$Y$736)</f>
        <v/>
      </c>
      <c r="F60" s="112" t="str">
        <f aca="false">IF(Checks!$Z$736="","","Evidence: "&amp;Checks!$Z$736)&amp;IF(Checks!$AA$736="","",IF(Checks!$Z$736="","",CHAR(10))&amp;"CA: "&amp;Checks!$AA$736)</f>
        <v/>
      </c>
      <c r="G60" s="112" t="str">
        <f aca="false">IF(ISNUMBER(Checks!$AD$736),TEXT(Checks!$AD$736,"DD-MMM-YY HH:MM")&amp;" "&amp;Checks!$P$736,"")&amp;IF(Checks!$AE$736="","",CHAR(10)&amp;"Verifier: "&amp;Checks!$AE$736)&amp;IF(Checks!$T$736="","",CHAR(10)&amp;"PIC: "&amp;Checks!$T$736)</f>
        <v/>
      </c>
      <c r="H60" s="113" t="str">
        <f aca="false">IF(Checks!$AH$736="","",Checks!$AH$736)</f>
        <v>OPEN</v>
      </c>
    </row>
    <row r="61" customFormat="false" ht="114" hidden="false" customHeight="true" outlineLevel="0" collapsed="false">
      <c r="A61" s="112" t="str">
        <f aca="false">Checks!$A$737&amp;CHAR(10)&amp;IF(Checks!$I$737="","",Checks!$I$737&amp;": ")&amp;Checks!$J$737</f>
        <v>F22-UPL-05
Amenities: Slippers (BS/BC) - on board</v>
      </c>
      <c r="B61" s="112" t="str">
        <f aca="false">Checks!$K$737&amp;IF(Checks!$O$737="","",IF(Checks!$K$737="","",CHAR(10))&amp;"Note: "&amp;Checks!$O$737)</f>
        <v>Available (ticked in reference)</v>
      </c>
      <c r="C61" s="112" t="str">
        <f aca="false">Checks!$N$737&amp;CHAR(10)&amp;IF(ISNUMBER(Checks!$R$737),TEXT(Checks!$R$737,"DD-MMM-YY HH:MM"),"")&amp;" "&amp;Checks!$P$737</f>
        <v>Required
30-Oct-26 23:20 KUL</v>
      </c>
      <c r="D61" s="112" t="str">
        <f aca="false">IF(Checks!$U$737="","",Checks!$U$737)&amp;IF(Checks!$AB$737="","",CHAR(10)&amp;"CA: "&amp;Checks!$AB$737)</f>
        <v/>
      </c>
      <c r="E61" s="112" t="str">
        <f aca="false">IF(Checks!$V$737="","",Checks!$V$737)&amp;IF(Checks!$AC$737="","",IF(Checks!$V$737="","",CHAR(10))&amp;"N/A just.: "&amp;Checks!$AC$737)&amp;IF(Checks!$W$737="","",CHAR(10)&amp;"Batch: "&amp;Checks!$W$737)&amp;IF(AND(Checks!$X$737="",Checks!$Y$737=""),"",CHAR(10)&amp;"Exp: "&amp;Checks!$X$737&amp;"  /  Act: "&amp;Checks!$Y$737)</f>
        <v/>
      </c>
      <c r="F61" s="112" t="str">
        <f aca="false">IF(Checks!$Z$737="","","Evidence: "&amp;Checks!$Z$737)&amp;IF(Checks!$AA$737="","",IF(Checks!$Z$737="","",CHAR(10))&amp;"CA: "&amp;Checks!$AA$737)</f>
        <v/>
      </c>
      <c r="G61" s="112" t="str">
        <f aca="false">IF(ISNUMBER(Checks!$AD$737),TEXT(Checks!$AD$737,"DD-MMM-YY HH:MM")&amp;" "&amp;Checks!$P$737,"")&amp;IF(Checks!$AE$737="","",CHAR(10)&amp;"Verifier: "&amp;Checks!$AE$737)&amp;IF(Checks!$T$737="","",CHAR(10)&amp;"PIC: "&amp;Checks!$T$737)</f>
        <v/>
      </c>
      <c r="H61" s="113" t="str">
        <f aca="false">IF(Checks!$AH$737="","",Checks!$AH$737)</f>
        <v>OPEN</v>
      </c>
    </row>
    <row r="62" customFormat="false" ht="114" hidden="false" customHeight="true" outlineLevel="0" collapsed="false">
      <c r="A62" s="112" t="str">
        <f aca="false">Checks!$A$738&amp;CHAR(10)&amp;IF(Checks!$I$738="","",Checks!$I$738&amp;": ")&amp;Checks!$J$738</f>
        <v>F22-UPL-06
F&amp;B Linen: Towel - on board</v>
      </c>
      <c r="B62" s="112" t="str">
        <f aca="false">Checks!$K$738&amp;IF(Checks!$O$738="","",IF(Checks!$K$738="","",CHAR(10))&amp;"Note: "&amp;Checks!$O$738)</f>
        <v>Available (ticked in reference)</v>
      </c>
      <c r="C62" s="112" t="str">
        <f aca="false">Checks!$N$738&amp;CHAR(10)&amp;IF(ISNUMBER(Checks!$R$738),TEXT(Checks!$R$738,"DD-MMM-YY HH:MM"),"")&amp;" "&amp;Checks!$P$738</f>
        <v>Required
30-Oct-26 23:20 KUL</v>
      </c>
      <c r="D62" s="112" t="str">
        <f aca="false">IF(Checks!$U$738="","",Checks!$U$738)&amp;IF(Checks!$AB$738="","",CHAR(10)&amp;"CA: "&amp;Checks!$AB$738)</f>
        <v/>
      </c>
      <c r="E62" s="112" t="str">
        <f aca="false">IF(Checks!$V$738="","",Checks!$V$738)&amp;IF(Checks!$AC$738="","",IF(Checks!$V$738="","",CHAR(10))&amp;"N/A just.: "&amp;Checks!$AC$738)&amp;IF(Checks!$W$738="","",CHAR(10)&amp;"Batch: "&amp;Checks!$W$738)&amp;IF(AND(Checks!$X$738="",Checks!$Y$738=""),"",CHAR(10)&amp;"Exp: "&amp;Checks!$X$738&amp;"  /  Act: "&amp;Checks!$Y$738)</f>
        <v/>
      </c>
      <c r="F62" s="112" t="str">
        <f aca="false">IF(Checks!$Z$738="","","Evidence: "&amp;Checks!$Z$738)&amp;IF(Checks!$AA$738="","",IF(Checks!$Z$738="","",CHAR(10))&amp;"CA: "&amp;Checks!$AA$738)</f>
        <v/>
      </c>
      <c r="G62" s="112" t="str">
        <f aca="false">IF(ISNUMBER(Checks!$AD$738),TEXT(Checks!$AD$738,"DD-MMM-YY HH:MM")&amp;" "&amp;Checks!$P$738,"")&amp;IF(Checks!$AE$738="","",CHAR(10)&amp;"Verifier: "&amp;Checks!$AE$738)&amp;IF(Checks!$T$738="","",CHAR(10)&amp;"PIC: "&amp;Checks!$T$738)</f>
        <v/>
      </c>
      <c r="H62" s="113" t="str">
        <f aca="false">IF(Checks!$AH$738="","",Checks!$AH$738)</f>
        <v>OPEN</v>
      </c>
    </row>
    <row r="63" customFormat="false" ht="114" hidden="false" customHeight="true" outlineLevel="0" collapsed="false">
      <c r="A63" s="112" t="str">
        <f aca="false">Checks!$A$739&amp;CHAR(10)&amp;IF(Checks!$I$739="","",Checks!$I$739&amp;": ")&amp;Checks!$J$739</f>
        <v>F22-UPL-07
F&amp;B Linen: Tray cloth - on board</v>
      </c>
      <c r="B63" s="112" t="str">
        <f aca="false">Checks!$K$739&amp;IF(Checks!$O$739="","",IF(Checks!$K$739="","",CHAR(10))&amp;"Note: "&amp;Checks!$O$739)</f>
        <v>Available (ticked in reference)</v>
      </c>
      <c r="C63" s="112" t="str">
        <f aca="false">Checks!$N$739&amp;CHAR(10)&amp;IF(ISNUMBER(Checks!$R$739),TEXT(Checks!$R$739,"DD-MMM-YY HH:MM"),"")&amp;" "&amp;Checks!$P$739</f>
        <v>Required
30-Oct-26 23:20 KUL</v>
      </c>
      <c r="D63" s="112" t="str">
        <f aca="false">IF(Checks!$U$739="","",Checks!$U$739)&amp;IF(Checks!$AB$739="","",CHAR(10)&amp;"CA: "&amp;Checks!$AB$739)</f>
        <v/>
      </c>
      <c r="E63" s="112" t="str">
        <f aca="false">IF(Checks!$V$739="","",Checks!$V$739)&amp;IF(Checks!$AC$739="","",IF(Checks!$V$739="","",CHAR(10))&amp;"N/A just.: "&amp;Checks!$AC$739)&amp;IF(Checks!$W$739="","",CHAR(10)&amp;"Batch: "&amp;Checks!$W$739)&amp;IF(AND(Checks!$X$739="",Checks!$Y$739=""),"",CHAR(10)&amp;"Exp: "&amp;Checks!$X$739&amp;"  /  Act: "&amp;Checks!$Y$739)</f>
        <v/>
      </c>
      <c r="F63" s="112" t="str">
        <f aca="false">IF(Checks!$Z$739="","","Evidence: "&amp;Checks!$Z$739)&amp;IF(Checks!$AA$739="","",IF(Checks!$Z$739="","",CHAR(10))&amp;"CA: "&amp;Checks!$AA$739)</f>
        <v/>
      </c>
      <c r="G63" s="112" t="str">
        <f aca="false">IF(ISNUMBER(Checks!$AD$739),TEXT(Checks!$AD$739,"DD-MMM-YY HH:MM")&amp;" "&amp;Checks!$P$739,"")&amp;IF(Checks!$AE$739="","",CHAR(10)&amp;"Verifier: "&amp;Checks!$AE$739)&amp;IF(Checks!$T$739="","",CHAR(10)&amp;"PIC: "&amp;Checks!$T$739)</f>
        <v/>
      </c>
      <c r="H63" s="113" t="str">
        <f aca="false">IF(Checks!$AH$739="","",Checks!$AH$739)</f>
        <v>OPEN</v>
      </c>
    </row>
    <row r="64" customFormat="false" ht="114" hidden="false" customHeight="true" outlineLevel="0" collapsed="false">
      <c r="A64" s="112" t="str">
        <f aca="false">Checks!$A$740&amp;CHAR(10)&amp;IF(Checks!$I$740="","",Checks!$I$740&amp;": ")&amp;Checks!$J$740</f>
        <v>F22-UPL-08
F&amp;B Linen: Napkin - on board</v>
      </c>
      <c r="B64" s="112" t="str">
        <f aca="false">Checks!$K$740&amp;IF(Checks!$O$740="","",IF(Checks!$K$740="","",CHAR(10))&amp;"Note: "&amp;Checks!$O$740)</f>
        <v>Available (ticked in reference)</v>
      </c>
      <c r="C64" s="112" t="str">
        <f aca="false">Checks!$N$740&amp;CHAR(10)&amp;IF(ISNUMBER(Checks!$R$740),TEXT(Checks!$R$740,"DD-MMM-YY HH:MM"),"")&amp;" "&amp;Checks!$P$740</f>
        <v>Required
30-Oct-26 23:20 KUL</v>
      </c>
      <c r="D64" s="112" t="str">
        <f aca="false">IF(Checks!$U$740="","",Checks!$U$740)&amp;IF(Checks!$AB$740="","",CHAR(10)&amp;"CA: "&amp;Checks!$AB$740)</f>
        <v/>
      </c>
      <c r="E64" s="112" t="str">
        <f aca="false">IF(Checks!$V$740="","",Checks!$V$740)&amp;IF(Checks!$AC$740="","",IF(Checks!$V$740="","",CHAR(10))&amp;"N/A just.: "&amp;Checks!$AC$740)&amp;IF(Checks!$W$740="","",CHAR(10)&amp;"Batch: "&amp;Checks!$W$740)&amp;IF(AND(Checks!$X$740="",Checks!$Y$740=""),"",CHAR(10)&amp;"Exp: "&amp;Checks!$X$740&amp;"  /  Act: "&amp;Checks!$Y$740)</f>
        <v/>
      </c>
      <c r="F64" s="112" t="str">
        <f aca="false">IF(Checks!$Z$740="","","Evidence: "&amp;Checks!$Z$740)&amp;IF(Checks!$AA$740="","",IF(Checks!$Z$740="","",CHAR(10))&amp;"CA: "&amp;Checks!$AA$740)</f>
        <v/>
      </c>
      <c r="G64" s="112" t="str">
        <f aca="false">IF(ISNUMBER(Checks!$AD$740),TEXT(Checks!$AD$740,"DD-MMM-YY HH:MM")&amp;" "&amp;Checks!$P$740,"")&amp;IF(Checks!$AE$740="","",CHAR(10)&amp;"Verifier: "&amp;Checks!$AE$740)&amp;IF(Checks!$T$740="","",CHAR(10)&amp;"PIC: "&amp;Checks!$T$740)</f>
        <v/>
      </c>
      <c r="H64" s="113" t="str">
        <f aca="false">IF(Checks!$AH$740="","",Checks!$AH$740)</f>
        <v>OPEN</v>
      </c>
    </row>
    <row r="65" customFormat="false" ht="114" hidden="false" customHeight="true" outlineLevel="0" collapsed="false">
      <c r="A65" s="112" t="str">
        <f aca="false">Checks!$A$741&amp;CHAR(10)&amp;IF(Checks!$I$741="","",Checks!$I$741&amp;": ")&amp;Checks!$J$741</f>
        <v>F22-UPL-09
F&amp;B Linen: Table cloth - on board</v>
      </c>
      <c r="B65" s="112" t="str">
        <f aca="false">Checks!$K$741&amp;IF(Checks!$O$741="","",IF(Checks!$K$741="","",CHAR(10))&amp;"Note: "&amp;Checks!$O$741)</f>
        <v>Available (ticked in reference)</v>
      </c>
      <c r="C65" s="112" t="str">
        <f aca="false">Checks!$N$741&amp;CHAR(10)&amp;IF(ISNUMBER(Checks!$R$741),TEXT(Checks!$R$741,"DD-MMM-YY HH:MM"),"")&amp;" "&amp;Checks!$P$741</f>
        <v>Required
30-Oct-26 23:20 KUL</v>
      </c>
      <c r="D65" s="112" t="str">
        <f aca="false">IF(Checks!$U$741="","",Checks!$U$741)&amp;IF(Checks!$AB$741="","",CHAR(10)&amp;"CA: "&amp;Checks!$AB$741)</f>
        <v/>
      </c>
      <c r="E65" s="112" t="str">
        <f aca="false">IF(Checks!$V$741="","",Checks!$V$741)&amp;IF(Checks!$AC$741="","",IF(Checks!$V$741="","",CHAR(10))&amp;"N/A just.: "&amp;Checks!$AC$741)&amp;IF(Checks!$W$741="","",CHAR(10)&amp;"Batch: "&amp;Checks!$W$741)&amp;IF(AND(Checks!$X$741="",Checks!$Y$741=""),"",CHAR(10)&amp;"Exp: "&amp;Checks!$X$741&amp;"  /  Act: "&amp;Checks!$Y$741)</f>
        <v/>
      </c>
      <c r="F65" s="112" t="str">
        <f aca="false">IF(Checks!$Z$741="","","Evidence: "&amp;Checks!$Z$741)&amp;IF(Checks!$AA$741="","",IF(Checks!$Z$741="","",CHAR(10))&amp;"CA: "&amp;Checks!$AA$741)</f>
        <v/>
      </c>
      <c r="G65" s="112" t="str">
        <f aca="false">IF(ISNUMBER(Checks!$AD$741),TEXT(Checks!$AD$741,"DD-MMM-YY HH:MM")&amp;" "&amp;Checks!$P$741,"")&amp;IF(Checks!$AE$741="","",CHAR(10)&amp;"Verifier: "&amp;Checks!$AE$741)&amp;IF(Checks!$T$741="","",CHAR(10)&amp;"PIC: "&amp;Checks!$T$741)</f>
        <v/>
      </c>
      <c r="H65" s="113" t="str">
        <f aca="false">IF(Checks!$AH$741="","",Checks!$AH$741)</f>
        <v>OPEN</v>
      </c>
    </row>
    <row r="66" customFormat="false" ht="114" hidden="false" customHeight="true" outlineLevel="0" collapsed="false">
      <c r="A66" s="112" t="str">
        <f aca="false">Checks!$A$742&amp;CHAR(10)&amp;IF(Checks!$I$742="","",Checks!$I$742&amp;": ")&amp;Checks!$J$742</f>
        <v>F22-UPL-10
F&amp;B Linen: Bread linen (using table cloth) - on board</v>
      </c>
      <c r="B66" s="112" t="str">
        <f aca="false">Checks!$K$742&amp;IF(Checks!$O$742="","",IF(Checks!$K$742="","",CHAR(10))&amp;"Note: "&amp;Checks!$O$742)</f>
        <v>Available (ticked in reference)</v>
      </c>
      <c r="C66" s="112" t="str">
        <f aca="false">Checks!$N$742&amp;CHAR(10)&amp;IF(ISNUMBER(Checks!$R$742),TEXT(Checks!$R$742,"DD-MMM-YY HH:MM"),"")&amp;" "&amp;Checks!$P$742</f>
        <v>Required
30-Oct-26 23:20 KUL</v>
      </c>
      <c r="D66" s="112" t="str">
        <f aca="false">IF(Checks!$U$742="","",Checks!$U$742)&amp;IF(Checks!$AB$742="","",CHAR(10)&amp;"CA: "&amp;Checks!$AB$742)</f>
        <v/>
      </c>
      <c r="E66" s="112" t="str">
        <f aca="false">IF(Checks!$V$742="","",Checks!$V$742)&amp;IF(Checks!$AC$742="","",IF(Checks!$V$742="","",CHAR(10))&amp;"N/A just.: "&amp;Checks!$AC$742)&amp;IF(Checks!$W$742="","",CHAR(10)&amp;"Batch: "&amp;Checks!$W$742)&amp;IF(AND(Checks!$X$742="",Checks!$Y$742=""),"",CHAR(10)&amp;"Exp: "&amp;Checks!$X$742&amp;"  /  Act: "&amp;Checks!$Y$742)</f>
        <v/>
      </c>
      <c r="F66" s="112" t="str">
        <f aca="false">IF(Checks!$Z$742="","","Evidence: "&amp;Checks!$Z$742)&amp;IF(Checks!$AA$742="","",IF(Checks!$Z$742="","",CHAR(10))&amp;"CA: "&amp;Checks!$AA$742)</f>
        <v/>
      </c>
      <c r="G66" s="112" t="str">
        <f aca="false">IF(ISNUMBER(Checks!$AD$742),TEXT(Checks!$AD$742,"DD-MMM-YY HH:MM")&amp;" "&amp;Checks!$P$742,"")&amp;IF(Checks!$AE$742="","",CHAR(10)&amp;"Verifier: "&amp;Checks!$AE$742)&amp;IF(Checks!$T$742="","",CHAR(10)&amp;"PIC: "&amp;Checks!$T$742)</f>
        <v/>
      </c>
      <c r="H66" s="113" t="str">
        <f aca="false">IF(Checks!$AH$742="","",Checks!$AH$742)</f>
        <v>OPEN</v>
      </c>
    </row>
    <row r="67" customFormat="false" ht="114" hidden="false" customHeight="true" outlineLevel="0" collapsed="false">
      <c r="A67" s="112" t="str">
        <f aca="false">Checks!$A$743&amp;CHAR(10)&amp;IF(Checks!$I$743="","",Checks!$I$743&amp;": ")&amp;Checks!$J$743</f>
        <v>F22-UPL-11
F&amp;B Linen: Trolley cloth - on board</v>
      </c>
      <c r="B67" s="112" t="str">
        <f aca="false">SUBSTITUTE(Checks!$K$743&amp;IF(Checks!$O$743="","",IF(Checks!$K$743="","",CHAR(10))&amp;"Note: "&amp;Checks!$O$743),"F&amp;B LINEN!","Ref: F&amp;B LINEN!")</f>
        <v>Wide body: Top/Middle &amp; Bottom
Note: Per note Ref: F&amp;B LINEN!B79:C80.</v>
      </c>
      <c r="C67" s="112" t="str">
        <f aca="false">Checks!$N$743&amp;CHAR(10)&amp;IF(ISNUMBER(Checks!$R$743),TEXT(Checks!$R$743,"DD-MMM-YY HH:MM"),"")&amp;" "&amp;Checks!$P$743</f>
        <v>Required
30-Oct-26 23:20 KUL</v>
      </c>
      <c r="D67" s="112" t="str">
        <f aca="false">IF(Checks!$U$743="","",Checks!$U$743)&amp;IF(Checks!$AB$743="","",CHAR(10)&amp;"CA: "&amp;Checks!$AB$743)</f>
        <v/>
      </c>
      <c r="E67" s="112" t="str">
        <f aca="false">IF(Checks!$V$743="","",Checks!$V$743)&amp;IF(Checks!$AC$743="","",IF(Checks!$V$743="","",CHAR(10))&amp;"N/A just.: "&amp;Checks!$AC$743)&amp;IF(Checks!$W$743="","",CHAR(10)&amp;"Batch: "&amp;Checks!$W$743)&amp;IF(AND(Checks!$X$743="",Checks!$Y$743=""),"",CHAR(10)&amp;"Exp: "&amp;Checks!$X$743&amp;"  /  Act: "&amp;Checks!$Y$743)</f>
        <v/>
      </c>
      <c r="F67" s="112" t="str">
        <f aca="false">IF(Checks!$Z$743="","","Evidence: "&amp;Checks!$Z$743)&amp;IF(Checks!$AA$743="","",IF(Checks!$Z$743="","",CHAR(10))&amp;"CA: "&amp;Checks!$AA$743)</f>
        <v/>
      </c>
      <c r="G67" s="112" t="str">
        <f aca="false">IF(ISNUMBER(Checks!$AD$743),TEXT(Checks!$AD$743,"DD-MMM-YY HH:MM")&amp;" "&amp;Checks!$P$743,"")&amp;IF(Checks!$AE$743="","",CHAR(10)&amp;"Verifier: "&amp;Checks!$AE$743)&amp;IF(Checks!$T$743="","",CHAR(10)&amp;"PIC: "&amp;Checks!$T$743)</f>
        <v/>
      </c>
      <c r="H67" s="113" t="str">
        <f aca="false">IF(Checks!$AH$743="","",Checks!$AH$743)</f>
        <v>OPEN</v>
      </c>
    </row>
    <row r="68" customFormat="false" ht="114" hidden="false" customHeight="true" outlineLevel="0" collapsed="false">
      <c r="A68" s="112" t="str">
        <f aca="false">Checks!$A$744&amp;CHAR(10)&amp;IF(Checks!$I$744="","",Checks!$I$744&amp;": ")&amp;Checks!$J$744</f>
        <v>F22-UPL-12
F&amp;B Linen: Linen bag - on board</v>
      </c>
      <c r="B68" s="112" t="str">
        <f aca="false">Checks!$K$744&amp;IF(Checks!$O$744="","",IF(Checks!$K$744="","",CHAR(10))&amp;"Note: "&amp;Checks!$O$744)</f>
        <v>Available (ticked in reference)</v>
      </c>
      <c r="C68" s="112" t="str">
        <f aca="false">Checks!$N$744&amp;CHAR(10)&amp;IF(ISNUMBER(Checks!$R$744),TEXT(Checks!$R$744,"DD-MMM-YY HH:MM"),"")&amp;" "&amp;Checks!$P$744</f>
        <v>Required
30-Oct-26 23:20 KUL</v>
      </c>
      <c r="D68" s="112" t="str">
        <f aca="false">IF(Checks!$U$744="","",Checks!$U$744)&amp;IF(Checks!$AB$744="","",CHAR(10)&amp;"CA: "&amp;Checks!$AB$744)</f>
        <v/>
      </c>
      <c r="E68" s="112" t="str">
        <f aca="false">IF(Checks!$V$744="","",Checks!$V$744)&amp;IF(Checks!$AC$744="","",IF(Checks!$V$744="","",CHAR(10))&amp;"N/A just.: "&amp;Checks!$AC$744)&amp;IF(Checks!$W$744="","",CHAR(10)&amp;"Batch: "&amp;Checks!$W$744)&amp;IF(AND(Checks!$X$744="",Checks!$Y$744=""),"",CHAR(10)&amp;"Exp: "&amp;Checks!$X$744&amp;"  /  Act: "&amp;Checks!$Y$744)</f>
        <v/>
      </c>
      <c r="F68" s="112" t="str">
        <f aca="false">IF(Checks!$Z$744="","","Evidence: "&amp;Checks!$Z$744)&amp;IF(Checks!$AA$744="","",IF(Checks!$Z$744="","",CHAR(10))&amp;"CA: "&amp;Checks!$AA$744)</f>
        <v/>
      </c>
      <c r="G68" s="112" t="str">
        <f aca="false">IF(ISNUMBER(Checks!$AD$744),TEXT(Checks!$AD$744,"DD-MMM-YY HH:MM")&amp;" "&amp;Checks!$P$744,"")&amp;IF(Checks!$AE$744="","",CHAR(10)&amp;"Verifier: "&amp;Checks!$AE$744)&amp;IF(Checks!$T$744="","",CHAR(10)&amp;"PIC: "&amp;Checks!$T$744)</f>
        <v/>
      </c>
      <c r="H68" s="113" t="str">
        <f aca="false">IF(Checks!$AH$744="","",Checks!$AH$744)</f>
        <v>OPEN</v>
      </c>
    </row>
    <row r="69" customFormat="false" ht="114" hidden="false" customHeight="true" outlineLevel="0" collapsed="false">
      <c r="A69" s="112" t="str">
        <f aca="false">Checks!$A$745&amp;CHAR(10)&amp;IF(Checks!$I$745="","",Checks!$I$745&amp;": ")&amp;Checks!$J$745</f>
        <v>F22-UPL-13
Seat Linen: Seat pillow (BS &amp; BC) - on board</v>
      </c>
      <c r="B69" s="112" t="str">
        <f aca="false">Checks!$K$745&amp;IF(Checks!$O$745="","",IF(Checks!$K$745="","",CHAR(10))&amp;"Note: "&amp;Checks!$O$745)</f>
        <v>Available 100% (ticked in reference)</v>
      </c>
      <c r="C69" s="112" t="str">
        <f aca="false">Checks!$N$745&amp;CHAR(10)&amp;IF(ISNUMBER(Checks!$R$745),TEXT(Checks!$R$745,"DD-MMM-YY HH:MM"),"")&amp;" "&amp;Checks!$P$745</f>
        <v>Required
30-Oct-26 23:20 KUL</v>
      </c>
      <c r="D69" s="112" t="str">
        <f aca="false">IF(Checks!$U$745="","",Checks!$U$745)&amp;IF(Checks!$AB$745="","",CHAR(10)&amp;"CA: "&amp;Checks!$AB$745)</f>
        <v/>
      </c>
      <c r="E69" s="112" t="str">
        <f aca="false">IF(Checks!$V$745="","",Checks!$V$745)&amp;IF(Checks!$AC$745="","",IF(Checks!$V$745="","",CHAR(10))&amp;"N/A just.: "&amp;Checks!$AC$745)&amp;IF(Checks!$W$745="","",CHAR(10)&amp;"Batch: "&amp;Checks!$W$745)&amp;IF(AND(Checks!$X$745="",Checks!$Y$745=""),"",CHAR(10)&amp;"Exp: "&amp;Checks!$X$745&amp;"  /  Act: "&amp;Checks!$Y$745)</f>
        <v/>
      </c>
      <c r="F69" s="112" t="str">
        <f aca="false">IF(Checks!$Z$745="","","Evidence: "&amp;Checks!$Z$745)&amp;IF(Checks!$AA$745="","",IF(Checks!$Z$745="","",CHAR(10))&amp;"CA: "&amp;Checks!$AA$745)</f>
        <v/>
      </c>
      <c r="G69" s="112" t="str">
        <f aca="false">IF(ISNUMBER(Checks!$AD$745),TEXT(Checks!$AD$745,"DD-MMM-YY HH:MM")&amp;" "&amp;Checks!$P$745,"")&amp;IF(Checks!$AE$745="","",CHAR(10)&amp;"Verifier: "&amp;Checks!$AE$745)&amp;IF(Checks!$T$745="","",CHAR(10)&amp;"PIC: "&amp;Checks!$T$745)</f>
        <v/>
      </c>
      <c r="H69" s="113" t="str">
        <f aca="false">IF(Checks!$AH$745="","",Checks!$AH$745)</f>
        <v>OPEN</v>
      </c>
    </row>
    <row r="70" customFormat="false" ht="114" hidden="false" customHeight="true" outlineLevel="0" collapsed="false">
      <c r="A70" s="112" t="str">
        <f aca="false">Checks!$A$746&amp;CHAR(10)&amp;IF(Checks!$I$746="","",Checks!$I$746&amp;": ")&amp;Checks!$J$746</f>
        <v>F22-UPL-14
Seat Linen: Duvet (BS &amp; BC) - on board</v>
      </c>
      <c r="B70" s="112" t="str">
        <f aca="false">Checks!$K$746&amp;IF(Checks!$O$746="","",IF(Checks!$K$746="","",CHAR(10))&amp;"Note: "&amp;Checks!$O$746)</f>
        <v>Available 100% (ticked in reference)</v>
      </c>
      <c r="C70" s="112" t="str">
        <f aca="false">Checks!$N$746&amp;CHAR(10)&amp;IF(ISNUMBER(Checks!$R$746),TEXT(Checks!$R$746,"DD-MMM-YY HH:MM"),"")&amp;" "&amp;Checks!$P$746</f>
        <v>Required
30-Oct-26 23:20 KUL</v>
      </c>
      <c r="D70" s="112" t="str">
        <f aca="false">IF(Checks!$U$746="","",Checks!$U$746)&amp;IF(Checks!$AB$746="","",CHAR(10)&amp;"CA: "&amp;Checks!$AB$746)</f>
        <v/>
      </c>
      <c r="E70" s="112" t="str">
        <f aca="false">IF(Checks!$V$746="","",Checks!$V$746)&amp;IF(Checks!$AC$746="","",IF(Checks!$V$746="","",CHAR(10))&amp;"N/A just.: "&amp;Checks!$AC$746)&amp;IF(Checks!$W$746="","",CHAR(10)&amp;"Batch: "&amp;Checks!$W$746)&amp;IF(AND(Checks!$X$746="",Checks!$Y$746=""),"",CHAR(10)&amp;"Exp: "&amp;Checks!$X$746&amp;"  /  Act: "&amp;Checks!$Y$746)</f>
        <v/>
      </c>
      <c r="F70" s="112" t="str">
        <f aca="false">IF(Checks!$Z$746="","","Evidence: "&amp;Checks!$Z$746)&amp;IF(Checks!$AA$746="","",IF(Checks!$Z$746="","",CHAR(10))&amp;"CA: "&amp;Checks!$AA$746)</f>
        <v/>
      </c>
      <c r="G70" s="112" t="str">
        <f aca="false">IF(ISNUMBER(Checks!$AD$746),TEXT(Checks!$AD$746,"DD-MMM-YY HH:MM")&amp;" "&amp;Checks!$P$746,"")&amp;IF(Checks!$AE$746="","",CHAR(10)&amp;"Verifier: "&amp;Checks!$AE$746)&amp;IF(Checks!$T$746="","",CHAR(10)&amp;"PIC: "&amp;Checks!$T$746)</f>
        <v/>
      </c>
      <c r="H70" s="113" t="str">
        <f aca="false">IF(Checks!$AH$746="","",Checks!$AH$746)</f>
        <v>OPEN</v>
      </c>
    </row>
    <row r="71" customFormat="false" ht="114" hidden="false" customHeight="true" outlineLevel="0" collapsed="false">
      <c r="A71" s="112" t="str">
        <f aca="false">Checks!$A$747&amp;CHAR(10)&amp;IF(Checks!$I$747="","",Checks!$I$747&amp;": ")&amp;Checks!$J$747</f>
        <v>F22-UPL-15
Seat Linen: Mattress (BS &amp; BC) - on board</v>
      </c>
      <c r="B71" s="112" t="str">
        <f aca="false">Checks!$K$747&amp;IF(Checks!$O$747="","",IF(Checks!$K$747="","",CHAR(10))&amp;"Note: "&amp;Checks!$O$747)</f>
        <v>Available 100% (ticked in reference)</v>
      </c>
      <c r="C71" s="112" t="str">
        <f aca="false">Checks!$N$747&amp;CHAR(10)&amp;IF(ISNUMBER(Checks!$R$747),TEXT(Checks!$R$747,"DD-MMM-YY HH:MM"),"")&amp;" "&amp;Checks!$P$747</f>
        <v>Required
30-Oct-26 23:20 KUL</v>
      </c>
      <c r="D71" s="112" t="str">
        <f aca="false">IF(Checks!$U$747="","",Checks!$U$747)&amp;IF(Checks!$AB$747="","",CHAR(10)&amp;"CA: "&amp;Checks!$AB$747)</f>
        <v/>
      </c>
      <c r="E71" s="112" t="str">
        <f aca="false">IF(Checks!$V$747="","",Checks!$V$747)&amp;IF(Checks!$AC$747="","",IF(Checks!$V$747="","",CHAR(10))&amp;"N/A just.: "&amp;Checks!$AC$747)&amp;IF(Checks!$W$747="","",CHAR(10)&amp;"Batch: "&amp;Checks!$W$747)&amp;IF(AND(Checks!$X$747="",Checks!$Y$747=""),"",CHAR(10)&amp;"Exp: "&amp;Checks!$X$747&amp;"  /  Act: "&amp;Checks!$Y$747)</f>
        <v/>
      </c>
      <c r="F71" s="112" t="str">
        <f aca="false">IF(Checks!$Z$747="","","Evidence: "&amp;Checks!$Z$747)&amp;IF(Checks!$AA$747="","",IF(Checks!$Z$747="","",CHAR(10))&amp;"CA: "&amp;Checks!$AA$747)</f>
        <v/>
      </c>
      <c r="G71" s="112" t="str">
        <f aca="false">IF(ISNUMBER(Checks!$AD$747),TEXT(Checks!$AD$747,"DD-MMM-YY HH:MM")&amp;" "&amp;Checks!$P$747,"")&amp;IF(Checks!$AE$747="","",CHAR(10)&amp;"Verifier: "&amp;Checks!$AE$747)&amp;IF(Checks!$T$747="","",CHAR(10)&amp;"PIC: "&amp;Checks!$T$747)</f>
        <v/>
      </c>
      <c r="H71" s="113" t="str">
        <f aca="false">IF(Checks!$AH$747="","",Checks!$AH$747)</f>
        <v>OPEN</v>
      </c>
    </row>
    <row r="72" customFormat="false" ht="114" hidden="false" customHeight="true" outlineLevel="0" collapsed="false">
      <c r="A72" s="112" t="str">
        <f aca="false">Checks!$A$748&amp;CHAR(10)&amp;IF(Checks!$I$748="","",Checks!$I$748&amp;": ")&amp;Checks!$J$748</f>
        <v>F22-UPL-16
Signature Drinks: Signature drink &amp; garnish (BC) - on board</v>
      </c>
      <c r="B72" s="112" t="str">
        <f aca="false">Checks!$K$748&amp;IF(Checks!$O$748="","",IF(Checks!$K$748="","",CHAR(10))&amp;"Note: "&amp;Checks!$O$748)</f>
        <v>Available (ticked in reference)
Note: Signature drinks &amp; garnish uplifted from KUL (note D79).</v>
      </c>
      <c r="C72" s="112" t="str">
        <f aca="false">Checks!$N$748&amp;CHAR(10)&amp;IF(ISNUMBER(Checks!$R$748),TEXT(Checks!$R$748,"DD-MMM-YY HH:MM"),"")&amp;" "&amp;Checks!$P$748</f>
        <v>Required
30-Oct-26 23:20 KUL</v>
      </c>
      <c r="D72" s="112" t="str">
        <f aca="false">IF(Checks!$U$748="","",Checks!$U$748)&amp;IF(Checks!$AB$748="","",CHAR(10)&amp;"CA: "&amp;Checks!$AB$748)</f>
        <v/>
      </c>
      <c r="E72" s="112" t="str">
        <f aca="false">IF(Checks!$V$748="","",Checks!$V$748)&amp;IF(Checks!$AC$748="","",IF(Checks!$V$748="","",CHAR(10))&amp;"N/A just.: "&amp;Checks!$AC$748)&amp;IF(Checks!$W$748="","",CHAR(10)&amp;"Batch: "&amp;Checks!$W$748)&amp;IF(AND(Checks!$X$748="",Checks!$Y$748=""),"",CHAR(10)&amp;"Exp: "&amp;Checks!$X$748&amp;"  /  Act: "&amp;Checks!$Y$748)</f>
        <v/>
      </c>
      <c r="F72" s="112" t="str">
        <f aca="false">IF(Checks!$Z$748="","","Evidence: "&amp;Checks!$Z$748)&amp;IF(Checks!$AA$748="","",IF(Checks!$Z$748="","",CHAR(10))&amp;"CA: "&amp;Checks!$AA$748)</f>
        <v/>
      </c>
      <c r="G72" s="112" t="str">
        <f aca="false">IF(ISNUMBER(Checks!$AD$748),TEXT(Checks!$AD$748,"DD-MMM-YY HH:MM")&amp;" "&amp;Checks!$P$748,"")&amp;IF(Checks!$AE$748="","",CHAR(10)&amp;"Verifier: "&amp;Checks!$AE$748)&amp;IF(Checks!$T$748="","",CHAR(10)&amp;"PIC: "&amp;Checks!$T$748)</f>
        <v/>
      </c>
      <c r="H72" s="113" t="str">
        <f aca="false">IF(Checks!$AH$748="","",Checks!$AH$748)</f>
        <v>OPEN</v>
      </c>
    </row>
    <row r="74" customFormat="false" ht="24" hidden="false" customHeight="true" outlineLevel="0" collapsed="false">
      <c r="A74" s="114" t="s">
        <v>1647</v>
      </c>
      <c r="B74" s="114"/>
      <c r="C74" s="114"/>
      <c r="D74" s="114"/>
      <c r="E74" s="114" t="s">
        <v>1648</v>
      </c>
      <c r="F74" s="114"/>
      <c r="G74" s="114"/>
      <c r="H74" s="114"/>
    </row>
    <row r="75" customFormat="false" ht="21.75" hidden="false" customHeight="true" outlineLevel="0" collapsed="false">
      <c r="A75" s="115"/>
      <c r="B75" s="115"/>
      <c r="C75" s="115"/>
      <c r="D75" s="115"/>
      <c r="E75" s="115"/>
      <c r="F75" s="115"/>
      <c r="G75" s="115"/>
      <c r="H75" s="115"/>
    </row>
    <row r="76" customFormat="false" ht="21.75" hidden="false" customHeight="true" outlineLevel="0" collapsed="false">
      <c r="A76" s="115"/>
      <c r="B76" s="115"/>
      <c r="C76" s="115"/>
      <c r="D76" s="115"/>
      <c r="E76" s="115"/>
      <c r="F76" s="115"/>
      <c r="G76" s="115"/>
      <c r="H76" s="115"/>
    </row>
    <row r="77" customFormat="false" ht="21.75" hidden="false" customHeight="true" outlineLevel="0" collapsed="false">
      <c r="A77" s="115"/>
      <c r="B77" s="115"/>
      <c r="C77" s="115"/>
      <c r="D77" s="115"/>
      <c r="E77" s="115"/>
      <c r="F77" s="115"/>
      <c r="G77" s="115"/>
      <c r="H77" s="115"/>
    </row>
    <row r="78" customFormat="false" ht="21.75" hidden="false" customHeight="true" outlineLevel="0" collapsed="false">
      <c r="A78" s="115"/>
      <c r="B78" s="115"/>
      <c r="C78" s="115"/>
      <c r="D78" s="115"/>
      <c r="E78" s="115"/>
      <c r="F78" s="115"/>
      <c r="G78" s="115"/>
      <c r="H78" s="115"/>
    </row>
    <row r="79" customFormat="false" ht="21.75" hidden="false" customHeight="true" outlineLevel="0" collapsed="false">
      <c r="A79" s="115"/>
      <c r="B79" s="115"/>
      <c r="C79" s="115"/>
      <c r="D79" s="115"/>
      <c r="E79" s="115"/>
      <c r="F79" s="115"/>
      <c r="G79" s="115"/>
      <c r="H79" s="115"/>
    </row>
    <row r="80" customFormat="false" ht="21.75" hidden="false" customHeight="true" outlineLevel="0" collapsed="false">
      <c r="A80" s="115"/>
      <c r="B80" s="115"/>
      <c r="C80" s="115"/>
      <c r="D80" s="115"/>
      <c r="E80" s="115"/>
      <c r="F80" s="115"/>
      <c r="G80" s="115"/>
      <c r="H80" s="115"/>
    </row>
    <row r="81" customFormat="false" ht="21.75" hidden="false" customHeight="true" outlineLevel="0" collapsed="false">
      <c r="A81" s="115"/>
      <c r="B81" s="115"/>
      <c r="C81" s="115"/>
      <c r="D81" s="115"/>
      <c r="E81" s="115"/>
      <c r="F81" s="115"/>
      <c r="G81" s="115"/>
      <c r="H81" s="115"/>
    </row>
    <row r="82" customFormat="false" ht="21.75" hidden="false" customHeight="true" outlineLevel="0" collapsed="false">
      <c r="A82" s="115"/>
      <c r="B82" s="115"/>
      <c r="C82" s="115"/>
      <c r="D82" s="115"/>
      <c r="E82" s="115"/>
      <c r="F82" s="115"/>
      <c r="G82" s="115"/>
      <c r="H82" s="115"/>
    </row>
    <row r="83" customFormat="false" ht="21.75" hidden="false" customHeight="true" outlineLevel="0" collapsed="false">
      <c r="A83" s="115"/>
      <c r="B83" s="115"/>
      <c r="C83" s="115"/>
      <c r="D83" s="115"/>
      <c r="E83" s="115"/>
      <c r="F83" s="115"/>
      <c r="G83" s="115"/>
      <c r="H83" s="115"/>
    </row>
    <row r="84" customFormat="false" ht="21.75" hidden="false" customHeight="true" outlineLevel="0" collapsed="false">
      <c r="A84" s="115"/>
      <c r="B84" s="115"/>
      <c r="C84" s="115"/>
      <c r="D84" s="115"/>
      <c r="E84" s="115"/>
      <c r="F84" s="115"/>
      <c r="G84" s="115"/>
      <c r="H84" s="115"/>
    </row>
  </sheetData>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2026-09-28T11:05:18Z</dcterms:created>
  <dc:creator>openpyxl</dc:creator>
  <dc:description/>
  <dc:language>en-US</dc:language>
  <cp:lastModifiedBy/>
  <dcterms:modified xsi:type="dcterms:W3CDTF">2026-09-28T11:05:23Z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